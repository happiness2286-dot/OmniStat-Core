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_COPY" sheetId="1" state="visible" r:id="rId1"/>
    <sheet name="LIVE_LOC_THEO_THU" sheetId="2" state="hidden" r:id="rId2"/>
    <sheet name="Du_Lieu_2026" sheetId="3" state="visible" r:id="rId3"/>
    <sheet name="Thong_Ke_G7_MultiWindow" sheetId="4" state="visible" r:id="rId4"/>
    <sheet name="Top20_Dong_Thuan" sheetId="5" state="visible" r:id="rId5"/>
    <sheet name="Thong_Ke_Theo_Thu" sheetId="6" state="hidden" r:id="rId6"/>
    <sheet name="Du_Doan_Tong_Theo_Thu" sheetId="7" state="visible" r:id="rId7"/>
    <sheet name="Thong_Ke_Phong_Do_G7_Thu" sheetId="8" state="hidden" r:id="rId8"/>
    <sheet name="Nhat_Ky_Kiem_Chung_Thu" sheetId="9" state="hidden" r:id="rId9"/>
    <sheet name="Phan_Tich_Cau_Ghep_Goc" sheetId="10" state="visible" r:id="rId10"/>
    <sheet name="Dan_Ha_So_Nhip_Vang" sheetId="11" state="visible" r:id="rId11"/>
    <sheet name="Thong_Ke_Nang_Cao_G7" sheetId="12" state="visible" r:id="rId12"/>
    <sheet name="Lich_Su_Truc_Tiep_2026" sheetId="13" state="hidden" r:id="rId13"/>
    <sheet name="Thong_Ke_Dau_Duoi" sheetId="14" state="visible" r:id="rId14"/>
    <sheet name="Thong_Ke_Top3_Dau_Duoi" sheetId="15" state="hidden" r:id="rId15"/>
    <sheet name="Lich_Su_Nuoi_Khung_3Ngay" sheetId="16" state="visible" r:id="rId16"/>
    <sheet name="Top_3D_4D_Manh_Nhat" sheetId="17" state="hidden" r:id="rId17"/>
    <sheet name="Lich_Su_3D_4D_2026" sheetId="18" state="hidden" r:id="rId18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4E78"/>
      <sz val="10"/>
    </font>
    <font>
      <name val="Arial"/>
      <b val="1"/>
      <color rgb="00006100"/>
      <sz val="10"/>
    </font>
    <font>
      <name val="Arial"/>
      <b val="1"/>
      <color rgb="009C0006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4" customWidth="1" min="3" max="3"/>
    <col width="65" customWidth="1" min="4" max="4"/>
    <col width="65" customWidth="1" min="5" max="5"/>
    <col width="40" customWidth="1" min="6" max="6"/>
    <col width="65" customWidth="1" min="7" max="7"/>
    <col width="65" customWidth="1" min="8" max="8"/>
    <col width="45" customWidth="1" min="9" max="9"/>
    <col width="65" customWidth="1" min="10" max="10"/>
  </cols>
  <sheetData>
    <row r="1">
      <c r="A1" s="1" t="inlineStr">
        <is>
          <t>STT</t>
        </is>
      </c>
      <c r="B1" s="1" t="inlineStr">
        <is>
          <t>Số 2D</t>
        </is>
      </c>
      <c r="C1" s="1" t="inlineStr">
        <is>
          <t>Tổng</t>
        </is>
      </c>
      <c r="D1" s="1" t="inlineStr">
        <is>
          <t>Trùng Tổng Chọn (C2)</t>
        </is>
      </c>
      <c r="E1" s="1" t="inlineStr">
        <is>
          <t>Trùng G7</t>
        </is>
      </c>
      <c r="F1" s="1" t="inlineStr">
        <is>
          <t>Nguồn G7</t>
        </is>
      </c>
      <c r="G1" s="1" t="inlineStr">
        <is>
          <t>Trùng Chạm Chọn (G2)</t>
        </is>
      </c>
      <c r="H1" s="1" t="inlineStr">
        <is>
          <t>Điểm 2D Matrix</t>
        </is>
      </c>
      <c r="I1" s="1" t="inlineStr">
        <is>
          <t>Dàn Nguồn Top 20</t>
        </is>
      </c>
      <c r="J1" s="1" t="inlineStr">
        <is>
          <t>Dàn Nổi Bật Top 10</t>
        </is>
      </c>
    </row>
    <row r="2">
      <c r="A2" s="2" t="inlineStr">
        <is>
          <t>ĐIỀU KHIỂN:</t>
        </is>
      </c>
      <c r="B2" s="2" t="inlineStr">
        <is>
          <t>LỌC TỔNG (C2):</t>
        </is>
      </c>
      <c r="C2" s="3" t="inlineStr">
        <is>
          <t>0123456789</t>
        </is>
      </c>
      <c r="D2" s="3" t="inlineStr">
        <is>
          <t>(Nhập các Tổng, VD: 1267)</t>
        </is>
      </c>
      <c r="E2" s="3" t="inlineStr">
        <is>
          <t>LỌC CHẠM (G2):</t>
        </is>
      </c>
      <c r="F2" s="3" t="inlineStr">
        <is>
          <t>(Nhập các Chạm, VD: 2358)</t>
        </is>
      </c>
      <c r="G2" s="3" t="inlineStr">
        <is>
          <t>0123456789</t>
        </is>
      </c>
      <c r="H2" s="3" t="inlineStr">
        <is>
          <t>COPY DÀN NỔI BẬT:</t>
        </is>
      </c>
      <c r="I2" s="3">
        <f>TEXTJOIN(" ", TRUE, I3:I102)</f>
        <v/>
      </c>
      <c r="J2" s="3">
        <f>TEXTJOIN(" ", TRUE, J3:J102)</f>
        <v/>
      </c>
    </row>
    <row r="3">
      <c r="A3" s="2" t="n">
        <v>1</v>
      </c>
      <c r="B3" s="2" t="inlineStr">
        <is>
          <t>00</t>
        </is>
      </c>
      <c r="C3" s="3">
        <f>MOD(VALUE(LEFT(B3,1))+VALUE(RIGHT(B3,1)), 10)</f>
        <v/>
      </c>
      <c r="D3" s="3">
        <f>IF(ISNUMBER(SEARCH(TEXT(C3,"0"),$C$2)), "ĐÚNG TỔNG", "KHÔNG")</f>
        <v/>
      </c>
      <c r="E3" s="3">
        <f>IF(ISNUMBER(SEARCH(TEXT(C3,"0"), Du_Lieu_2026!$F$2 &amp; Du_Lieu_2026!$I$2 &amp; Du_Lieu_2026!$L$2 &amp; Du_Lieu_2026!$O$2)), "CÓ G7", "---")</f>
        <v/>
      </c>
      <c r="F3" s="3">
        <f>IF(E3="CÓ G7", "CÓ NGUỒN", "---")</f>
        <v/>
      </c>
      <c r="G3" s="3">
        <f>IF(OR(ISNUMBER(SEARCH(LEFT(B3,1),$G$2)), ISNUMBER(SEARCH(RIGHT(B3,1),$G$2))), "ĐÚNG CHẠM", "KHÔNG")</f>
        <v/>
      </c>
      <c r="H3" s="3">
        <f>IF(D3="ĐÚNG TỔNG", 15, 0) + IF(G3="ĐÚNG CHẠM", 15, 0) + IF(E3="CÓ G7", 10, 0) + (100-ROW())/1000</f>
        <v/>
      </c>
      <c r="I3" s="3">
        <f>IF(RANK(H3,$H$3:$H$102)&lt;=20, B3, "")</f>
        <v/>
      </c>
      <c r="J3" s="3">
        <f>IF(AND(D3="ĐÚNG TỔNG", G3="ĐÚNG CHẠM", RANK(H3,$H$3:$H$102)&lt;=10), B3, "")</f>
        <v/>
      </c>
    </row>
    <row r="4">
      <c r="A4" s="2" t="n">
        <v>2</v>
      </c>
      <c r="B4" s="2" t="inlineStr">
        <is>
          <t>01</t>
        </is>
      </c>
      <c r="C4" s="3">
        <f>MOD(VALUE(LEFT(B4,1))+VALUE(RIGHT(B4,1)), 10)</f>
        <v/>
      </c>
      <c r="D4" s="3">
        <f>IF(ISNUMBER(SEARCH(TEXT(C4,"0"),$C$2)), "ĐÚNG TỔNG", "KHÔNG")</f>
        <v/>
      </c>
      <c r="E4" s="3">
        <f>IF(ISNUMBER(SEARCH(TEXT(C4,"0"), Du_Lieu_2026!$F$2 &amp; Du_Lieu_2026!$I$2 &amp; Du_Lieu_2026!$L$2 &amp; Du_Lieu_2026!$O$2)), "CÓ G7", "---")</f>
        <v/>
      </c>
      <c r="F4" s="3">
        <f>IF(E4="CÓ G7", "CÓ NGUỒN", "---")</f>
        <v/>
      </c>
      <c r="G4" s="3">
        <f>IF(OR(ISNUMBER(SEARCH(LEFT(B4,1),$G$2)), ISNUMBER(SEARCH(RIGHT(B4,1),$G$2))), "ĐÚNG CHẠM", "KHÔNG")</f>
        <v/>
      </c>
      <c r="H4" s="3">
        <f>IF(D4="ĐÚNG TỔNG", 15, 0) + IF(G4="ĐÚNG CHẠM", 15, 0) + IF(E4="CÓ G7", 10, 0) + (100-ROW())/1000</f>
        <v/>
      </c>
      <c r="I4" s="3">
        <f>IF(RANK(H4,$H$3:$H$102)&lt;=20, B4, "")</f>
        <v/>
      </c>
      <c r="J4" s="3">
        <f>IF(AND(D4="ĐÚNG TỔNG", G4="ĐÚNG CHẠM", RANK(H4,$H$3:$H$102)&lt;=10), B4, "")</f>
        <v/>
      </c>
    </row>
    <row r="5">
      <c r="A5" s="2" t="n">
        <v>3</v>
      </c>
      <c r="B5" s="2" t="inlineStr">
        <is>
          <t>02</t>
        </is>
      </c>
      <c r="C5" s="3">
        <f>MOD(VALUE(LEFT(B5,1))+VALUE(RIGHT(B5,1)), 10)</f>
        <v/>
      </c>
      <c r="D5" s="3">
        <f>IF(ISNUMBER(SEARCH(TEXT(C5,"0"),$C$2)), "ĐÚNG TỔNG", "KHÔNG")</f>
        <v/>
      </c>
      <c r="E5" s="3">
        <f>IF(ISNUMBER(SEARCH(TEXT(C5,"0"), Du_Lieu_2026!$F$2 &amp; Du_Lieu_2026!$I$2 &amp; Du_Lieu_2026!$L$2 &amp; Du_Lieu_2026!$O$2)), "CÓ G7", "---")</f>
        <v/>
      </c>
      <c r="F5" s="3">
        <f>IF(E5="CÓ G7", "CÓ NGUỒN", "---")</f>
        <v/>
      </c>
      <c r="G5" s="3">
        <f>IF(OR(ISNUMBER(SEARCH(LEFT(B5,1),$G$2)), ISNUMBER(SEARCH(RIGHT(B5,1),$G$2))), "ĐÚNG CHẠM", "KHÔNG")</f>
        <v/>
      </c>
      <c r="H5" s="3">
        <f>IF(D5="ĐÚNG TỔNG", 15, 0) + IF(G5="ĐÚNG CHẠM", 15, 0) + IF(E5="CÓ G7", 10, 0) + (100-ROW())/1000</f>
        <v/>
      </c>
      <c r="I5" s="3">
        <f>IF(RANK(H5,$H$3:$H$102)&lt;=20, B5, "")</f>
        <v/>
      </c>
      <c r="J5" s="3">
        <f>IF(AND(D5="ĐÚNG TỔNG", G5="ĐÚNG CHẠM", RANK(H5,$H$3:$H$102)&lt;=10), B5, "")</f>
        <v/>
      </c>
    </row>
    <row r="6">
      <c r="A6" s="2" t="n">
        <v>4</v>
      </c>
      <c r="B6" s="2" t="inlineStr">
        <is>
          <t>03</t>
        </is>
      </c>
      <c r="C6" s="3">
        <f>MOD(VALUE(LEFT(B6,1))+VALUE(RIGHT(B6,1)), 10)</f>
        <v/>
      </c>
      <c r="D6" s="3">
        <f>IF(ISNUMBER(SEARCH(TEXT(C6,"0"),$C$2)), "ĐÚNG TỔNG", "KHÔNG")</f>
        <v/>
      </c>
      <c r="E6" s="3">
        <f>IF(ISNUMBER(SEARCH(TEXT(C6,"0"), Du_Lieu_2026!$F$2 &amp; Du_Lieu_2026!$I$2 &amp; Du_Lieu_2026!$L$2 &amp; Du_Lieu_2026!$O$2)), "CÓ G7", "---")</f>
        <v/>
      </c>
      <c r="F6" s="3">
        <f>IF(E6="CÓ G7", "CÓ NGUỒN", "---")</f>
        <v/>
      </c>
      <c r="G6" s="3">
        <f>IF(OR(ISNUMBER(SEARCH(LEFT(B6,1),$G$2)), ISNUMBER(SEARCH(RIGHT(B6,1),$G$2))), "ĐÚNG CHẠM", "KHÔNG")</f>
        <v/>
      </c>
      <c r="H6" s="3">
        <f>IF(D6="ĐÚNG TỔNG", 15, 0) + IF(G6="ĐÚNG CHẠM", 15, 0) + IF(E6="CÓ G7", 10, 0) + (100-ROW())/1000</f>
        <v/>
      </c>
      <c r="I6" s="3">
        <f>IF(RANK(H6,$H$3:$H$102)&lt;=20, B6, "")</f>
        <v/>
      </c>
      <c r="J6" s="3">
        <f>IF(AND(D6="ĐÚNG TỔNG", G6="ĐÚNG CHẠM", RANK(H6,$H$3:$H$102)&lt;=10), B6, "")</f>
        <v/>
      </c>
    </row>
    <row r="7">
      <c r="A7" s="2" t="n">
        <v>5</v>
      </c>
      <c r="B7" s="2" t="inlineStr">
        <is>
          <t>04</t>
        </is>
      </c>
      <c r="C7" s="3">
        <f>MOD(VALUE(LEFT(B7,1))+VALUE(RIGHT(B7,1)), 10)</f>
        <v/>
      </c>
      <c r="D7" s="3">
        <f>IF(ISNUMBER(SEARCH(TEXT(C7,"0"),$C$2)), "ĐÚNG TỔNG", "KHÔNG")</f>
        <v/>
      </c>
      <c r="E7" s="3">
        <f>IF(ISNUMBER(SEARCH(TEXT(C7,"0"), Du_Lieu_2026!$F$2 &amp; Du_Lieu_2026!$I$2 &amp; Du_Lieu_2026!$L$2 &amp; Du_Lieu_2026!$O$2)), "CÓ G7", "---")</f>
        <v/>
      </c>
      <c r="F7" s="3">
        <f>IF(E7="CÓ G7", "CÓ NGUỒN", "---")</f>
        <v/>
      </c>
      <c r="G7" s="3">
        <f>IF(OR(ISNUMBER(SEARCH(LEFT(B7,1),$G$2)), ISNUMBER(SEARCH(RIGHT(B7,1),$G$2))), "ĐÚNG CHẠM", "KHÔNG")</f>
        <v/>
      </c>
      <c r="H7" s="3">
        <f>IF(D7="ĐÚNG TỔNG", 15, 0) + IF(G7="ĐÚNG CHẠM", 15, 0) + IF(E7="CÓ G7", 10, 0) + (100-ROW())/1000</f>
        <v/>
      </c>
      <c r="I7" s="3">
        <f>IF(RANK(H7,$H$3:$H$102)&lt;=20, B7, "")</f>
        <v/>
      </c>
      <c r="J7" s="3">
        <f>IF(AND(D7="ĐÚNG TỔNG", G7="ĐÚNG CHẠM", RANK(H7,$H$3:$H$102)&lt;=10), B7, "")</f>
        <v/>
      </c>
    </row>
    <row r="8">
      <c r="A8" s="2" t="n">
        <v>6</v>
      </c>
      <c r="B8" s="2" t="inlineStr">
        <is>
          <t>05</t>
        </is>
      </c>
      <c r="C8" s="3">
        <f>MOD(VALUE(LEFT(B8,1))+VALUE(RIGHT(B8,1)), 10)</f>
        <v/>
      </c>
      <c r="D8" s="3">
        <f>IF(ISNUMBER(SEARCH(TEXT(C8,"0"),$C$2)), "ĐÚNG TỔNG", "KHÔNG")</f>
        <v/>
      </c>
      <c r="E8" s="3">
        <f>IF(ISNUMBER(SEARCH(TEXT(C8,"0"), Du_Lieu_2026!$F$2 &amp; Du_Lieu_2026!$I$2 &amp; Du_Lieu_2026!$L$2 &amp; Du_Lieu_2026!$O$2)), "CÓ G7", "---")</f>
        <v/>
      </c>
      <c r="F8" s="3">
        <f>IF(E8="CÓ G7", "CÓ NGUỒN", "---")</f>
        <v/>
      </c>
      <c r="G8" s="3">
        <f>IF(OR(ISNUMBER(SEARCH(LEFT(B8,1),$G$2)), ISNUMBER(SEARCH(RIGHT(B8,1),$G$2))), "ĐÚNG CHẠM", "KHÔNG")</f>
        <v/>
      </c>
      <c r="H8" s="3">
        <f>IF(D8="ĐÚNG TỔNG", 15, 0) + IF(G8="ĐÚNG CHẠM", 15, 0) + IF(E8="CÓ G7", 10, 0) + (100-ROW())/1000</f>
        <v/>
      </c>
      <c r="I8" s="3">
        <f>IF(RANK(H8,$H$3:$H$102)&lt;=20, B8, "")</f>
        <v/>
      </c>
      <c r="J8" s="3">
        <f>IF(AND(D8="ĐÚNG TỔNG", G8="ĐÚNG CHẠM", RANK(H8,$H$3:$H$102)&lt;=10), B8, "")</f>
        <v/>
      </c>
    </row>
    <row r="9">
      <c r="A9" s="2" t="n">
        <v>7</v>
      </c>
      <c r="B9" s="2" t="inlineStr">
        <is>
          <t>06</t>
        </is>
      </c>
      <c r="C9" s="3">
        <f>MOD(VALUE(LEFT(B9,1))+VALUE(RIGHT(B9,1)), 10)</f>
        <v/>
      </c>
      <c r="D9" s="3">
        <f>IF(ISNUMBER(SEARCH(TEXT(C9,"0"),$C$2)), "ĐÚNG TỔNG", "KHÔNG")</f>
        <v/>
      </c>
      <c r="E9" s="3">
        <f>IF(ISNUMBER(SEARCH(TEXT(C9,"0"), Du_Lieu_2026!$F$2 &amp; Du_Lieu_2026!$I$2 &amp; Du_Lieu_2026!$L$2 &amp; Du_Lieu_2026!$O$2)), "CÓ G7", "---")</f>
        <v/>
      </c>
      <c r="F9" s="3">
        <f>IF(E9="CÓ G7", "CÓ NGUỒN", "---")</f>
        <v/>
      </c>
      <c r="G9" s="3">
        <f>IF(OR(ISNUMBER(SEARCH(LEFT(B9,1),$G$2)), ISNUMBER(SEARCH(RIGHT(B9,1),$G$2))), "ĐÚNG CHẠM", "KHÔNG")</f>
        <v/>
      </c>
      <c r="H9" s="3">
        <f>IF(D9="ĐÚNG TỔNG", 15, 0) + IF(G9="ĐÚNG CHẠM", 15, 0) + IF(E9="CÓ G7", 10, 0) + (100-ROW())/1000</f>
        <v/>
      </c>
      <c r="I9" s="3">
        <f>IF(RANK(H9,$H$3:$H$102)&lt;=20, B9, "")</f>
        <v/>
      </c>
      <c r="J9" s="3">
        <f>IF(AND(D9="ĐÚNG TỔNG", G9="ĐÚNG CHẠM", RANK(H9,$H$3:$H$102)&lt;=10), B9, "")</f>
        <v/>
      </c>
    </row>
    <row r="10">
      <c r="A10" s="2" t="n">
        <v>8</v>
      </c>
      <c r="B10" s="2" t="inlineStr">
        <is>
          <t>07</t>
        </is>
      </c>
      <c r="C10" s="3">
        <f>MOD(VALUE(LEFT(B10,1))+VALUE(RIGHT(B10,1)), 10)</f>
        <v/>
      </c>
      <c r="D10" s="3">
        <f>IF(ISNUMBER(SEARCH(TEXT(C10,"0"),$C$2)), "ĐÚNG TỔNG", "KHÔNG")</f>
        <v/>
      </c>
      <c r="E10" s="3">
        <f>IF(ISNUMBER(SEARCH(TEXT(C10,"0"), Du_Lieu_2026!$F$2 &amp; Du_Lieu_2026!$I$2 &amp; Du_Lieu_2026!$L$2 &amp; Du_Lieu_2026!$O$2)), "CÓ G7", "---")</f>
        <v/>
      </c>
      <c r="F10" s="3">
        <f>IF(E10="CÓ G7", "CÓ NGUỒN", "---")</f>
        <v/>
      </c>
      <c r="G10" s="3">
        <f>IF(OR(ISNUMBER(SEARCH(LEFT(B10,1),$G$2)), ISNUMBER(SEARCH(RIGHT(B10,1),$G$2))), "ĐÚNG CHẠM", "KHÔNG")</f>
        <v/>
      </c>
      <c r="H10" s="3">
        <f>IF(D10="ĐÚNG TỔNG", 15, 0) + IF(G10="ĐÚNG CHẠM", 15, 0) + IF(E10="CÓ G7", 10, 0) + (100-ROW())/1000</f>
        <v/>
      </c>
      <c r="I10" s="3">
        <f>IF(RANK(H10,$H$3:$H$102)&lt;=20, B10, "")</f>
        <v/>
      </c>
      <c r="J10" s="3">
        <f>IF(AND(D10="ĐÚNG TỔNG", G10="ĐÚNG CHẠM", RANK(H10,$H$3:$H$102)&lt;=10), B10, "")</f>
        <v/>
      </c>
    </row>
    <row r="11">
      <c r="A11" s="2" t="n">
        <v>9</v>
      </c>
      <c r="B11" s="2" t="inlineStr">
        <is>
          <t>08</t>
        </is>
      </c>
      <c r="C11" s="3">
        <f>MOD(VALUE(LEFT(B11,1))+VALUE(RIGHT(B11,1)), 10)</f>
        <v/>
      </c>
      <c r="D11" s="3">
        <f>IF(ISNUMBER(SEARCH(TEXT(C11,"0"),$C$2)), "ĐÚNG TỔNG", "KHÔNG")</f>
        <v/>
      </c>
      <c r="E11" s="3">
        <f>IF(ISNUMBER(SEARCH(TEXT(C11,"0"), Du_Lieu_2026!$F$2 &amp; Du_Lieu_2026!$I$2 &amp; Du_Lieu_2026!$L$2 &amp; Du_Lieu_2026!$O$2)), "CÓ G7", "---")</f>
        <v/>
      </c>
      <c r="F11" s="3">
        <f>IF(E11="CÓ G7", "CÓ NGUỒN", "---")</f>
        <v/>
      </c>
      <c r="G11" s="3">
        <f>IF(OR(ISNUMBER(SEARCH(LEFT(B11,1),$G$2)), ISNUMBER(SEARCH(RIGHT(B11,1),$G$2))), "ĐÚNG CHẠM", "KHÔNG")</f>
        <v/>
      </c>
      <c r="H11" s="3">
        <f>IF(D11="ĐÚNG TỔNG", 15, 0) + IF(G11="ĐÚNG CHẠM", 15, 0) + IF(E11="CÓ G7", 10, 0) + (100-ROW())/1000</f>
        <v/>
      </c>
      <c r="I11" s="3">
        <f>IF(RANK(H11,$H$3:$H$102)&lt;=20, B11, "")</f>
        <v/>
      </c>
      <c r="J11" s="3">
        <f>IF(AND(D11="ĐÚNG TỔNG", G11="ĐÚNG CHẠM", RANK(H11,$H$3:$H$102)&lt;=10), B11, "")</f>
        <v/>
      </c>
    </row>
    <row r="12">
      <c r="A12" s="2" t="n">
        <v>10</v>
      </c>
      <c r="B12" s="2" t="inlineStr">
        <is>
          <t>09</t>
        </is>
      </c>
      <c r="C12" s="3">
        <f>MOD(VALUE(LEFT(B12,1))+VALUE(RIGHT(B12,1)), 10)</f>
        <v/>
      </c>
      <c r="D12" s="3">
        <f>IF(ISNUMBER(SEARCH(TEXT(C12,"0"),$C$2)), "ĐÚNG TỔNG", "KHÔNG")</f>
        <v/>
      </c>
      <c r="E12" s="3">
        <f>IF(ISNUMBER(SEARCH(TEXT(C12,"0"), Du_Lieu_2026!$F$2 &amp; Du_Lieu_2026!$I$2 &amp; Du_Lieu_2026!$L$2 &amp; Du_Lieu_2026!$O$2)), "CÓ G7", "---")</f>
        <v/>
      </c>
      <c r="F12" s="3">
        <f>IF(E12="CÓ G7", "CÓ NGUỒN", "---")</f>
        <v/>
      </c>
      <c r="G12" s="3">
        <f>IF(OR(ISNUMBER(SEARCH(LEFT(B12,1),$G$2)), ISNUMBER(SEARCH(RIGHT(B12,1),$G$2))), "ĐÚNG CHẠM", "KHÔNG")</f>
        <v/>
      </c>
      <c r="H12" s="3">
        <f>IF(D12="ĐÚNG TỔNG", 15, 0) + IF(G12="ĐÚNG CHẠM", 15, 0) + IF(E12="CÓ G7", 10, 0) + (100-ROW())/1000</f>
        <v/>
      </c>
      <c r="I12" s="3">
        <f>IF(RANK(H12,$H$3:$H$102)&lt;=20, B12, "")</f>
        <v/>
      </c>
      <c r="J12" s="3">
        <f>IF(AND(D12="ĐÚNG TỔNG", G12="ĐÚNG CHẠM", RANK(H12,$H$3:$H$102)&lt;=10), B12, "")</f>
        <v/>
      </c>
    </row>
    <row r="13">
      <c r="A13" s="2" t="n">
        <v>11</v>
      </c>
      <c r="B13" s="2" t="inlineStr">
        <is>
          <t>10</t>
        </is>
      </c>
      <c r="C13" s="3">
        <f>MOD(VALUE(LEFT(B13,1))+VALUE(RIGHT(B13,1)), 10)</f>
        <v/>
      </c>
      <c r="D13" s="3">
        <f>IF(ISNUMBER(SEARCH(TEXT(C13,"0"),$C$2)), "ĐÚNG TỔNG", "KHÔNG")</f>
        <v/>
      </c>
      <c r="E13" s="3">
        <f>IF(ISNUMBER(SEARCH(TEXT(C13,"0"), Du_Lieu_2026!$F$2 &amp; Du_Lieu_2026!$I$2 &amp; Du_Lieu_2026!$L$2 &amp; Du_Lieu_2026!$O$2)), "CÓ G7", "---")</f>
        <v/>
      </c>
      <c r="F13" s="3">
        <f>IF(E13="CÓ G7", "CÓ NGUỒN", "---")</f>
        <v/>
      </c>
      <c r="G13" s="3">
        <f>IF(OR(ISNUMBER(SEARCH(LEFT(B13,1),$G$2)), ISNUMBER(SEARCH(RIGHT(B13,1),$G$2))), "ĐÚNG CHẠM", "KHÔNG")</f>
        <v/>
      </c>
      <c r="H13" s="3">
        <f>IF(D13="ĐÚNG TỔNG", 15, 0) + IF(G13="ĐÚNG CHẠM", 15, 0) + IF(E13="CÓ G7", 10, 0) + (100-ROW())/1000</f>
        <v/>
      </c>
      <c r="I13" s="3">
        <f>IF(RANK(H13,$H$3:$H$102)&lt;=20, B13, "")</f>
        <v/>
      </c>
      <c r="J13" s="3">
        <f>IF(AND(D13="ĐÚNG TỔNG", G13="ĐÚNG CHẠM", RANK(H13,$H$3:$H$102)&lt;=10), B13, "")</f>
        <v/>
      </c>
    </row>
    <row r="14">
      <c r="A14" s="2" t="n">
        <v>12</v>
      </c>
      <c r="B14" s="2" t="inlineStr">
        <is>
          <t>11</t>
        </is>
      </c>
      <c r="C14" s="3">
        <f>MOD(VALUE(LEFT(B14,1))+VALUE(RIGHT(B14,1)), 10)</f>
        <v/>
      </c>
      <c r="D14" s="3">
        <f>IF(ISNUMBER(SEARCH(TEXT(C14,"0"),$C$2)), "ĐÚNG TỔNG", "KHÔNG")</f>
        <v/>
      </c>
      <c r="E14" s="3">
        <f>IF(ISNUMBER(SEARCH(TEXT(C14,"0"), Du_Lieu_2026!$F$2 &amp; Du_Lieu_2026!$I$2 &amp; Du_Lieu_2026!$L$2 &amp; Du_Lieu_2026!$O$2)), "CÓ G7", "---")</f>
        <v/>
      </c>
      <c r="F14" s="3">
        <f>IF(E14="CÓ G7", "CÓ NGUỒN", "---")</f>
        <v/>
      </c>
      <c r="G14" s="3">
        <f>IF(OR(ISNUMBER(SEARCH(LEFT(B14,1),$G$2)), ISNUMBER(SEARCH(RIGHT(B14,1),$G$2))), "ĐÚNG CHẠM", "KHÔNG")</f>
        <v/>
      </c>
      <c r="H14" s="3">
        <f>IF(D14="ĐÚNG TỔNG", 15, 0) + IF(G14="ĐÚNG CHẠM", 15, 0) + IF(E14="CÓ G7", 10, 0) + (100-ROW())/1000</f>
        <v/>
      </c>
      <c r="I14" s="3">
        <f>IF(RANK(H14,$H$3:$H$102)&lt;=20, B14, "")</f>
        <v/>
      </c>
      <c r="J14" s="3">
        <f>IF(AND(D14="ĐÚNG TỔNG", G14="ĐÚNG CHẠM", RANK(H14,$H$3:$H$102)&lt;=10), B14, "")</f>
        <v/>
      </c>
    </row>
    <row r="15">
      <c r="A15" s="2" t="n">
        <v>13</v>
      </c>
      <c r="B15" s="2" t="inlineStr">
        <is>
          <t>12</t>
        </is>
      </c>
      <c r="C15" s="3">
        <f>MOD(VALUE(LEFT(B15,1))+VALUE(RIGHT(B15,1)), 10)</f>
        <v/>
      </c>
      <c r="D15" s="3">
        <f>IF(ISNUMBER(SEARCH(TEXT(C15,"0"),$C$2)), "ĐÚNG TỔNG", "KHÔNG")</f>
        <v/>
      </c>
      <c r="E15" s="3">
        <f>IF(ISNUMBER(SEARCH(TEXT(C15,"0"), Du_Lieu_2026!$F$2 &amp; Du_Lieu_2026!$I$2 &amp; Du_Lieu_2026!$L$2 &amp; Du_Lieu_2026!$O$2)), "CÓ G7", "---")</f>
        <v/>
      </c>
      <c r="F15" s="3">
        <f>IF(E15="CÓ G7", "CÓ NGUỒN", "---")</f>
        <v/>
      </c>
      <c r="G15" s="3">
        <f>IF(OR(ISNUMBER(SEARCH(LEFT(B15,1),$G$2)), ISNUMBER(SEARCH(RIGHT(B15,1),$G$2))), "ĐÚNG CHẠM", "KHÔNG")</f>
        <v/>
      </c>
      <c r="H15" s="3">
        <f>IF(D15="ĐÚNG TỔNG", 15, 0) + IF(G15="ĐÚNG CHẠM", 15, 0) + IF(E15="CÓ G7", 10, 0) + (100-ROW())/1000</f>
        <v/>
      </c>
      <c r="I15" s="3">
        <f>IF(RANK(H15,$H$3:$H$102)&lt;=20, B15, "")</f>
        <v/>
      </c>
      <c r="J15" s="3">
        <f>IF(AND(D15="ĐÚNG TỔNG", G15="ĐÚNG CHẠM", RANK(H15,$H$3:$H$102)&lt;=10), B15, "")</f>
        <v/>
      </c>
    </row>
    <row r="16">
      <c r="A16" s="2" t="n">
        <v>14</v>
      </c>
      <c r="B16" s="2" t="inlineStr">
        <is>
          <t>13</t>
        </is>
      </c>
      <c r="C16" s="3">
        <f>MOD(VALUE(LEFT(B16,1))+VALUE(RIGHT(B16,1)), 10)</f>
        <v/>
      </c>
      <c r="D16" s="3">
        <f>IF(ISNUMBER(SEARCH(TEXT(C16,"0"),$C$2)), "ĐÚNG TỔNG", "KHÔNG")</f>
        <v/>
      </c>
      <c r="E16" s="3">
        <f>IF(ISNUMBER(SEARCH(TEXT(C16,"0"), Du_Lieu_2026!$F$2 &amp; Du_Lieu_2026!$I$2 &amp; Du_Lieu_2026!$L$2 &amp; Du_Lieu_2026!$O$2)), "CÓ G7", "---")</f>
        <v/>
      </c>
      <c r="F16" s="3">
        <f>IF(E16="CÓ G7", "CÓ NGUỒN", "---")</f>
        <v/>
      </c>
      <c r="G16" s="3">
        <f>IF(OR(ISNUMBER(SEARCH(LEFT(B16,1),$G$2)), ISNUMBER(SEARCH(RIGHT(B16,1),$G$2))), "ĐÚNG CHẠM", "KHÔNG")</f>
        <v/>
      </c>
      <c r="H16" s="3">
        <f>IF(D16="ĐÚNG TỔNG", 15, 0) + IF(G16="ĐÚNG CHẠM", 15, 0) + IF(E16="CÓ G7", 10, 0) + (100-ROW())/1000</f>
        <v/>
      </c>
      <c r="I16" s="3">
        <f>IF(RANK(H16,$H$3:$H$102)&lt;=20, B16, "")</f>
        <v/>
      </c>
      <c r="J16" s="3">
        <f>IF(AND(D16="ĐÚNG TỔNG", G16="ĐÚNG CHẠM", RANK(H16,$H$3:$H$102)&lt;=10), B16, "")</f>
        <v/>
      </c>
    </row>
    <row r="17">
      <c r="A17" s="2" t="n">
        <v>15</v>
      </c>
      <c r="B17" s="2" t="inlineStr">
        <is>
          <t>14</t>
        </is>
      </c>
      <c r="C17" s="3">
        <f>MOD(VALUE(LEFT(B17,1))+VALUE(RIGHT(B17,1)), 10)</f>
        <v/>
      </c>
      <c r="D17" s="3">
        <f>IF(ISNUMBER(SEARCH(TEXT(C17,"0"),$C$2)), "ĐÚNG TỔNG", "KHÔNG")</f>
        <v/>
      </c>
      <c r="E17" s="3">
        <f>IF(ISNUMBER(SEARCH(TEXT(C17,"0"), Du_Lieu_2026!$F$2 &amp; Du_Lieu_2026!$I$2 &amp; Du_Lieu_2026!$L$2 &amp; Du_Lieu_2026!$O$2)), "CÓ G7", "---")</f>
        <v/>
      </c>
      <c r="F17" s="3">
        <f>IF(E17="CÓ G7", "CÓ NGUỒN", "---")</f>
        <v/>
      </c>
      <c r="G17" s="3">
        <f>IF(OR(ISNUMBER(SEARCH(LEFT(B17,1),$G$2)), ISNUMBER(SEARCH(RIGHT(B17,1),$G$2))), "ĐÚNG CHẠM", "KHÔNG")</f>
        <v/>
      </c>
      <c r="H17" s="3">
        <f>IF(D17="ĐÚNG TỔNG", 15, 0) + IF(G17="ĐÚNG CHẠM", 15, 0) + IF(E17="CÓ G7", 10, 0) + (100-ROW())/1000</f>
        <v/>
      </c>
      <c r="I17" s="3">
        <f>IF(RANK(H17,$H$3:$H$102)&lt;=20, B17, "")</f>
        <v/>
      </c>
      <c r="J17" s="3">
        <f>IF(AND(D17="ĐÚNG TỔNG", G17="ĐÚNG CHẠM", RANK(H17,$H$3:$H$102)&lt;=10), B17, "")</f>
        <v/>
      </c>
    </row>
    <row r="18">
      <c r="A18" s="2" t="n">
        <v>16</v>
      </c>
      <c r="B18" s="2" t="inlineStr">
        <is>
          <t>15</t>
        </is>
      </c>
      <c r="C18" s="3">
        <f>MOD(VALUE(LEFT(B18,1))+VALUE(RIGHT(B18,1)), 10)</f>
        <v/>
      </c>
      <c r="D18" s="3">
        <f>IF(ISNUMBER(SEARCH(TEXT(C18,"0"),$C$2)), "ĐÚNG TỔNG", "KHÔNG")</f>
        <v/>
      </c>
      <c r="E18" s="3">
        <f>IF(ISNUMBER(SEARCH(TEXT(C18,"0"), Du_Lieu_2026!$F$2 &amp; Du_Lieu_2026!$I$2 &amp; Du_Lieu_2026!$L$2 &amp; Du_Lieu_2026!$O$2)), "CÓ G7", "---")</f>
        <v/>
      </c>
      <c r="F18" s="3">
        <f>IF(E18="CÓ G7", "CÓ NGUỒN", "---")</f>
        <v/>
      </c>
      <c r="G18" s="3">
        <f>IF(OR(ISNUMBER(SEARCH(LEFT(B18,1),$G$2)), ISNUMBER(SEARCH(RIGHT(B18,1),$G$2))), "ĐÚNG CHẠM", "KHÔNG")</f>
        <v/>
      </c>
      <c r="H18" s="3">
        <f>IF(D18="ĐÚNG TỔNG", 15, 0) + IF(G18="ĐÚNG CHẠM", 15, 0) + IF(E18="CÓ G7", 10, 0) + (100-ROW())/1000</f>
        <v/>
      </c>
      <c r="I18" s="3">
        <f>IF(RANK(H18,$H$3:$H$102)&lt;=20, B18, "")</f>
        <v/>
      </c>
      <c r="J18" s="3">
        <f>IF(AND(D18="ĐÚNG TỔNG", G18="ĐÚNG CHẠM", RANK(H18,$H$3:$H$102)&lt;=10), B18, "")</f>
        <v/>
      </c>
    </row>
    <row r="19">
      <c r="A19" s="2" t="n">
        <v>17</v>
      </c>
      <c r="B19" s="2" t="inlineStr">
        <is>
          <t>16</t>
        </is>
      </c>
      <c r="C19" s="3">
        <f>MOD(VALUE(LEFT(B19,1))+VALUE(RIGHT(B19,1)), 10)</f>
        <v/>
      </c>
      <c r="D19" s="3">
        <f>IF(ISNUMBER(SEARCH(TEXT(C19,"0"),$C$2)), "ĐÚNG TỔNG", "KHÔNG")</f>
        <v/>
      </c>
      <c r="E19" s="3">
        <f>IF(ISNUMBER(SEARCH(TEXT(C19,"0"), Du_Lieu_2026!$F$2 &amp; Du_Lieu_2026!$I$2 &amp; Du_Lieu_2026!$L$2 &amp; Du_Lieu_2026!$O$2)), "CÓ G7", "---")</f>
        <v/>
      </c>
      <c r="F19" s="3">
        <f>IF(E19="CÓ G7", "CÓ NGUỒN", "---")</f>
        <v/>
      </c>
      <c r="G19" s="3">
        <f>IF(OR(ISNUMBER(SEARCH(LEFT(B19,1),$G$2)), ISNUMBER(SEARCH(RIGHT(B19,1),$G$2))), "ĐÚNG CHẠM", "KHÔNG")</f>
        <v/>
      </c>
      <c r="H19" s="3">
        <f>IF(D19="ĐÚNG TỔNG", 15, 0) + IF(G19="ĐÚNG CHẠM", 15, 0) + IF(E19="CÓ G7", 10, 0) + (100-ROW())/1000</f>
        <v/>
      </c>
      <c r="I19" s="3">
        <f>IF(RANK(H19,$H$3:$H$102)&lt;=20, B19, "")</f>
        <v/>
      </c>
      <c r="J19" s="3">
        <f>IF(AND(D19="ĐÚNG TỔNG", G19="ĐÚNG CHẠM", RANK(H19,$H$3:$H$102)&lt;=10), B19, "")</f>
        <v/>
      </c>
    </row>
    <row r="20">
      <c r="A20" s="2" t="n">
        <v>18</v>
      </c>
      <c r="B20" s="2" t="inlineStr">
        <is>
          <t>17</t>
        </is>
      </c>
      <c r="C20" s="3">
        <f>MOD(VALUE(LEFT(B20,1))+VALUE(RIGHT(B20,1)), 10)</f>
        <v/>
      </c>
      <c r="D20" s="3">
        <f>IF(ISNUMBER(SEARCH(TEXT(C20,"0"),$C$2)), "ĐÚNG TỔNG", "KHÔNG")</f>
        <v/>
      </c>
      <c r="E20" s="3">
        <f>IF(ISNUMBER(SEARCH(TEXT(C20,"0"), Du_Lieu_2026!$F$2 &amp; Du_Lieu_2026!$I$2 &amp; Du_Lieu_2026!$L$2 &amp; Du_Lieu_2026!$O$2)), "CÓ G7", "---")</f>
        <v/>
      </c>
      <c r="F20" s="3">
        <f>IF(E20="CÓ G7", "CÓ NGUỒN", "---")</f>
        <v/>
      </c>
      <c r="G20" s="3">
        <f>IF(OR(ISNUMBER(SEARCH(LEFT(B20,1),$G$2)), ISNUMBER(SEARCH(RIGHT(B20,1),$G$2))), "ĐÚNG CHẠM", "KHÔNG")</f>
        <v/>
      </c>
      <c r="H20" s="3">
        <f>IF(D20="ĐÚNG TỔNG", 15, 0) + IF(G20="ĐÚNG CHẠM", 15, 0) + IF(E20="CÓ G7", 10, 0) + (100-ROW())/1000</f>
        <v/>
      </c>
      <c r="I20" s="3">
        <f>IF(RANK(H20,$H$3:$H$102)&lt;=20, B20, "")</f>
        <v/>
      </c>
      <c r="J20" s="3">
        <f>IF(AND(D20="ĐÚNG TỔNG", G20="ĐÚNG CHẠM", RANK(H20,$H$3:$H$102)&lt;=10), B20, "")</f>
        <v/>
      </c>
    </row>
    <row r="21">
      <c r="A21" s="2" t="n">
        <v>19</v>
      </c>
      <c r="B21" s="2" t="inlineStr">
        <is>
          <t>18</t>
        </is>
      </c>
      <c r="C21" s="3">
        <f>MOD(VALUE(LEFT(B21,1))+VALUE(RIGHT(B21,1)), 10)</f>
        <v/>
      </c>
      <c r="D21" s="3">
        <f>IF(ISNUMBER(SEARCH(TEXT(C21,"0"),$C$2)), "ĐÚNG TỔNG", "KHÔNG")</f>
        <v/>
      </c>
      <c r="E21" s="3">
        <f>IF(ISNUMBER(SEARCH(TEXT(C21,"0"), Du_Lieu_2026!$F$2 &amp; Du_Lieu_2026!$I$2 &amp; Du_Lieu_2026!$L$2 &amp; Du_Lieu_2026!$O$2)), "CÓ G7", "---")</f>
        <v/>
      </c>
      <c r="F21" s="3">
        <f>IF(E21="CÓ G7", "CÓ NGUỒN", "---")</f>
        <v/>
      </c>
      <c r="G21" s="3">
        <f>IF(OR(ISNUMBER(SEARCH(LEFT(B21,1),$G$2)), ISNUMBER(SEARCH(RIGHT(B21,1),$G$2))), "ĐÚNG CHẠM", "KHÔNG")</f>
        <v/>
      </c>
      <c r="H21" s="3">
        <f>IF(D21="ĐÚNG TỔNG", 15, 0) + IF(G21="ĐÚNG CHẠM", 15, 0) + IF(E21="CÓ G7", 10, 0) + (100-ROW())/1000</f>
        <v/>
      </c>
      <c r="I21" s="3">
        <f>IF(RANK(H21,$H$3:$H$102)&lt;=20, B21, "")</f>
        <v/>
      </c>
      <c r="J21" s="3">
        <f>IF(AND(D21="ĐÚNG TỔNG", G21="ĐÚNG CHẠM", RANK(H21,$H$3:$H$102)&lt;=10), B21, "")</f>
        <v/>
      </c>
    </row>
    <row r="22">
      <c r="A22" s="2" t="n">
        <v>20</v>
      </c>
      <c r="B22" s="2" t="inlineStr">
        <is>
          <t>19</t>
        </is>
      </c>
      <c r="C22" s="3">
        <f>MOD(VALUE(LEFT(B22,1))+VALUE(RIGHT(B22,1)), 10)</f>
        <v/>
      </c>
      <c r="D22" s="3">
        <f>IF(ISNUMBER(SEARCH(TEXT(C22,"0"),$C$2)), "ĐÚNG TỔNG", "KHÔNG")</f>
        <v/>
      </c>
      <c r="E22" s="3">
        <f>IF(ISNUMBER(SEARCH(TEXT(C22,"0"), Du_Lieu_2026!$F$2 &amp; Du_Lieu_2026!$I$2 &amp; Du_Lieu_2026!$L$2 &amp; Du_Lieu_2026!$O$2)), "CÓ G7", "---")</f>
        <v/>
      </c>
      <c r="F22" s="3">
        <f>IF(E22="CÓ G7", "CÓ NGUỒN", "---")</f>
        <v/>
      </c>
      <c r="G22" s="3">
        <f>IF(OR(ISNUMBER(SEARCH(LEFT(B22,1),$G$2)), ISNUMBER(SEARCH(RIGHT(B22,1),$G$2))), "ĐÚNG CHẠM", "KHÔNG")</f>
        <v/>
      </c>
      <c r="H22" s="3">
        <f>IF(D22="ĐÚNG TỔNG", 15, 0) + IF(G22="ĐÚNG CHẠM", 15, 0) + IF(E22="CÓ G7", 10, 0) + (100-ROW())/1000</f>
        <v/>
      </c>
      <c r="I22" s="3">
        <f>IF(RANK(H22,$H$3:$H$102)&lt;=20, B22, "")</f>
        <v/>
      </c>
      <c r="J22" s="3">
        <f>IF(AND(D22="ĐÚNG TỔNG", G22="ĐÚNG CHẠM", RANK(H22,$H$3:$H$102)&lt;=10), B22, "")</f>
        <v/>
      </c>
    </row>
    <row r="23">
      <c r="A23" s="2" t="n">
        <v>21</v>
      </c>
      <c r="B23" s="2" t="inlineStr">
        <is>
          <t>20</t>
        </is>
      </c>
      <c r="C23" s="3">
        <f>MOD(VALUE(LEFT(B23,1))+VALUE(RIGHT(B23,1)), 10)</f>
        <v/>
      </c>
      <c r="D23" s="3">
        <f>IF(ISNUMBER(SEARCH(TEXT(C23,"0"),$C$2)), "ĐÚNG TỔNG", "KHÔNG")</f>
        <v/>
      </c>
      <c r="E23" s="3">
        <f>IF(ISNUMBER(SEARCH(TEXT(C23,"0"), Du_Lieu_2026!$F$2 &amp; Du_Lieu_2026!$I$2 &amp; Du_Lieu_2026!$L$2 &amp; Du_Lieu_2026!$O$2)), "CÓ G7", "---")</f>
        <v/>
      </c>
      <c r="F23" s="3">
        <f>IF(E23="CÓ G7", "CÓ NGUỒN", "---")</f>
        <v/>
      </c>
      <c r="G23" s="3">
        <f>IF(OR(ISNUMBER(SEARCH(LEFT(B23,1),$G$2)), ISNUMBER(SEARCH(RIGHT(B23,1),$G$2))), "ĐÚNG CHẠM", "KHÔNG")</f>
        <v/>
      </c>
      <c r="H23" s="3">
        <f>IF(D23="ĐÚNG TỔNG", 15, 0) + IF(G23="ĐÚNG CHẠM", 15, 0) + IF(E23="CÓ G7", 10, 0) + (100-ROW())/1000</f>
        <v/>
      </c>
      <c r="I23" s="3">
        <f>IF(RANK(H23,$H$3:$H$102)&lt;=20, B23, "")</f>
        <v/>
      </c>
      <c r="J23" s="3">
        <f>IF(AND(D23="ĐÚNG TỔNG", G23="ĐÚNG CHẠM", RANK(H23,$H$3:$H$102)&lt;=10), B23, "")</f>
        <v/>
      </c>
    </row>
    <row r="24">
      <c r="A24" s="2" t="n">
        <v>22</v>
      </c>
      <c r="B24" s="2" t="inlineStr">
        <is>
          <t>21</t>
        </is>
      </c>
      <c r="C24" s="3">
        <f>MOD(VALUE(LEFT(B24,1))+VALUE(RIGHT(B24,1)), 10)</f>
        <v/>
      </c>
      <c r="D24" s="3">
        <f>IF(ISNUMBER(SEARCH(TEXT(C24,"0"),$C$2)), "ĐÚNG TỔNG", "KHÔNG")</f>
        <v/>
      </c>
      <c r="E24" s="3">
        <f>IF(ISNUMBER(SEARCH(TEXT(C24,"0"), Du_Lieu_2026!$F$2 &amp; Du_Lieu_2026!$I$2 &amp; Du_Lieu_2026!$L$2 &amp; Du_Lieu_2026!$O$2)), "CÓ G7", "---")</f>
        <v/>
      </c>
      <c r="F24" s="3">
        <f>IF(E24="CÓ G7", "CÓ NGUỒN", "---")</f>
        <v/>
      </c>
      <c r="G24" s="3">
        <f>IF(OR(ISNUMBER(SEARCH(LEFT(B24,1),$G$2)), ISNUMBER(SEARCH(RIGHT(B24,1),$G$2))), "ĐÚNG CHẠM", "KHÔNG")</f>
        <v/>
      </c>
      <c r="H24" s="3">
        <f>IF(D24="ĐÚNG TỔNG", 15, 0) + IF(G24="ĐÚNG CHẠM", 15, 0) + IF(E24="CÓ G7", 10, 0) + (100-ROW())/1000</f>
        <v/>
      </c>
      <c r="I24" s="3">
        <f>IF(RANK(H24,$H$3:$H$102)&lt;=20, B24, "")</f>
        <v/>
      </c>
      <c r="J24" s="3">
        <f>IF(AND(D24="ĐÚNG TỔNG", G24="ĐÚNG CHẠM", RANK(H24,$H$3:$H$102)&lt;=10), B24, "")</f>
        <v/>
      </c>
    </row>
    <row r="25">
      <c r="A25" s="2" t="n">
        <v>23</v>
      </c>
      <c r="B25" s="2" t="inlineStr">
        <is>
          <t>22</t>
        </is>
      </c>
      <c r="C25" s="3">
        <f>MOD(VALUE(LEFT(B25,1))+VALUE(RIGHT(B25,1)), 10)</f>
        <v/>
      </c>
      <c r="D25" s="3">
        <f>IF(ISNUMBER(SEARCH(TEXT(C25,"0"),$C$2)), "ĐÚNG TỔNG", "KHÔNG")</f>
        <v/>
      </c>
      <c r="E25" s="3">
        <f>IF(ISNUMBER(SEARCH(TEXT(C25,"0"), Du_Lieu_2026!$F$2 &amp; Du_Lieu_2026!$I$2 &amp; Du_Lieu_2026!$L$2 &amp; Du_Lieu_2026!$O$2)), "CÓ G7", "---")</f>
        <v/>
      </c>
      <c r="F25" s="3">
        <f>IF(E25="CÓ G7", "CÓ NGUỒN", "---")</f>
        <v/>
      </c>
      <c r="G25" s="3">
        <f>IF(OR(ISNUMBER(SEARCH(LEFT(B25,1),$G$2)), ISNUMBER(SEARCH(RIGHT(B25,1),$G$2))), "ĐÚNG CHẠM", "KHÔNG")</f>
        <v/>
      </c>
      <c r="H25" s="3">
        <f>IF(D25="ĐÚNG TỔNG", 15, 0) + IF(G25="ĐÚNG CHẠM", 15, 0) + IF(E25="CÓ G7", 10, 0) + (100-ROW())/1000</f>
        <v/>
      </c>
      <c r="I25" s="3">
        <f>IF(RANK(H25,$H$3:$H$102)&lt;=20, B25, "")</f>
        <v/>
      </c>
      <c r="J25" s="3">
        <f>IF(AND(D25="ĐÚNG TỔNG", G25="ĐÚNG CHẠM", RANK(H25,$H$3:$H$102)&lt;=10), B25, "")</f>
        <v/>
      </c>
    </row>
    <row r="26">
      <c r="A26" s="2" t="n">
        <v>24</v>
      </c>
      <c r="B26" s="2" t="inlineStr">
        <is>
          <t>23</t>
        </is>
      </c>
      <c r="C26" s="3">
        <f>MOD(VALUE(LEFT(B26,1))+VALUE(RIGHT(B26,1)), 10)</f>
        <v/>
      </c>
      <c r="D26" s="3">
        <f>IF(ISNUMBER(SEARCH(TEXT(C26,"0"),$C$2)), "ĐÚNG TỔNG", "KHÔNG")</f>
        <v/>
      </c>
      <c r="E26" s="3">
        <f>IF(ISNUMBER(SEARCH(TEXT(C26,"0"), Du_Lieu_2026!$F$2 &amp; Du_Lieu_2026!$I$2 &amp; Du_Lieu_2026!$L$2 &amp; Du_Lieu_2026!$O$2)), "CÓ G7", "---")</f>
        <v/>
      </c>
      <c r="F26" s="3">
        <f>IF(E26="CÓ G7", "CÓ NGUỒN", "---")</f>
        <v/>
      </c>
      <c r="G26" s="3">
        <f>IF(OR(ISNUMBER(SEARCH(LEFT(B26,1),$G$2)), ISNUMBER(SEARCH(RIGHT(B26,1),$G$2))), "ĐÚNG CHẠM", "KHÔNG")</f>
        <v/>
      </c>
      <c r="H26" s="3">
        <f>IF(D26="ĐÚNG TỔNG", 15, 0) + IF(G26="ĐÚNG CHẠM", 15, 0) + IF(E26="CÓ G7", 10, 0) + (100-ROW())/1000</f>
        <v/>
      </c>
      <c r="I26" s="3">
        <f>IF(RANK(H26,$H$3:$H$102)&lt;=20, B26, "")</f>
        <v/>
      </c>
      <c r="J26" s="3">
        <f>IF(AND(D26="ĐÚNG TỔNG", G26="ĐÚNG CHẠM", RANK(H26,$H$3:$H$102)&lt;=10), B26, "")</f>
        <v/>
      </c>
    </row>
    <row r="27">
      <c r="A27" s="2" t="n">
        <v>25</v>
      </c>
      <c r="B27" s="2" t="inlineStr">
        <is>
          <t>24</t>
        </is>
      </c>
      <c r="C27" s="3">
        <f>MOD(VALUE(LEFT(B27,1))+VALUE(RIGHT(B27,1)), 10)</f>
        <v/>
      </c>
      <c r="D27" s="3">
        <f>IF(ISNUMBER(SEARCH(TEXT(C27,"0"),$C$2)), "ĐÚNG TỔNG", "KHÔNG")</f>
        <v/>
      </c>
      <c r="E27" s="3">
        <f>IF(ISNUMBER(SEARCH(TEXT(C27,"0"), Du_Lieu_2026!$F$2 &amp; Du_Lieu_2026!$I$2 &amp; Du_Lieu_2026!$L$2 &amp; Du_Lieu_2026!$O$2)), "CÓ G7", "---")</f>
        <v/>
      </c>
      <c r="F27" s="3">
        <f>IF(E27="CÓ G7", "CÓ NGUỒN", "---")</f>
        <v/>
      </c>
      <c r="G27" s="3">
        <f>IF(OR(ISNUMBER(SEARCH(LEFT(B27,1),$G$2)), ISNUMBER(SEARCH(RIGHT(B27,1),$G$2))), "ĐÚNG CHẠM", "KHÔNG")</f>
        <v/>
      </c>
      <c r="H27" s="3">
        <f>IF(D27="ĐÚNG TỔNG", 15, 0) + IF(G27="ĐÚNG CHẠM", 15, 0) + IF(E27="CÓ G7", 10, 0) + (100-ROW())/1000</f>
        <v/>
      </c>
      <c r="I27" s="3">
        <f>IF(RANK(H27,$H$3:$H$102)&lt;=20, B27, "")</f>
        <v/>
      </c>
      <c r="J27" s="3">
        <f>IF(AND(D27="ĐÚNG TỔNG", G27="ĐÚNG CHẠM", RANK(H27,$H$3:$H$102)&lt;=10), B27, "")</f>
        <v/>
      </c>
    </row>
    <row r="28">
      <c r="A28" s="2" t="n">
        <v>26</v>
      </c>
      <c r="B28" s="2" t="inlineStr">
        <is>
          <t>25</t>
        </is>
      </c>
      <c r="C28" s="3">
        <f>MOD(VALUE(LEFT(B28,1))+VALUE(RIGHT(B28,1)), 10)</f>
        <v/>
      </c>
      <c r="D28" s="3">
        <f>IF(ISNUMBER(SEARCH(TEXT(C28,"0"),$C$2)), "ĐÚNG TỔNG", "KHÔNG")</f>
        <v/>
      </c>
      <c r="E28" s="3">
        <f>IF(ISNUMBER(SEARCH(TEXT(C28,"0"), Du_Lieu_2026!$F$2 &amp; Du_Lieu_2026!$I$2 &amp; Du_Lieu_2026!$L$2 &amp; Du_Lieu_2026!$O$2)), "CÓ G7", "---")</f>
        <v/>
      </c>
      <c r="F28" s="3">
        <f>IF(E28="CÓ G7", "CÓ NGUỒN", "---")</f>
        <v/>
      </c>
      <c r="G28" s="3">
        <f>IF(OR(ISNUMBER(SEARCH(LEFT(B28,1),$G$2)), ISNUMBER(SEARCH(RIGHT(B28,1),$G$2))), "ĐÚNG CHẠM", "KHÔNG")</f>
        <v/>
      </c>
      <c r="H28" s="3">
        <f>IF(D28="ĐÚNG TỔNG", 15, 0) + IF(G28="ĐÚNG CHẠM", 15, 0) + IF(E28="CÓ G7", 10, 0) + (100-ROW())/1000</f>
        <v/>
      </c>
      <c r="I28" s="3">
        <f>IF(RANK(H28,$H$3:$H$102)&lt;=20, B28, "")</f>
        <v/>
      </c>
      <c r="J28" s="3">
        <f>IF(AND(D28="ĐÚNG TỔNG", G28="ĐÚNG CHẠM", RANK(H28,$H$3:$H$102)&lt;=10), B28, "")</f>
        <v/>
      </c>
    </row>
    <row r="29">
      <c r="A29" s="2" t="n">
        <v>27</v>
      </c>
      <c r="B29" s="2" t="inlineStr">
        <is>
          <t>26</t>
        </is>
      </c>
      <c r="C29" s="3">
        <f>MOD(VALUE(LEFT(B29,1))+VALUE(RIGHT(B29,1)), 10)</f>
        <v/>
      </c>
      <c r="D29" s="3">
        <f>IF(ISNUMBER(SEARCH(TEXT(C29,"0"),$C$2)), "ĐÚNG TỔNG", "KHÔNG")</f>
        <v/>
      </c>
      <c r="E29" s="3">
        <f>IF(ISNUMBER(SEARCH(TEXT(C29,"0"), Du_Lieu_2026!$F$2 &amp; Du_Lieu_2026!$I$2 &amp; Du_Lieu_2026!$L$2 &amp; Du_Lieu_2026!$O$2)), "CÓ G7", "---")</f>
        <v/>
      </c>
      <c r="F29" s="3">
        <f>IF(E29="CÓ G7", "CÓ NGUỒN", "---")</f>
        <v/>
      </c>
      <c r="G29" s="3">
        <f>IF(OR(ISNUMBER(SEARCH(LEFT(B29,1),$G$2)), ISNUMBER(SEARCH(RIGHT(B29,1),$G$2))), "ĐÚNG CHẠM", "KHÔNG")</f>
        <v/>
      </c>
      <c r="H29" s="3">
        <f>IF(D29="ĐÚNG TỔNG", 15, 0) + IF(G29="ĐÚNG CHẠM", 15, 0) + IF(E29="CÓ G7", 10, 0) + (100-ROW())/1000</f>
        <v/>
      </c>
      <c r="I29" s="3">
        <f>IF(RANK(H29,$H$3:$H$102)&lt;=20, B29, "")</f>
        <v/>
      </c>
      <c r="J29" s="3">
        <f>IF(AND(D29="ĐÚNG TỔNG", G29="ĐÚNG CHẠM", RANK(H29,$H$3:$H$102)&lt;=10), B29, "")</f>
        <v/>
      </c>
    </row>
    <row r="30">
      <c r="A30" s="2" t="n">
        <v>28</v>
      </c>
      <c r="B30" s="2" t="inlineStr">
        <is>
          <t>27</t>
        </is>
      </c>
      <c r="C30" s="3">
        <f>MOD(VALUE(LEFT(B30,1))+VALUE(RIGHT(B30,1)), 10)</f>
        <v/>
      </c>
      <c r="D30" s="3">
        <f>IF(ISNUMBER(SEARCH(TEXT(C30,"0"),$C$2)), "ĐÚNG TỔNG", "KHÔNG")</f>
        <v/>
      </c>
      <c r="E30" s="3">
        <f>IF(ISNUMBER(SEARCH(TEXT(C30,"0"), Du_Lieu_2026!$F$2 &amp; Du_Lieu_2026!$I$2 &amp; Du_Lieu_2026!$L$2 &amp; Du_Lieu_2026!$O$2)), "CÓ G7", "---")</f>
        <v/>
      </c>
      <c r="F30" s="3">
        <f>IF(E30="CÓ G7", "CÓ NGUỒN", "---")</f>
        <v/>
      </c>
      <c r="G30" s="3">
        <f>IF(OR(ISNUMBER(SEARCH(LEFT(B30,1),$G$2)), ISNUMBER(SEARCH(RIGHT(B30,1),$G$2))), "ĐÚNG CHẠM", "KHÔNG")</f>
        <v/>
      </c>
      <c r="H30" s="3">
        <f>IF(D30="ĐÚNG TỔNG", 15, 0) + IF(G30="ĐÚNG CHẠM", 15, 0) + IF(E30="CÓ G7", 10, 0) + (100-ROW())/1000</f>
        <v/>
      </c>
      <c r="I30" s="3">
        <f>IF(RANK(H30,$H$3:$H$102)&lt;=20, B30, "")</f>
        <v/>
      </c>
      <c r="J30" s="3">
        <f>IF(AND(D30="ĐÚNG TỔNG", G30="ĐÚNG CHẠM", RANK(H30,$H$3:$H$102)&lt;=10), B30, "")</f>
        <v/>
      </c>
    </row>
    <row r="31">
      <c r="A31" s="2" t="n">
        <v>29</v>
      </c>
      <c r="B31" s="2" t="inlineStr">
        <is>
          <t>28</t>
        </is>
      </c>
      <c r="C31" s="3">
        <f>MOD(VALUE(LEFT(B31,1))+VALUE(RIGHT(B31,1)), 10)</f>
        <v/>
      </c>
      <c r="D31" s="3">
        <f>IF(ISNUMBER(SEARCH(TEXT(C31,"0"),$C$2)), "ĐÚNG TỔNG", "KHÔNG")</f>
        <v/>
      </c>
      <c r="E31" s="3">
        <f>IF(ISNUMBER(SEARCH(TEXT(C31,"0"), Du_Lieu_2026!$F$2 &amp; Du_Lieu_2026!$I$2 &amp; Du_Lieu_2026!$L$2 &amp; Du_Lieu_2026!$O$2)), "CÓ G7", "---")</f>
        <v/>
      </c>
      <c r="F31" s="3">
        <f>IF(E31="CÓ G7", "CÓ NGUỒN", "---")</f>
        <v/>
      </c>
      <c r="G31" s="3">
        <f>IF(OR(ISNUMBER(SEARCH(LEFT(B31,1),$G$2)), ISNUMBER(SEARCH(RIGHT(B31,1),$G$2))), "ĐÚNG CHẠM", "KHÔNG")</f>
        <v/>
      </c>
      <c r="H31" s="3">
        <f>IF(D31="ĐÚNG TỔNG", 15, 0) + IF(G31="ĐÚNG CHẠM", 15, 0) + IF(E31="CÓ G7", 10, 0) + (100-ROW())/1000</f>
        <v/>
      </c>
      <c r="I31" s="3">
        <f>IF(RANK(H31,$H$3:$H$102)&lt;=20, B31, "")</f>
        <v/>
      </c>
      <c r="J31" s="3">
        <f>IF(AND(D31="ĐÚNG TỔNG", G31="ĐÚNG CHẠM", RANK(H31,$H$3:$H$102)&lt;=10), B31, "")</f>
        <v/>
      </c>
    </row>
    <row r="32">
      <c r="A32" s="2" t="n">
        <v>30</v>
      </c>
      <c r="B32" s="2" t="inlineStr">
        <is>
          <t>29</t>
        </is>
      </c>
      <c r="C32" s="3">
        <f>MOD(VALUE(LEFT(B32,1))+VALUE(RIGHT(B32,1)), 10)</f>
        <v/>
      </c>
      <c r="D32" s="3">
        <f>IF(ISNUMBER(SEARCH(TEXT(C32,"0"),$C$2)), "ĐÚNG TỔNG", "KHÔNG")</f>
        <v/>
      </c>
      <c r="E32" s="3">
        <f>IF(ISNUMBER(SEARCH(TEXT(C32,"0"), Du_Lieu_2026!$F$2 &amp; Du_Lieu_2026!$I$2 &amp; Du_Lieu_2026!$L$2 &amp; Du_Lieu_2026!$O$2)), "CÓ G7", "---")</f>
        <v/>
      </c>
      <c r="F32" s="3">
        <f>IF(E32="CÓ G7", "CÓ NGUỒN", "---")</f>
        <v/>
      </c>
      <c r="G32" s="3">
        <f>IF(OR(ISNUMBER(SEARCH(LEFT(B32,1),$G$2)), ISNUMBER(SEARCH(RIGHT(B32,1),$G$2))), "ĐÚNG CHẠM", "KHÔNG")</f>
        <v/>
      </c>
      <c r="H32" s="3">
        <f>IF(D32="ĐÚNG TỔNG", 15, 0) + IF(G32="ĐÚNG CHẠM", 15, 0) + IF(E32="CÓ G7", 10, 0) + (100-ROW())/1000</f>
        <v/>
      </c>
      <c r="I32" s="3">
        <f>IF(RANK(H32,$H$3:$H$102)&lt;=20, B32, "")</f>
        <v/>
      </c>
      <c r="J32" s="3">
        <f>IF(AND(D32="ĐÚNG TỔNG", G32="ĐÚNG CHẠM", RANK(H32,$H$3:$H$102)&lt;=10), B32, "")</f>
        <v/>
      </c>
    </row>
    <row r="33">
      <c r="A33" s="2" t="n">
        <v>31</v>
      </c>
      <c r="B33" s="2" t="inlineStr">
        <is>
          <t>30</t>
        </is>
      </c>
      <c r="C33" s="3">
        <f>MOD(VALUE(LEFT(B33,1))+VALUE(RIGHT(B33,1)), 10)</f>
        <v/>
      </c>
      <c r="D33" s="3">
        <f>IF(ISNUMBER(SEARCH(TEXT(C33,"0"),$C$2)), "ĐÚNG TỔNG", "KHÔNG")</f>
        <v/>
      </c>
      <c r="E33" s="3">
        <f>IF(ISNUMBER(SEARCH(TEXT(C33,"0"), Du_Lieu_2026!$F$2 &amp; Du_Lieu_2026!$I$2 &amp; Du_Lieu_2026!$L$2 &amp; Du_Lieu_2026!$O$2)), "CÓ G7", "---")</f>
        <v/>
      </c>
      <c r="F33" s="3">
        <f>IF(E33="CÓ G7", "CÓ NGUỒN", "---")</f>
        <v/>
      </c>
      <c r="G33" s="3">
        <f>IF(OR(ISNUMBER(SEARCH(LEFT(B33,1),$G$2)), ISNUMBER(SEARCH(RIGHT(B33,1),$G$2))), "ĐÚNG CHẠM", "KHÔNG")</f>
        <v/>
      </c>
      <c r="H33" s="3">
        <f>IF(D33="ĐÚNG TỔNG", 15, 0) + IF(G33="ĐÚNG CHẠM", 15, 0) + IF(E33="CÓ G7", 10, 0) + (100-ROW())/1000</f>
        <v/>
      </c>
      <c r="I33" s="3">
        <f>IF(RANK(H33,$H$3:$H$102)&lt;=20, B33, "")</f>
        <v/>
      </c>
      <c r="J33" s="3">
        <f>IF(AND(D33="ĐÚNG TỔNG", G33="ĐÚNG CHẠM", RANK(H33,$H$3:$H$102)&lt;=10), B33, "")</f>
        <v/>
      </c>
    </row>
    <row r="34">
      <c r="A34" s="2" t="n">
        <v>32</v>
      </c>
      <c r="B34" s="2" t="inlineStr">
        <is>
          <t>31</t>
        </is>
      </c>
      <c r="C34" s="3">
        <f>MOD(VALUE(LEFT(B34,1))+VALUE(RIGHT(B34,1)), 10)</f>
        <v/>
      </c>
      <c r="D34" s="3">
        <f>IF(ISNUMBER(SEARCH(TEXT(C34,"0"),$C$2)), "ĐÚNG TỔNG", "KHÔNG")</f>
        <v/>
      </c>
      <c r="E34" s="3">
        <f>IF(ISNUMBER(SEARCH(TEXT(C34,"0"), Du_Lieu_2026!$F$2 &amp; Du_Lieu_2026!$I$2 &amp; Du_Lieu_2026!$L$2 &amp; Du_Lieu_2026!$O$2)), "CÓ G7", "---")</f>
        <v/>
      </c>
      <c r="F34" s="3">
        <f>IF(E34="CÓ G7", "CÓ NGUỒN", "---")</f>
        <v/>
      </c>
      <c r="G34" s="3">
        <f>IF(OR(ISNUMBER(SEARCH(LEFT(B34,1),$G$2)), ISNUMBER(SEARCH(RIGHT(B34,1),$G$2))), "ĐÚNG CHẠM", "KHÔNG")</f>
        <v/>
      </c>
      <c r="H34" s="3">
        <f>IF(D34="ĐÚNG TỔNG", 15, 0) + IF(G34="ĐÚNG CHẠM", 15, 0) + IF(E34="CÓ G7", 10, 0) + (100-ROW())/1000</f>
        <v/>
      </c>
      <c r="I34" s="3">
        <f>IF(RANK(H34,$H$3:$H$102)&lt;=20, B34, "")</f>
        <v/>
      </c>
      <c r="J34" s="3">
        <f>IF(AND(D34="ĐÚNG TỔNG", G34="ĐÚNG CHẠM", RANK(H34,$H$3:$H$102)&lt;=10), B34, "")</f>
        <v/>
      </c>
    </row>
    <row r="35">
      <c r="A35" s="2" t="n">
        <v>33</v>
      </c>
      <c r="B35" s="2" t="inlineStr">
        <is>
          <t>32</t>
        </is>
      </c>
      <c r="C35" s="3">
        <f>MOD(VALUE(LEFT(B35,1))+VALUE(RIGHT(B35,1)), 10)</f>
        <v/>
      </c>
      <c r="D35" s="3">
        <f>IF(ISNUMBER(SEARCH(TEXT(C35,"0"),$C$2)), "ĐÚNG TỔNG", "KHÔNG")</f>
        <v/>
      </c>
      <c r="E35" s="3">
        <f>IF(ISNUMBER(SEARCH(TEXT(C35,"0"), Du_Lieu_2026!$F$2 &amp; Du_Lieu_2026!$I$2 &amp; Du_Lieu_2026!$L$2 &amp; Du_Lieu_2026!$O$2)), "CÓ G7", "---")</f>
        <v/>
      </c>
      <c r="F35" s="3">
        <f>IF(E35="CÓ G7", "CÓ NGUỒN", "---")</f>
        <v/>
      </c>
      <c r="G35" s="3">
        <f>IF(OR(ISNUMBER(SEARCH(LEFT(B35,1),$G$2)), ISNUMBER(SEARCH(RIGHT(B35,1),$G$2))), "ĐÚNG CHẠM", "KHÔNG")</f>
        <v/>
      </c>
      <c r="H35" s="3">
        <f>IF(D35="ĐÚNG TỔNG", 15, 0) + IF(G35="ĐÚNG CHẠM", 15, 0) + IF(E35="CÓ G7", 10, 0) + (100-ROW())/1000</f>
        <v/>
      </c>
      <c r="I35" s="3">
        <f>IF(RANK(H35,$H$3:$H$102)&lt;=20, B35, "")</f>
        <v/>
      </c>
      <c r="J35" s="3">
        <f>IF(AND(D35="ĐÚNG TỔNG", G35="ĐÚNG CHẠM", RANK(H35,$H$3:$H$102)&lt;=10), B35, "")</f>
        <v/>
      </c>
    </row>
    <row r="36">
      <c r="A36" s="2" t="n">
        <v>34</v>
      </c>
      <c r="B36" s="2" t="inlineStr">
        <is>
          <t>33</t>
        </is>
      </c>
      <c r="C36" s="3">
        <f>MOD(VALUE(LEFT(B36,1))+VALUE(RIGHT(B36,1)), 10)</f>
        <v/>
      </c>
      <c r="D36" s="3">
        <f>IF(ISNUMBER(SEARCH(TEXT(C36,"0"),$C$2)), "ĐÚNG TỔNG", "KHÔNG")</f>
        <v/>
      </c>
      <c r="E36" s="3">
        <f>IF(ISNUMBER(SEARCH(TEXT(C36,"0"), Du_Lieu_2026!$F$2 &amp; Du_Lieu_2026!$I$2 &amp; Du_Lieu_2026!$L$2 &amp; Du_Lieu_2026!$O$2)), "CÓ G7", "---")</f>
        <v/>
      </c>
      <c r="F36" s="3">
        <f>IF(E36="CÓ G7", "CÓ NGUỒN", "---")</f>
        <v/>
      </c>
      <c r="G36" s="3">
        <f>IF(OR(ISNUMBER(SEARCH(LEFT(B36,1),$G$2)), ISNUMBER(SEARCH(RIGHT(B36,1),$G$2))), "ĐÚNG CHẠM", "KHÔNG")</f>
        <v/>
      </c>
      <c r="H36" s="3">
        <f>IF(D36="ĐÚNG TỔNG", 15, 0) + IF(G36="ĐÚNG CHẠM", 15, 0) + IF(E36="CÓ G7", 10, 0) + (100-ROW())/1000</f>
        <v/>
      </c>
      <c r="I36" s="3">
        <f>IF(RANK(H36,$H$3:$H$102)&lt;=20, B36, "")</f>
        <v/>
      </c>
      <c r="J36" s="3">
        <f>IF(AND(D36="ĐÚNG TỔNG", G36="ĐÚNG CHẠM", RANK(H36,$H$3:$H$102)&lt;=10), B36, "")</f>
        <v/>
      </c>
    </row>
    <row r="37">
      <c r="A37" s="2" t="n">
        <v>35</v>
      </c>
      <c r="B37" s="2" t="inlineStr">
        <is>
          <t>34</t>
        </is>
      </c>
      <c r="C37" s="3">
        <f>MOD(VALUE(LEFT(B37,1))+VALUE(RIGHT(B37,1)), 10)</f>
        <v/>
      </c>
      <c r="D37" s="3">
        <f>IF(ISNUMBER(SEARCH(TEXT(C37,"0"),$C$2)), "ĐÚNG TỔNG", "KHÔNG")</f>
        <v/>
      </c>
      <c r="E37" s="3">
        <f>IF(ISNUMBER(SEARCH(TEXT(C37,"0"), Du_Lieu_2026!$F$2 &amp; Du_Lieu_2026!$I$2 &amp; Du_Lieu_2026!$L$2 &amp; Du_Lieu_2026!$O$2)), "CÓ G7", "---")</f>
        <v/>
      </c>
      <c r="F37" s="3">
        <f>IF(E37="CÓ G7", "CÓ NGUỒN", "---")</f>
        <v/>
      </c>
      <c r="G37" s="3">
        <f>IF(OR(ISNUMBER(SEARCH(LEFT(B37,1),$G$2)), ISNUMBER(SEARCH(RIGHT(B37,1),$G$2))), "ĐÚNG CHẠM", "KHÔNG")</f>
        <v/>
      </c>
      <c r="H37" s="3">
        <f>IF(D37="ĐÚNG TỔNG", 15, 0) + IF(G37="ĐÚNG CHẠM", 15, 0) + IF(E37="CÓ G7", 10, 0) + (100-ROW())/1000</f>
        <v/>
      </c>
      <c r="I37" s="3">
        <f>IF(RANK(H37,$H$3:$H$102)&lt;=20, B37, "")</f>
        <v/>
      </c>
      <c r="J37" s="3">
        <f>IF(AND(D37="ĐÚNG TỔNG", G37="ĐÚNG CHẠM", RANK(H37,$H$3:$H$102)&lt;=10), B37, "")</f>
        <v/>
      </c>
    </row>
    <row r="38">
      <c r="A38" s="2" t="n">
        <v>36</v>
      </c>
      <c r="B38" s="2" t="inlineStr">
        <is>
          <t>35</t>
        </is>
      </c>
      <c r="C38" s="3">
        <f>MOD(VALUE(LEFT(B38,1))+VALUE(RIGHT(B38,1)), 10)</f>
        <v/>
      </c>
      <c r="D38" s="3">
        <f>IF(ISNUMBER(SEARCH(TEXT(C38,"0"),$C$2)), "ĐÚNG TỔNG", "KHÔNG")</f>
        <v/>
      </c>
      <c r="E38" s="3">
        <f>IF(ISNUMBER(SEARCH(TEXT(C38,"0"), Du_Lieu_2026!$F$2 &amp; Du_Lieu_2026!$I$2 &amp; Du_Lieu_2026!$L$2 &amp; Du_Lieu_2026!$O$2)), "CÓ G7", "---")</f>
        <v/>
      </c>
      <c r="F38" s="3">
        <f>IF(E38="CÓ G7", "CÓ NGUỒN", "---")</f>
        <v/>
      </c>
      <c r="G38" s="3">
        <f>IF(OR(ISNUMBER(SEARCH(LEFT(B38,1),$G$2)), ISNUMBER(SEARCH(RIGHT(B38,1),$G$2))), "ĐÚNG CHẠM", "KHÔNG")</f>
        <v/>
      </c>
      <c r="H38" s="3">
        <f>IF(D38="ĐÚNG TỔNG", 15, 0) + IF(G38="ĐÚNG CHẠM", 15, 0) + IF(E38="CÓ G7", 10, 0) + (100-ROW())/1000</f>
        <v/>
      </c>
      <c r="I38" s="3">
        <f>IF(RANK(H38,$H$3:$H$102)&lt;=20, B38, "")</f>
        <v/>
      </c>
      <c r="J38" s="3">
        <f>IF(AND(D38="ĐÚNG TỔNG", G38="ĐÚNG CHẠM", RANK(H38,$H$3:$H$102)&lt;=10), B38, "")</f>
        <v/>
      </c>
    </row>
    <row r="39">
      <c r="A39" s="2" t="n">
        <v>37</v>
      </c>
      <c r="B39" s="2" t="inlineStr">
        <is>
          <t>36</t>
        </is>
      </c>
      <c r="C39" s="3">
        <f>MOD(VALUE(LEFT(B39,1))+VALUE(RIGHT(B39,1)), 10)</f>
        <v/>
      </c>
      <c r="D39" s="3">
        <f>IF(ISNUMBER(SEARCH(TEXT(C39,"0"),$C$2)), "ĐÚNG TỔNG", "KHÔNG")</f>
        <v/>
      </c>
      <c r="E39" s="3">
        <f>IF(ISNUMBER(SEARCH(TEXT(C39,"0"), Du_Lieu_2026!$F$2 &amp; Du_Lieu_2026!$I$2 &amp; Du_Lieu_2026!$L$2 &amp; Du_Lieu_2026!$O$2)), "CÓ G7", "---")</f>
        <v/>
      </c>
      <c r="F39" s="3">
        <f>IF(E39="CÓ G7", "CÓ NGUỒN", "---")</f>
        <v/>
      </c>
      <c r="G39" s="3">
        <f>IF(OR(ISNUMBER(SEARCH(LEFT(B39,1),$G$2)), ISNUMBER(SEARCH(RIGHT(B39,1),$G$2))), "ĐÚNG CHẠM", "KHÔNG")</f>
        <v/>
      </c>
      <c r="H39" s="3">
        <f>IF(D39="ĐÚNG TỔNG", 15, 0) + IF(G39="ĐÚNG CHẠM", 15, 0) + IF(E39="CÓ G7", 10, 0) + (100-ROW())/1000</f>
        <v/>
      </c>
      <c r="I39" s="3">
        <f>IF(RANK(H39,$H$3:$H$102)&lt;=20, B39, "")</f>
        <v/>
      </c>
      <c r="J39" s="3">
        <f>IF(AND(D39="ĐÚNG TỔNG", G39="ĐÚNG CHẠM", RANK(H39,$H$3:$H$102)&lt;=10), B39, "")</f>
        <v/>
      </c>
    </row>
    <row r="40">
      <c r="A40" s="2" t="n">
        <v>38</v>
      </c>
      <c r="B40" s="2" t="inlineStr">
        <is>
          <t>37</t>
        </is>
      </c>
      <c r="C40" s="3">
        <f>MOD(VALUE(LEFT(B40,1))+VALUE(RIGHT(B40,1)), 10)</f>
        <v/>
      </c>
      <c r="D40" s="3">
        <f>IF(ISNUMBER(SEARCH(TEXT(C40,"0"),$C$2)), "ĐÚNG TỔNG", "KHÔNG")</f>
        <v/>
      </c>
      <c r="E40" s="3">
        <f>IF(ISNUMBER(SEARCH(TEXT(C40,"0"), Du_Lieu_2026!$F$2 &amp; Du_Lieu_2026!$I$2 &amp; Du_Lieu_2026!$L$2 &amp; Du_Lieu_2026!$O$2)), "CÓ G7", "---")</f>
        <v/>
      </c>
      <c r="F40" s="3">
        <f>IF(E40="CÓ G7", "CÓ NGUỒN", "---")</f>
        <v/>
      </c>
      <c r="G40" s="3">
        <f>IF(OR(ISNUMBER(SEARCH(LEFT(B40,1),$G$2)), ISNUMBER(SEARCH(RIGHT(B40,1),$G$2))), "ĐÚNG CHẠM", "KHÔNG")</f>
        <v/>
      </c>
      <c r="H40" s="3">
        <f>IF(D40="ĐÚNG TỔNG", 15, 0) + IF(G40="ĐÚNG CHẠM", 15, 0) + IF(E40="CÓ G7", 10, 0) + (100-ROW())/1000</f>
        <v/>
      </c>
      <c r="I40" s="3">
        <f>IF(RANK(H40,$H$3:$H$102)&lt;=20, B40, "")</f>
        <v/>
      </c>
      <c r="J40" s="3">
        <f>IF(AND(D40="ĐÚNG TỔNG", G40="ĐÚNG CHẠM", RANK(H40,$H$3:$H$102)&lt;=10), B40, "")</f>
        <v/>
      </c>
    </row>
    <row r="41">
      <c r="A41" s="2" t="n">
        <v>39</v>
      </c>
      <c r="B41" s="2" t="inlineStr">
        <is>
          <t>38</t>
        </is>
      </c>
      <c r="C41" s="3">
        <f>MOD(VALUE(LEFT(B41,1))+VALUE(RIGHT(B41,1)), 10)</f>
        <v/>
      </c>
      <c r="D41" s="3">
        <f>IF(ISNUMBER(SEARCH(TEXT(C41,"0"),$C$2)), "ĐÚNG TỔNG", "KHÔNG")</f>
        <v/>
      </c>
      <c r="E41" s="3">
        <f>IF(ISNUMBER(SEARCH(TEXT(C41,"0"), Du_Lieu_2026!$F$2 &amp; Du_Lieu_2026!$I$2 &amp; Du_Lieu_2026!$L$2 &amp; Du_Lieu_2026!$O$2)), "CÓ G7", "---")</f>
        <v/>
      </c>
      <c r="F41" s="3">
        <f>IF(E41="CÓ G7", "CÓ NGUỒN", "---")</f>
        <v/>
      </c>
      <c r="G41" s="3">
        <f>IF(OR(ISNUMBER(SEARCH(LEFT(B41,1),$G$2)), ISNUMBER(SEARCH(RIGHT(B41,1),$G$2))), "ĐÚNG CHẠM", "KHÔNG")</f>
        <v/>
      </c>
      <c r="H41" s="3">
        <f>IF(D41="ĐÚNG TỔNG", 15, 0) + IF(G41="ĐÚNG CHẠM", 15, 0) + IF(E41="CÓ G7", 10, 0) + (100-ROW())/1000</f>
        <v/>
      </c>
      <c r="I41" s="3">
        <f>IF(RANK(H41,$H$3:$H$102)&lt;=20, B41, "")</f>
        <v/>
      </c>
      <c r="J41" s="3">
        <f>IF(AND(D41="ĐÚNG TỔNG", G41="ĐÚNG CHẠM", RANK(H41,$H$3:$H$102)&lt;=10), B41, "")</f>
        <v/>
      </c>
    </row>
    <row r="42">
      <c r="A42" s="2" t="n">
        <v>40</v>
      </c>
      <c r="B42" s="2" t="inlineStr">
        <is>
          <t>39</t>
        </is>
      </c>
      <c r="C42" s="3">
        <f>MOD(VALUE(LEFT(B42,1))+VALUE(RIGHT(B42,1)), 10)</f>
        <v/>
      </c>
      <c r="D42" s="3">
        <f>IF(ISNUMBER(SEARCH(TEXT(C42,"0"),$C$2)), "ĐÚNG TỔNG", "KHÔNG")</f>
        <v/>
      </c>
      <c r="E42" s="3">
        <f>IF(ISNUMBER(SEARCH(TEXT(C42,"0"), Du_Lieu_2026!$F$2 &amp; Du_Lieu_2026!$I$2 &amp; Du_Lieu_2026!$L$2 &amp; Du_Lieu_2026!$O$2)), "CÓ G7", "---")</f>
        <v/>
      </c>
      <c r="F42" s="3">
        <f>IF(E42="CÓ G7", "CÓ NGUỒN", "---")</f>
        <v/>
      </c>
      <c r="G42" s="3">
        <f>IF(OR(ISNUMBER(SEARCH(LEFT(B42,1),$G$2)), ISNUMBER(SEARCH(RIGHT(B42,1),$G$2))), "ĐÚNG CHẠM", "KHÔNG")</f>
        <v/>
      </c>
      <c r="H42" s="3">
        <f>IF(D42="ĐÚNG TỔNG", 15, 0) + IF(G42="ĐÚNG CHẠM", 15, 0) + IF(E42="CÓ G7", 10, 0) + (100-ROW())/1000</f>
        <v/>
      </c>
      <c r="I42" s="3">
        <f>IF(RANK(H42,$H$3:$H$102)&lt;=20, B42, "")</f>
        <v/>
      </c>
      <c r="J42" s="3">
        <f>IF(AND(D42="ĐÚNG TỔNG", G42="ĐÚNG CHẠM", RANK(H42,$H$3:$H$102)&lt;=10), B42, "")</f>
        <v/>
      </c>
    </row>
    <row r="43">
      <c r="A43" s="2" t="n">
        <v>41</v>
      </c>
      <c r="B43" s="2" t="inlineStr">
        <is>
          <t>40</t>
        </is>
      </c>
      <c r="C43" s="3">
        <f>MOD(VALUE(LEFT(B43,1))+VALUE(RIGHT(B43,1)), 10)</f>
        <v/>
      </c>
      <c r="D43" s="3">
        <f>IF(ISNUMBER(SEARCH(TEXT(C43,"0"),$C$2)), "ĐÚNG TỔNG", "KHÔNG")</f>
        <v/>
      </c>
      <c r="E43" s="3">
        <f>IF(ISNUMBER(SEARCH(TEXT(C43,"0"), Du_Lieu_2026!$F$2 &amp; Du_Lieu_2026!$I$2 &amp; Du_Lieu_2026!$L$2 &amp; Du_Lieu_2026!$O$2)), "CÓ G7", "---")</f>
        <v/>
      </c>
      <c r="F43" s="3">
        <f>IF(E43="CÓ G7", "CÓ NGUỒN", "---")</f>
        <v/>
      </c>
      <c r="G43" s="3">
        <f>IF(OR(ISNUMBER(SEARCH(LEFT(B43,1),$G$2)), ISNUMBER(SEARCH(RIGHT(B43,1),$G$2))), "ĐÚNG CHẠM", "KHÔNG")</f>
        <v/>
      </c>
      <c r="H43" s="3">
        <f>IF(D43="ĐÚNG TỔNG", 15, 0) + IF(G43="ĐÚNG CHẠM", 15, 0) + IF(E43="CÓ G7", 10, 0) + (100-ROW())/1000</f>
        <v/>
      </c>
      <c r="I43" s="3">
        <f>IF(RANK(H43,$H$3:$H$102)&lt;=20, B43, "")</f>
        <v/>
      </c>
      <c r="J43" s="3">
        <f>IF(AND(D43="ĐÚNG TỔNG", G43="ĐÚNG CHẠM", RANK(H43,$H$3:$H$102)&lt;=10), B43, "")</f>
        <v/>
      </c>
    </row>
    <row r="44">
      <c r="A44" s="2" t="n">
        <v>42</v>
      </c>
      <c r="B44" s="2" t="inlineStr">
        <is>
          <t>41</t>
        </is>
      </c>
      <c r="C44" s="3">
        <f>MOD(VALUE(LEFT(B44,1))+VALUE(RIGHT(B44,1)), 10)</f>
        <v/>
      </c>
      <c r="D44" s="3">
        <f>IF(ISNUMBER(SEARCH(TEXT(C44,"0"),$C$2)), "ĐÚNG TỔNG", "KHÔNG")</f>
        <v/>
      </c>
      <c r="E44" s="3">
        <f>IF(ISNUMBER(SEARCH(TEXT(C44,"0"), Du_Lieu_2026!$F$2 &amp; Du_Lieu_2026!$I$2 &amp; Du_Lieu_2026!$L$2 &amp; Du_Lieu_2026!$O$2)), "CÓ G7", "---")</f>
        <v/>
      </c>
      <c r="F44" s="3">
        <f>IF(E44="CÓ G7", "CÓ NGUỒN", "---")</f>
        <v/>
      </c>
      <c r="G44" s="3">
        <f>IF(OR(ISNUMBER(SEARCH(LEFT(B44,1),$G$2)), ISNUMBER(SEARCH(RIGHT(B44,1),$G$2))), "ĐÚNG CHẠM", "KHÔNG")</f>
        <v/>
      </c>
      <c r="H44" s="3">
        <f>IF(D44="ĐÚNG TỔNG", 15, 0) + IF(G44="ĐÚNG CHẠM", 15, 0) + IF(E44="CÓ G7", 10, 0) + (100-ROW())/1000</f>
        <v/>
      </c>
      <c r="I44" s="3">
        <f>IF(RANK(H44,$H$3:$H$102)&lt;=20, B44, "")</f>
        <v/>
      </c>
      <c r="J44" s="3">
        <f>IF(AND(D44="ĐÚNG TỔNG", G44="ĐÚNG CHẠM", RANK(H44,$H$3:$H$102)&lt;=10), B44, "")</f>
        <v/>
      </c>
    </row>
    <row r="45">
      <c r="A45" s="2" t="n">
        <v>43</v>
      </c>
      <c r="B45" s="2" t="inlineStr">
        <is>
          <t>42</t>
        </is>
      </c>
      <c r="C45" s="3">
        <f>MOD(VALUE(LEFT(B45,1))+VALUE(RIGHT(B45,1)), 10)</f>
        <v/>
      </c>
      <c r="D45" s="3">
        <f>IF(ISNUMBER(SEARCH(TEXT(C45,"0"),$C$2)), "ĐÚNG TỔNG", "KHÔNG")</f>
        <v/>
      </c>
      <c r="E45" s="3">
        <f>IF(ISNUMBER(SEARCH(TEXT(C45,"0"), Du_Lieu_2026!$F$2 &amp; Du_Lieu_2026!$I$2 &amp; Du_Lieu_2026!$L$2 &amp; Du_Lieu_2026!$O$2)), "CÓ G7", "---")</f>
        <v/>
      </c>
      <c r="F45" s="3">
        <f>IF(E45="CÓ G7", "CÓ NGUỒN", "---")</f>
        <v/>
      </c>
      <c r="G45" s="3">
        <f>IF(OR(ISNUMBER(SEARCH(LEFT(B45,1),$G$2)), ISNUMBER(SEARCH(RIGHT(B45,1),$G$2))), "ĐÚNG CHẠM", "KHÔNG")</f>
        <v/>
      </c>
      <c r="H45" s="3">
        <f>IF(D45="ĐÚNG TỔNG", 15, 0) + IF(G45="ĐÚNG CHẠM", 15, 0) + IF(E45="CÓ G7", 10, 0) + (100-ROW())/1000</f>
        <v/>
      </c>
      <c r="I45" s="3">
        <f>IF(RANK(H45,$H$3:$H$102)&lt;=20, B45, "")</f>
        <v/>
      </c>
      <c r="J45" s="3">
        <f>IF(AND(D45="ĐÚNG TỔNG", G45="ĐÚNG CHẠM", RANK(H45,$H$3:$H$102)&lt;=10), B45, "")</f>
        <v/>
      </c>
    </row>
    <row r="46">
      <c r="A46" s="2" t="n">
        <v>44</v>
      </c>
      <c r="B46" s="2" t="inlineStr">
        <is>
          <t>43</t>
        </is>
      </c>
      <c r="C46" s="3">
        <f>MOD(VALUE(LEFT(B46,1))+VALUE(RIGHT(B46,1)), 10)</f>
        <v/>
      </c>
      <c r="D46" s="3">
        <f>IF(ISNUMBER(SEARCH(TEXT(C46,"0"),$C$2)), "ĐÚNG TỔNG", "KHÔNG")</f>
        <v/>
      </c>
      <c r="E46" s="3">
        <f>IF(ISNUMBER(SEARCH(TEXT(C46,"0"), Du_Lieu_2026!$F$2 &amp; Du_Lieu_2026!$I$2 &amp; Du_Lieu_2026!$L$2 &amp; Du_Lieu_2026!$O$2)), "CÓ G7", "---")</f>
        <v/>
      </c>
      <c r="F46" s="3">
        <f>IF(E46="CÓ G7", "CÓ NGUỒN", "---")</f>
        <v/>
      </c>
      <c r="G46" s="3">
        <f>IF(OR(ISNUMBER(SEARCH(LEFT(B46,1),$G$2)), ISNUMBER(SEARCH(RIGHT(B46,1),$G$2))), "ĐÚNG CHẠM", "KHÔNG")</f>
        <v/>
      </c>
      <c r="H46" s="3">
        <f>IF(D46="ĐÚNG TỔNG", 15, 0) + IF(G46="ĐÚNG CHẠM", 15, 0) + IF(E46="CÓ G7", 10, 0) + (100-ROW())/1000</f>
        <v/>
      </c>
      <c r="I46" s="3">
        <f>IF(RANK(H46,$H$3:$H$102)&lt;=20, B46, "")</f>
        <v/>
      </c>
      <c r="J46" s="3">
        <f>IF(AND(D46="ĐÚNG TỔNG", G46="ĐÚNG CHẠM", RANK(H46,$H$3:$H$102)&lt;=10), B46, "")</f>
        <v/>
      </c>
    </row>
    <row r="47">
      <c r="A47" s="2" t="n">
        <v>45</v>
      </c>
      <c r="B47" s="2" t="inlineStr">
        <is>
          <t>44</t>
        </is>
      </c>
      <c r="C47" s="3">
        <f>MOD(VALUE(LEFT(B47,1))+VALUE(RIGHT(B47,1)), 10)</f>
        <v/>
      </c>
      <c r="D47" s="3">
        <f>IF(ISNUMBER(SEARCH(TEXT(C47,"0"),$C$2)), "ĐÚNG TỔNG", "KHÔNG")</f>
        <v/>
      </c>
      <c r="E47" s="3">
        <f>IF(ISNUMBER(SEARCH(TEXT(C47,"0"), Du_Lieu_2026!$F$2 &amp; Du_Lieu_2026!$I$2 &amp; Du_Lieu_2026!$L$2 &amp; Du_Lieu_2026!$O$2)), "CÓ G7", "---")</f>
        <v/>
      </c>
      <c r="F47" s="3">
        <f>IF(E47="CÓ G7", "CÓ NGUỒN", "---")</f>
        <v/>
      </c>
      <c r="G47" s="3">
        <f>IF(OR(ISNUMBER(SEARCH(LEFT(B47,1),$G$2)), ISNUMBER(SEARCH(RIGHT(B47,1),$G$2))), "ĐÚNG CHẠM", "KHÔNG")</f>
        <v/>
      </c>
      <c r="H47" s="3">
        <f>IF(D47="ĐÚNG TỔNG", 15, 0) + IF(G47="ĐÚNG CHẠM", 15, 0) + IF(E47="CÓ G7", 10, 0) + (100-ROW())/1000</f>
        <v/>
      </c>
      <c r="I47" s="3">
        <f>IF(RANK(H47,$H$3:$H$102)&lt;=20, B47, "")</f>
        <v/>
      </c>
      <c r="J47" s="3">
        <f>IF(AND(D47="ĐÚNG TỔNG", G47="ĐÚNG CHẠM", RANK(H47,$H$3:$H$102)&lt;=10), B47, "")</f>
        <v/>
      </c>
    </row>
    <row r="48">
      <c r="A48" s="2" t="n">
        <v>46</v>
      </c>
      <c r="B48" s="2" t="inlineStr">
        <is>
          <t>45</t>
        </is>
      </c>
      <c r="C48" s="3">
        <f>MOD(VALUE(LEFT(B48,1))+VALUE(RIGHT(B48,1)), 10)</f>
        <v/>
      </c>
      <c r="D48" s="3">
        <f>IF(ISNUMBER(SEARCH(TEXT(C48,"0"),$C$2)), "ĐÚNG TỔNG", "KHÔNG")</f>
        <v/>
      </c>
      <c r="E48" s="3">
        <f>IF(ISNUMBER(SEARCH(TEXT(C48,"0"), Du_Lieu_2026!$F$2 &amp; Du_Lieu_2026!$I$2 &amp; Du_Lieu_2026!$L$2 &amp; Du_Lieu_2026!$O$2)), "CÓ G7", "---")</f>
        <v/>
      </c>
      <c r="F48" s="3">
        <f>IF(E48="CÓ G7", "CÓ NGUỒN", "---")</f>
        <v/>
      </c>
      <c r="G48" s="3">
        <f>IF(OR(ISNUMBER(SEARCH(LEFT(B48,1),$G$2)), ISNUMBER(SEARCH(RIGHT(B48,1),$G$2))), "ĐÚNG CHẠM", "KHÔNG")</f>
        <v/>
      </c>
      <c r="H48" s="3">
        <f>IF(D48="ĐÚNG TỔNG", 15, 0) + IF(G48="ĐÚNG CHẠM", 15, 0) + IF(E48="CÓ G7", 10, 0) + (100-ROW())/1000</f>
        <v/>
      </c>
      <c r="I48" s="3">
        <f>IF(RANK(H48,$H$3:$H$102)&lt;=20, B48, "")</f>
        <v/>
      </c>
      <c r="J48" s="3">
        <f>IF(AND(D48="ĐÚNG TỔNG", G48="ĐÚNG CHẠM", RANK(H48,$H$3:$H$102)&lt;=10), B48, "")</f>
        <v/>
      </c>
    </row>
    <row r="49">
      <c r="A49" s="2" t="n">
        <v>47</v>
      </c>
      <c r="B49" s="2" t="inlineStr">
        <is>
          <t>46</t>
        </is>
      </c>
      <c r="C49" s="3">
        <f>MOD(VALUE(LEFT(B49,1))+VALUE(RIGHT(B49,1)), 10)</f>
        <v/>
      </c>
      <c r="D49" s="3">
        <f>IF(ISNUMBER(SEARCH(TEXT(C49,"0"),$C$2)), "ĐÚNG TỔNG", "KHÔNG")</f>
        <v/>
      </c>
      <c r="E49" s="3">
        <f>IF(ISNUMBER(SEARCH(TEXT(C49,"0"), Du_Lieu_2026!$F$2 &amp; Du_Lieu_2026!$I$2 &amp; Du_Lieu_2026!$L$2 &amp; Du_Lieu_2026!$O$2)), "CÓ G7", "---")</f>
        <v/>
      </c>
      <c r="F49" s="3">
        <f>IF(E49="CÓ G7", "CÓ NGUỒN", "---")</f>
        <v/>
      </c>
      <c r="G49" s="3">
        <f>IF(OR(ISNUMBER(SEARCH(LEFT(B49,1),$G$2)), ISNUMBER(SEARCH(RIGHT(B49,1),$G$2))), "ĐÚNG CHẠM", "KHÔNG")</f>
        <v/>
      </c>
      <c r="H49" s="3">
        <f>IF(D49="ĐÚNG TỔNG", 15, 0) + IF(G49="ĐÚNG CHẠM", 15, 0) + IF(E49="CÓ G7", 10, 0) + (100-ROW())/1000</f>
        <v/>
      </c>
      <c r="I49" s="3">
        <f>IF(RANK(H49,$H$3:$H$102)&lt;=20, B49, "")</f>
        <v/>
      </c>
      <c r="J49" s="3">
        <f>IF(AND(D49="ĐÚNG TỔNG", G49="ĐÚNG CHẠM", RANK(H49,$H$3:$H$102)&lt;=10), B49, "")</f>
        <v/>
      </c>
    </row>
    <row r="50">
      <c r="A50" s="2" t="n">
        <v>48</v>
      </c>
      <c r="B50" s="2" t="inlineStr">
        <is>
          <t>47</t>
        </is>
      </c>
      <c r="C50" s="3">
        <f>MOD(VALUE(LEFT(B50,1))+VALUE(RIGHT(B50,1)), 10)</f>
        <v/>
      </c>
      <c r="D50" s="3">
        <f>IF(ISNUMBER(SEARCH(TEXT(C50,"0"),$C$2)), "ĐÚNG TỔNG", "KHÔNG")</f>
        <v/>
      </c>
      <c r="E50" s="3">
        <f>IF(ISNUMBER(SEARCH(TEXT(C50,"0"), Du_Lieu_2026!$F$2 &amp; Du_Lieu_2026!$I$2 &amp; Du_Lieu_2026!$L$2 &amp; Du_Lieu_2026!$O$2)), "CÓ G7", "---")</f>
        <v/>
      </c>
      <c r="F50" s="3">
        <f>IF(E50="CÓ G7", "CÓ NGUỒN", "---")</f>
        <v/>
      </c>
      <c r="G50" s="3">
        <f>IF(OR(ISNUMBER(SEARCH(LEFT(B50,1),$G$2)), ISNUMBER(SEARCH(RIGHT(B50,1),$G$2))), "ĐÚNG CHẠM", "KHÔNG")</f>
        <v/>
      </c>
      <c r="H50" s="3">
        <f>IF(D50="ĐÚNG TỔNG", 15, 0) + IF(G50="ĐÚNG CHẠM", 15, 0) + IF(E50="CÓ G7", 10, 0) + (100-ROW())/1000</f>
        <v/>
      </c>
      <c r="I50" s="3">
        <f>IF(RANK(H50,$H$3:$H$102)&lt;=20, B50, "")</f>
        <v/>
      </c>
      <c r="J50" s="3">
        <f>IF(AND(D50="ĐÚNG TỔNG", G50="ĐÚNG CHẠM", RANK(H50,$H$3:$H$102)&lt;=10), B50, "")</f>
        <v/>
      </c>
    </row>
    <row r="51">
      <c r="A51" s="2" t="n">
        <v>49</v>
      </c>
      <c r="B51" s="2" t="inlineStr">
        <is>
          <t>48</t>
        </is>
      </c>
      <c r="C51" s="3">
        <f>MOD(VALUE(LEFT(B51,1))+VALUE(RIGHT(B51,1)), 10)</f>
        <v/>
      </c>
      <c r="D51" s="3">
        <f>IF(ISNUMBER(SEARCH(TEXT(C51,"0"),$C$2)), "ĐÚNG TỔNG", "KHÔNG")</f>
        <v/>
      </c>
      <c r="E51" s="3">
        <f>IF(ISNUMBER(SEARCH(TEXT(C51,"0"), Du_Lieu_2026!$F$2 &amp; Du_Lieu_2026!$I$2 &amp; Du_Lieu_2026!$L$2 &amp; Du_Lieu_2026!$O$2)), "CÓ G7", "---")</f>
        <v/>
      </c>
      <c r="F51" s="3">
        <f>IF(E51="CÓ G7", "CÓ NGUỒN", "---")</f>
        <v/>
      </c>
      <c r="G51" s="3">
        <f>IF(OR(ISNUMBER(SEARCH(LEFT(B51,1),$G$2)), ISNUMBER(SEARCH(RIGHT(B51,1),$G$2))), "ĐÚNG CHẠM", "KHÔNG")</f>
        <v/>
      </c>
      <c r="H51" s="3">
        <f>IF(D51="ĐÚNG TỔNG", 15, 0) + IF(G51="ĐÚNG CHẠM", 15, 0) + IF(E51="CÓ G7", 10, 0) + (100-ROW())/1000</f>
        <v/>
      </c>
      <c r="I51" s="3">
        <f>IF(RANK(H51,$H$3:$H$102)&lt;=20, B51, "")</f>
        <v/>
      </c>
      <c r="J51" s="3">
        <f>IF(AND(D51="ĐÚNG TỔNG", G51="ĐÚNG CHẠM", RANK(H51,$H$3:$H$102)&lt;=10), B51, "")</f>
        <v/>
      </c>
    </row>
    <row r="52">
      <c r="A52" s="2" t="n">
        <v>50</v>
      </c>
      <c r="B52" s="2" t="inlineStr">
        <is>
          <t>49</t>
        </is>
      </c>
      <c r="C52" s="3">
        <f>MOD(VALUE(LEFT(B52,1))+VALUE(RIGHT(B52,1)), 10)</f>
        <v/>
      </c>
      <c r="D52" s="3">
        <f>IF(ISNUMBER(SEARCH(TEXT(C52,"0"),$C$2)), "ĐÚNG TỔNG", "KHÔNG")</f>
        <v/>
      </c>
      <c r="E52" s="3">
        <f>IF(ISNUMBER(SEARCH(TEXT(C52,"0"), Du_Lieu_2026!$F$2 &amp; Du_Lieu_2026!$I$2 &amp; Du_Lieu_2026!$L$2 &amp; Du_Lieu_2026!$O$2)), "CÓ G7", "---")</f>
        <v/>
      </c>
      <c r="F52" s="3">
        <f>IF(E52="CÓ G7", "CÓ NGUỒN", "---")</f>
        <v/>
      </c>
      <c r="G52" s="3">
        <f>IF(OR(ISNUMBER(SEARCH(LEFT(B52,1),$G$2)), ISNUMBER(SEARCH(RIGHT(B52,1),$G$2))), "ĐÚNG CHẠM", "KHÔNG")</f>
        <v/>
      </c>
      <c r="H52" s="3">
        <f>IF(D52="ĐÚNG TỔNG", 15, 0) + IF(G52="ĐÚNG CHẠM", 15, 0) + IF(E52="CÓ G7", 10, 0) + (100-ROW())/1000</f>
        <v/>
      </c>
      <c r="I52" s="3">
        <f>IF(RANK(H52,$H$3:$H$102)&lt;=20, B52, "")</f>
        <v/>
      </c>
      <c r="J52" s="3">
        <f>IF(AND(D52="ĐÚNG TỔNG", G52="ĐÚNG CHẠM", RANK(H52,$H$3:$H$102)&lt;=10), B52, "")</f>
        <v/>
      </c>
    </row>
    <row r="53">
      <c r="A53" s="2" t="n">
        <v>51</v>
      </c>
      <c r="B53" s="2" t="inlineStr">
        <is>
          <t>50</t>
        </is>
      </c>
      <c r="C53" s="3">
        <f>MOD(VALUE(LEFT(B53,1))+VALUE(RIGHT(B53,1)), 10)</f>
        <v/>
      </c>
      <c r="D53" s="3">
        <f>IF(ISNUMBER(SEARCH(TEXT(C53,"0"),$C$2)), "ĐÚNG TỔNG", "KHÔNG")</f>
        <v/>
      </c>
      <c r="E53" s="3">
        <f>IF(ISNUMBER(SEARCH(TEXT(C53,"0"), Du_Lieu_2026!$F$2 &amp; Du_Lieu_2026!$I$2 &amp; Du_Lieu_2026!$L$2 &amp; Du_Lieu_2026!$O$2)), "CÓ G7", "---")</f>
        <v/>
      </c>
      <c r="F53" s="3">
        <f>IF(E53="CÓ G7", "CÓ NGUỒN", "---")</f>
        <v/>
      </c>
      <c r="G53" s="3">
        <f>IF(OR(ISNUMBER(SEARCH(LEFT(B53,1),$G$2)), ISNUMBER(SEARCH(RIGHT(B53,1),$G$2))), "ĐÚNG CHẠM", "KHÔNG")</f>
        <v/>
      </c>
      <c r="H53" s="3">
        <f>IF(D53="ĐÚNG TỔNG", 15, 0) + IF(G53="ĐÚNG CHẠM", 15, 0) + IF(E53="CÓ G7", 10, 0) + (100-ROW())/1000</f>
        <v/>
      </c>
      <c r="I53" s="3">
        <f>IF(RANK(H53,$H$3:$H$102)&lt;=20, B53, "")</f>
        <v/>
      </c>
      <c r="J53" s="3">
        <f>IF(AND(D53="ĐÚNG TỔNG", G53="ĐÚNG CHẠM", RANK(H53,$H$3:$H$102)&lt;=10), B53, "")</f>
        <v/>
      </c>
    </row>
    <row r="54">
      <c r="A54" s="2" t="n">
        <v>52</v>
      </c>
      <c r="B54" s="2" t="inlineStr">
        <is>
          <t>51</t>
        </is>
      </c>
      <c r="C54" s="3">
        <f>MOD(VALUE(LEFT(B54,1))+VALUE(RIGHT(B54,1)), 10)</f>
        <v/>
      </c>
      <c r="D54" s="3">
        <f>IF(ISNUMBER(SEARCH(TEXT(C54,"0"),$C$2)), "ĐÚNG TỔNG", "KHÔNG")</f>
        <v/>
      </c>
      <c r="E54" s="3">
        <f>IF(ISNUMBER(SEARCH(TEXT(C54,"0"), Du_Lieu_2026!$F$2 &amp; Du_Lieu_2026!$I$2 &amp; Du_Lieu_2026!$L$2 &amp; Du_Lieu_2026!$O$2)), "CÓ G7", "---")</f>
        <v/>
      </c>
      <c r="F54" s="3">
        <f>IF(E54="CÓ G7", "CÓ NGUỒN", "---")</f>
        <v/>
      </c>
      <c r="G54" s="3">
        <f>IF(OR(ISNUMBER(SEARCH(LEFT(B54,1),$G$2)), ISNUMBER(SEARCH(RIGHT(B54,1),$G$2))), "ĐÚNG CHẠM", "KHÔNG")</f>
        <v/>
      </c>
      <c r="H54" s="3">
        <f>IF(D54="ĐÚNG TỔNG", 15, 0) + IF(G54="ĐÚNG CHẠM", 15, 0) + IF(E54="CÓ G7", 10, 0) + (100-ROW())/1000</f>
        <v/>
      </c>
      <c r="I54" s="3">
        <f>IF(RANK(H54,$H$3:$H$102)&lt;=20, B54, "")</f>
        <v/>
      </c>
      <c r="J54" s="3">
        <f>IF(AND(D54="ĐÚNG TỔNG", G54="ĐÚNG CHẠM", RANK(H54,$H$3:$H$102)&lt;=10), B54, "")</f>
        <v/>
      </c>
    </row>
    <row r="55">
      <c r="A55" s="2" t="n">
        <v>53</v>
      </c>
      <c r="B55" s="2" t="inlineStr">
        <is>
          <t>52</t>
        </is>
      </c>
      <c r="C55" s="3">
        <f>MOD(VALUE(LEFT(B55,1))+VALUE(RIGHT(B55,1)), 10)</f>
        <v/>
      </c>
      <c r="D55" s="3">
        <f>IF(ISNUMBER(SEARCH(TEXT(C55,"0"),$C$2)), "ĐÚNG TỔNG", "KHÔNG")</f>
        <v/>
      </c>
      <c r="E55" s="3">
        <f>IF(ISNUMBER(SEARCH(TEXT(C55,"0"), Du_Lieu_2026!$F$2 &amp; Du_Lieu_2026!$I$2 &amp; Du_Lieu_2026!$L$2 &amp; Du_Lieu_2026!$O$2)), "CÓ G7", "---")</f>
        <v/>
      </c>
      <c r="F55" s="3">
        <f>IF(E55="CÓ G7", "CÓ NGUỒN", "---")</f>
        <v/>
      </c>
      <c r="G55" s="3">
        <f>IF(OR(ISNUMBER(SEARCH(LEFT(B55,1),$G$2)), ISNUMBER(SEARCH(RIGHT(B55,1),$G$2))), "ĐÚNG CHẠM", "KHÔNG")</f>
        <v/>
      </c>
      <c r="H55" s="3">
        <f>IF(D55="ĐÚNG TỔNG", 15, 0) + IF(G55="ĐÚNG CHẠM", 15, 0) + IF(E55="CÓ G7", 10, 0) + (100-ROW())/1000</f>
        <v/>
      </c>
      <c r="I55" s="3">
        <f>IF(RANK(H55,$H$3:$H$102)&lt;=20, B55, "")</f>
        <v/>
      </c>
      <c r="J55" s="3">
        <f>IF(AND(D55="ĐÚNG TỔNG", G55="ĐÚNG CHẠM", RANK(H55,$H$3:$H$102)&lt;=10), B55, "")</f>
        <v/>
      </c>
    </row>
    <row r="56">
      <c r="A56" s="2" t="n">
        <v>54</v>
      </c>
      <c r="B56" s="2" t="inlineStr">
        <is>
          <t>53</t>
        </is>
      </c>
      <c r="C56" s="3">
        <f>MOD(VALUE(LEFT(B56,1))+VALUE(RIGHT(B56,1)), 10)</f>
        <v/>
      </c>
      <c r="D56" s="3">
        <f>IF(ISNUMBER(SEARCH(TEXT(C56,"0"),$C$2)), "ĐÚNG TỔNG", "KHÔNG")</f>
        <v/>
      </c>
      <c r="E56" s="3">
        <f>IF(ISNUMBER(SEARCH(TEXT(C56,"0"), Du_Lieu_2026!$F$2 &amp; Du_Lieu_2026!$I$2 &amp; Du_Lieu_2026!$L$2 &amp; Du_Lieu_2026!$O$2)), "CÓ G7", "---")</f>
        <v/>
      </c>
      <c r="F56" s="3">
        <f>IF(E56="CÓ G7", "CÓ NGUỒN", "---")</f>
        <v/>
      </c>
      <c r="G56" s="3">
        <f>IF(OR(ISNUMBER(SEARCH(LEFT(B56,1),$G$2)), ISNUMBER(SEARCH(RIGHT(B56,1),$G$2))), "ĐÚNG CHẠM", "KHÔNG")</f>
        <v/>
      </c>
      <c r="H56" s="3">
        <f>IF(D56="ĐÚNG TỔNG", 15, 0) + IF(G56="ĐÚNG CHẠM", 15, 0) + IF(E56="CÓ G7", 10, 0) + (100-ROW())/1000</f>
        <v/>
      </c>
      <c r="I56" s="3">
        <f>IF(RANK(H56,$H$3:$H$102)&lt;=20, B56, "")</f>
        <v/>
      </c>
      <c r="J56" s="3">
        <f>IF(AND(D56="ĐÚNG TỔNG", G56="ĐÚNG CHẠM", RANK(H56,$H$3:$H$102)&lt;=10), B56, "")</f>
        <v/>
      </c>
    </row>
    <row r="57">
      <c r="A57" s="2" t="n">
        <v>55</v>
      </c>
      <c r="B57" s="2" t="inlineStr">
        <is>
          <t>54</t>
        </is>
      </c>
      <c r="C57" s="3">
        <f>MOD(VALUE(LEFT(B57,1))+VALUE(RIGHT(B57,1)), 10)</f>
        <v/>
      </c>
      <c r="D57" s="3">
        <f>IF(ISNUMBER(SEARCH(TEXT(C57,"0"),$C$2)), "ĐÚNG TỔNG", "KHÔNG")</f>
        <v/>
      </c>
      <c r="E57" s="3">
        <f>IF(ISNUMBER(SEARCH(TEXT(C57,"0"), Du_Lieu_2026!$F$2 &amp; Du_Lieu_2026!$I$2 &amp; Du_Lieu_2026!$L$2 &amp; Du_Lieu_2026!$O$2)), "CÓ G7", "---")</f>
        <v/>
      </c>
      <c r="F57" s="3">
        <f>IF(E57="CÓ G7", "CÓ NGUỒN", "---")</f>
        <v/>
      </c>
      <c r="G57" s="3">
        <f>IF(OR(ISNUMBER(SEARCH(LEFT(B57,1),$G$2)), ISNUMBER(SEARCH(RIGHT(B57,1),$G$2))), "ĐÚNG CHẠM", "KHÔNG")</f>
        <v/>
      </c>
      <c r="H57" s="3">
        <f>IF(D57="ĐÚNG TỔNG", 15, 0) + IF(G57="ĐÚNG CHẠM", 15, 0) + IF(E57="CÓ G7", 10, 0) + (100-ROW())/1000</f>
        <v/>
      </c>
      <c r="I57" s="3">
        <f>IF(RANK(H57,$H$3:$H$102)&lt;=20, B57, "")</f>
        <v/>
      </c>
      <c r="J57" s="3">
        <f>IF(AND(D57="ĐÚNG TỔNG", G57="ĐÚNG CHẠM", RANK(H57,$H$3:$H$102)&lt;=10), B57, "")</f>
        <v/>
      </c>
    </row>
    <row r="58">
      <c r="A58" s="2" t="n">
        <v>56</v>
      </c>
      <c r="B58" s="2" t="inlineStr">
        <is>
          <t>55</t>
        </is>
      </c>
      <c r="C58" s="3">
        <f>MOD(VALUE(LEFT(B58,1))+VALUE(RIGHT(B58,1)), 10)</f>
        <v/>
      </c>
      <c r="D58" s="3">
        <f>IF(ISNUMBER(SEARCH(TEXT(C58,"0"),$C$2)), "ĐÚNG TỔNG", "KHÔNG")</f>
        <v/>
      </c>
      <c r="E58" s="3">
        <f>IF(ISNUMBER(SEARCH(TEXT(C58,"0"), Du_Lieu_2026!$F$2 &amp; Du_Lieu_2026!$I$2 &amp; Du_Lieu_2026!$L$2 &amp; Du_Lieu_2026!$O$2)), "CÓ G7", "---")</f>
        <v/>
      </c>
      <c r="F58" s="3">
        <f>IF(E58="CÓ G7", "CÓ NGUỒN", "---")</f>
        <v/>
      </c>
      <c r="G58" s="3">
        <f>IF(OR(ISNUMBER(SEARCH(LEFT(B58,1),$G$2)), ISNUMBER(SEARCH(RIGHT(B58,1),$G$2))), "ĐÚNG CHẠM", "KHÔNG")</f>
        <v/>
      </c>
      <c r="H58" s="3">
        <f>IF(D58="ĐÚNG TỔNG", 15, 0) + IF(G58="ĐÚNG CHẠM", 15, 0) + IF(E58="CÓ G7", 10, 0) + (100-ROW())/1000</f>
        <v/>
      </c>
      <c r="I58" s="3">
        <f>IF(RANK(H58,$H$3:$H$102)&lt;=20, B58, "")</f>
        <v/>
      </c>
      <c r="J58" s="3">
        <f>IF(AND(D58="ĐÚNG TỔNG", G58="ĐÚNG CHẠM", RANK(H58,$H$3:$H$102)&lt;=10), B58, "")</f>
        <v/>
      </c>
    </row>
    <row r="59">
      <c r="A59" s="2" t="n">
        <v>57</v>
      </c>
      <c r="B59" s="2" t="inlineStr">
        <is>
          <t>56</t>
        </is>
      </c>
      <c r="C59" s="3">
        <f>MOD(VALUE(LEFT(B59,1))+VALUE(RIGHT(B59,1)), 10)</f>
        <v/>
      </c>
      <c r="D59" s="3">
        <f>IF(ISNUMBER(SEARCH(TEXT(C59,"0"),$C$2)), "ĐÚNG TỔNG", "KHÔNG")</f>
        <v/>
      </c>
      <c r="E59" s="3">
        <f>IF(ISNUMBER(SEARCH(TEXT(C59,"0"), Du_Lieu_2026!$F$2 &amp; Du_Lieu_2026!$I$2 &amp; Du_Lieu_2026!$L$2 &amp; Du_Lieu_2026!$O$2)), "CÓ G7", "---")</f>
        <v/>
      </c>
      <c r="F59" s="3">
        <f>IF(E59="CÓ G7", "CÓ NGUỒN", "---")</f>
        <v/>
      </c>
      <c r="G59" s="3">
        <f>IF(OR(ISNUMBER(SEARCH(LEFT(B59,1),$G$2)), ISNUMBER(SEARCH(RIGHT(B59,1),$G$2))), "ĐÚNG CHẠM", "KHÔNG")</f>
        <v/>
      </c>
      <c r="H59" s="3">
        <f>IF(D59="ĐÚNG TỔNG", 15, 0) + IF(G59="ĐÚNG CHẠM", 15, 0) + IF(E59="CÓ G7", 10, 0) + (100-ROW())/1000</f>
        <v/>
      </c>
      <c r="I59" s="3">
        <f>IF(RANK(H59,$H$3:$H$102)&lt;=20, B59, "")</f>
        <v/>
      </c>
      <c r="J59" s="3">
        <f>IF(AND(D59="ĐÚNG TỔNG", G59="ĐÚNG CHẠM", RANK(H59,$H$3:$H$102)&lt;=10), B59, "")</f>
        <v/>
      </c>
    </row>
    <row r="60">
      <c r="A60" s="2" t="n">
        <v>58</v>
      </c>
      <c r="B60" s="2" t="inlineStr">
        <is>
          <t>57</t>
        </is>
      </c>
      <c r="C60" s="3">
        <f>MOD(VALUE(LEFT(B60,1))+VALUE(RIGHT(B60,1)), 10)</f>
        <v/>
      </c>
      <c r="D60" s="3">
        <f>IF(ISNUMBER(SEARCH(TEXT(C60,"0"),$C$2)), "ĐÚNG TỔNG", "KHÔNG")</f>
        <v/>
      </c>
      <c r="E60" s="3">
        <f>IF(ISNUMBER(SEARCH(TEXT(C60,"0"), Du_Lieu_2026!$F$2 &amp; Du_Lieu_2026!$I$2 &amp; Du_Lieu_2026!$L$2 &amp; Du_Lieu_2026!$O$2)), "CÓ G7", "---")</f>
        <v/>
      </c>
      <c r="F60" s="3">
        <f>IF(E60="CÓ G7", "CÓ NGUỒN", "---")</f>
        <v/>
      </c>
      <c r="G60" s="3">
        <f>IF(OR(ISNUMBER(SEARCH(LEFT(B60,1),$G$2)), ISNUMBER(SEARCH(RIGHT(B60,1),$G$2))), "ĐÚNG CHẠM", "KHÔNG")</f>
        <v/>
      </c>
      <c r="H60" s="3">
        <f>IF(D60="ĐÚNG TỔNG", 15, 0) + IF(G60="ĐÚNG CHẠM", 15, 0) + IF(E60="CÓ G7", 10, 0) + (100-ROW())/1000</f>
        <v/>
      </c>
      <c r="I60" s="3">
        <f>IF(RANK(H60,$H$3:$H$102)&lt;=20, B60, "")</f>
        <v/>
      </c>
      <c r="J60" s="3">
        <f>IF(AND(D60="ĐÚNG TỔNG", G60="ĐÚNG CHẠM", RANK(H60,$H$3:$H$102)&lt;=10), B60, "")</f>
        <v/>
      </c>
    </row>
    <row r="61">
      <c r="A61" s="2" t="n">
        <v>59</v>
      </c>
      <c r="B61" s="2" t="inlineStr">
        <is>
          <t>58</t>
        </is>
      </c>
      <c r="C61" s="3">
        <f>MOD(VALUE(LEFT(B61,1))+VALUE(RIGHT(B61,1)), 10)</f>
        <v/>
      </c>
      <c r="D61" s="3">
        <f>IF(ISNUMBER(SEARCH(TEXT(C61,"0"),$C$2)), "ĐÚNG TỔNG", "KHÔNG")</f>
        <v/>
      </c>
      <c r="E61" s="3">
        <f>IF(ISNUMBER(SEARCH(TEXT(C61,"0"), Du_Lieu_2026!$F$2 &amp; Du_Lieu_2026!$I$2 &amp; Du_Lieu_2026!$L$2 &amp; Du_Lieu_2026!$O$2)), "CÓ G7", "---")</f>
        <v/>
      </c>
      <c r="F61" s="3">
        <f>IF(E61="CÓ G7", "CÓ NGUỒN", "---")</f>
        <v/>
      </c>
      <c r="G61" s="3">
        <f>IF(OR(ISNUMBER(SEARCH(LEFT(B61,1),$G$2)), ISNUMBER(SEARCH(RIGHT(B61,1),$G$2))), "ĐÚNG CHẠM", "KHÔNG")</f>
        <v/>
      </c>
      <c r="H61" s="3">
        <f>IF(D61="ĐÚNG TỔNG", 15, 0) + IF(G61="ĐÚNG CHẠM", 15, 0) + IF(E61="CÓ G7", 10, 0) + (100-ROW())/1000</f>
        <v/>
      </c>
      <c r="I61" s="3">
        <f>IF(RANK(H61,$H$3:$H$102)&lt;=20, B61, "")</f>
        <v/>
      </c>
      <c r="J61" s="3">
        <f>IF(AND(D61="ĐÚNG TỔNG", G61="ĐÚNG CHẠM", RANK(H61,$H$3:$H$102)&lt;=10), B61, "")</f>
        <v/>
      </c>
    </row>
    <row r="62">
      <c r="A62" s="2" t="n">
        <v>60</v>
      </c>
      <c r="B62" s="2" t="inlineStr">
        <is>
          <t>59</t>
        </is>
      </c>
      <c r="C62" s="3">
        <f>MOD(VALUE(LEFT(B62,1))+VALUE(RIGHT(B62,1)), 10)</f>
        <v/>
      </c>
      <c r="D62" s="3">
        <f>IF(ISNUMBER(SEARCH(TEXT(C62,"0"),$C$2)), "ĐÚNG TỔNG", "KHÔNG")</f>
        <v/>
      </c>
      <c r="E62" s="3">
        <f>IF(ISNUMBER(SEARCH(TEXT(C62,"0"), Du_Lieu_2026!$F$2 &amp; Du_Lieu_2026!$I$2 &amp; Du_Lieu_2026!$L$2 &amp; Du_Lieu_2026!$O$2)), "CÓ G7", "---")</f>
        <v/>
      </c>
      <c r="F62" s="3">
        <f>IF(E62="CÓ G7", "CÓ NGUỒN", "---")</f>
        <v/>
      </c>
      <c r="G62" s="3">
        <f>IF(OR(ISNUMBER(SEARCH(LEFT(B62,1),$G$2)), ISNUMBER(SEARCH(RIGHT(B62,1),$G$2))), "ĐÚNG CHẠM", "KHÔNG")</f>
        <v/>
      </c>
      <c r="H62" s="3">
        <f>IF(D62="ĐÚNG TỔNG", 15, 0) + IF(G62="ĐÚNG CHẠM", 15, 0) + IF(E62="CÓ G7", 10, 0) + (100-ROW())/1000</f>
        <v/>
      </c>
      <c r="I62" s="3">
        <f>IF(RANK(H62,$H$3:$H$102)&lt;=20, B62, "")</f>
        <v/>
      </c>
      <c r="J62" s="3">
        <f>IF(AND(D62="ĐÚNG TỔNG", G62="ĐÚNG CHẠM", RANK(H62,$H$3:$H$102)&lt;=10), B62, "")</f>
        <v/>
      </c>
    </row>
    <row r="63">
      <c r="A63" s="2" t="n">
        <v>61</v>
      </c>
      <c r="B63" s="2" t="inlineStr">
        <is>
          <t>60</t>
        </is>
      </c>
      <c r="C63" s="3">
        <f>MOD(VALUE(LEFT(B63,1))+VALUE(RIGHT(B63,1)), 10)</f>
        <v/>
      </c>
      <c r="D63" s="3">
        <f>IF(ISNUMBER(SEARCH(TEXT(C63,"0"),$C$2)), "ĐÚNG TỔNG", "KHÔNG")</f>
        <v/>
      </c>
      <c r="E63" s="3">
        <f>IF(ISNUMBER(SEARCH(TEXT(C63,"0"), Du_Lieu_2026!$F$2 &amp; Du_Lieu_2026!$I$2 &amp; Du_Lieu_2026!$L$2 &amp; Du_Lieu_2026!$O$2)), "CÓ G7", "---")</f>
        <v/>
      </c>
      <c r="F63" s="3">
        <f>IF(E63="CÓ G7", "CÓ NGUỒN", "---")</f>
        <v/>
      </c>
      <c r="G63" s="3">
        <f>IF(OR(ISNUMBER(SEARCH(LEFT(B63,1),$G$2)), ISNUMBER(SEARCH(RIGHT(B63,1),$G$2))), "ĐÚNG CHẠM", "KHÔNG")</f>
        <v/>
      </c>
      <c r="H63" s="3">
        <f>IF(D63="ĐÚNG TỔNG", 15, 0) + IF(G63="ĐÚNG CHẠM", 15, 0) + IF(E63="CÓ G7", 10, 0) + (100-ROW())/1000</f>
        <v/>
      </c>
      <c r="I63" s="3">
        <f>IF(RANK(H63,$H$3:$H$102)&lt;=20, B63, "")</f>
        <v/>
      </c>
      <c r="J63" s="3">
        <f>IF(AND(D63="ĐÚNG TỔNG", G63="ĐÚNG CHẠM", RANK(H63,$H$3:$H$102)&lt;=10), B63, "")</f>
        <v/>
      </c>
    </row>
    <row r="64">
      <c r="A64" s="2" t="n">
        <v>62</v>
      </c>
      <c r="B64" s="2" t="inlineStr">
        <is>
          <t>61</t>
        </is>
      </c>
      <c r="C64" s="3">
        <f>MOD(VALUE(LEFT(B64,1))+VALUE(RIGHT(B64,1)), 10)</f>
        <v/>
      </c>
      <c r="D64" s="3">
        <f>IF(ISNUMBER(SEARCH(TEXT(C64,"0"),$C$2)), "ĐÚNG TỔNG", "KHÔNG")</f>
        <v/>
      </c>
      <c r="E64" s="3">
        <f>IF(ISNUMBER(SEARCH(TEXT(C64,"0"), Du_Lieu_2026!$F$2 &amp; Du_Lieu_2026!$I$2 &amp; Du_Lieu_2026!$L$2 &amp; Du_Lieu_2026!$O$2)), "CÓ G7", "---")</f>
        <v/>
      </c>
      <c r="F64" s="3">
        <f>IF(E64="CÓ G7", "CÓ NGUỒN", "---")</f>
        <v/>
      </c>
      <c r="G64" s="3">
        <f>IF(OR(ISNUMBER(SEARCH(LEFT(B64,1),$G$2)), ISNUMBER(SEARCH(RIGHT(B64,1),$G$2))), "ĐÚNG CHẠM", "KHÔNG")</f>
        <v/>
      </c>
      <c r="H64" s="3">
        <f>IF(D64="ĐÚNG TỔNG", 15, 0) + IF(G64="ĐÚNG CHẠM", 15, 0) + IF(E64="CÓ G7", 10, 0) + (100-ROW())/1000</f>
        <v/>
      </c>
      <c r="I64" s="3">
        <f>IF(RANK(H64,$H$3:$H$102)&lt;=20, B64, "")</f>
        <v/>
      </c>
      <c r="J64" s="3">
        <f>IF(AND(D64="ĐÚNG TỔNG", G64="ĐÚNG CHẠM", RANK(H64,$H$3:$H$102)&lt;=10), B64, "")</f>
        <v/>
      </c>
    </row>
    <row r="65">
      <c r="A65" s="2" t="n">
        <v>63</v>
      </c>
      <c r="B65" s="2" t="inlineStr">
        <is>
          <t>62</t>
        </is>
      </c>
      <c r="C65" s="3">
        <f>MOD(VALUE(LEFT(B65,1))+VALUE(RIGHT(B65,1)), 10)</f>
        <v/>
      </c>
      <c r="D65" s="3">
        <f>IF(ISNUMBER(SEARCH(TEXT(C65,"0"),$C$2)), "ĐÚNG TỔNG", "KHÔNG")</f>
        <v/>
      </c>
      <c r="E65" s="3">
        <f>IF(ISNUMBER(SEARCH(TEXT(C65,"0"), Du_Lieu_2026!$F$2 &amp; Du_Lieu_2026!$I$2 &amp; Du_Lieu_2026!$L$2 &amp; Du_Lieu_2026!$O$2)), "CÓ G7", "---")</f>
        <v/>
      </c>
      <c r="F65" s="3">
        <f>IF(E65="CÓ G7", "CÓ NGUỒN", "---")</f>
        <v/>
      </c>
      <c r="G65" s="3">
        <f>IF(OR(ISNUMBER(SEARCH(LEFT(B65,1),$G$2)), ISNUMBER(SEARCH(RIGHT(B65,1),$G$2))), "ĐÚNG CHẠM", "KHÔNG")</f>
        <v/>
      </c>
      <c r="H65" s="3">
        <f>IF(D65="ĐÚNG TỔNG", 15, 0) + IF(G65="ĐÚNG CHẠM", 15, 0) + IF(E65="CÓ G7", 10, 0) + (100-ROW())/1000</f>
        <v/>
      </c>
      <c r="I65" s="3">
        <f>IF(RANK(H65,$H$3:$H$102)&lt;=20, B65, "")</f>
        <v/>
      </c>
      <c r="J65" s="3">
        <f>IF(AND(D65="ĐÚNG TỔNG", G65="ĐÚNG CHẠM", RANK(H65,$H$3:$H$102)&lt;=10), B65, "")</f>
        <v/>
      </c>
    </row>
    <row r="66">
      <c r="A66" s="2" t="n">
        <v>64</v>
      </c>
      <c r="B66" s="2" t="inlineStr">
        <is>
          <t>63</t>
        </is>
      </c>
      <c r="C66" s="3">
        <f>MOD(VALUE(LEFT(B66,1))+VALUE(RIGHT(B66,1)), 10)</f>
        <v/>
      </c>
      <c r="D66" s="3">
        <f>IF(ISNUMBER(SEARCH(TEXT(C66,"0"),$C$2)), "ĐÚNG TỔNG", "KHÔNG")</f>
        <v/>
      </c>
      <c r="E66" s="3">
        <f>IF(ISNUMBER(SEARCH(TEXT(C66,"0"), Du_Lieu_2026!$F$2 &amp; Du_Lieu_2026!$I$2 &amp; Du_Lieu_2026!$L$2 &amp; Du_Lieu_2026!$O$2)), "CÓ G7", "---")</f>
        <v/>
      </c>
      <c r="F66" s="3">
        <f>IF(E66="CÓ G7", "CÓ NGUỒN", "---")</f>
        <v/>
      </c>
      <c r="G66" s="3">
        <f>IF(OR(ISNUMBER(SEARCH(LEFT(B66,1),$G$2)), ISNUMBER(SEARCH(RIGHT(B66,1),$G$2))), "ĐÚNG CHẠM", "KHÔNG")</f>
        <v/>
      </c>
      <c r="H66" s="3">
        <f>IF(D66="ĐÚNG TỔNG", 15, 0) + IF(G66="ĐÚNG CHẠM", 15, 0) + IF(E66="CÓ G7", 10, 0) + (100-ROW())/1000</f>
        <v/>
      </c>
      <c r="I66" s="3">
        <f>IF(RANK(H66,$H$3:$H$102)&lt;=20, B66, "")</f>
        <v/>
      </c>
      <c r="J66" s="3">
        <f>IF(AND(D66="ĐÚNG TỔNG", G66="ĐÚNG CHẠM", RANK(H66,$H$3:$H$102)&lt;=10), B66, "")</f>
        <v/>
      </c>
    </row>
    <row r="67">
      <c r="A67" s="2" t="n">
        <v>65</v>
      </c>
      <c r="B67" s="2" t="inlineStr">
        <is>
          <t>64</t>
        </is>
      </c>
      <c r="C67" s="3">
        <f>MOD(VALUE(LEFT(B67,1))+VALUE(RIGHT(B67,1)), 10)</f>
        <v/>
      </c>
      <c r="D67" s="3">
        <f>IF(ISNUMBER(SEARCH(TEXT(C67,"0"),$C$2)), "ĐÚNG TỔNG", "KHÔNG")</f>
        <v/>
      </c>
      <c r="E67" s="3">
        <f>IF(ISNUMBER(SEARCH(TEXT(C67,"0"), Du_Lieu_2026!$F$2 &amp; Du_Lieu_2026!$I$2 &amp; Du_Lieu_2026!$L$2 &amp; Du_Lieu_2026!$O$2)), "CÓ G7", "---")</f>
        <v/>
      </c>
      <c r="F67" s="3">
        <f>IF(E67="CÓ G7", "CÓ NGUỒN", "---")</f>
        <v/>
      </c>
      <c r="G67" s="3">
        <f>IF(OR(ISNUMBER(SEARCH(LEFT(B67,1),$G$2)), ISNUMBER(SEARCH(RIGHT(B67,1),$G$2))), "ĐÚNG CHẠM", "KHÔNG")</f>
        <v/>
      </c>
      <c r="H67" s="3">
        <f>IF(D67="ĐÚNG TỔNG", 15, 0) + IF(G67="ĐÚNG CHẠM", 15, 0) + IF(E67="CÓ G7", 10, 0) + (100-ROW())/1000</f>
        <v/>
      </c>
      <c r="I67" s="3">
        <f>IF(RANK(H67,$H$3:$H$102)&lt;=20, B67, "")</f>
        <v/>
      </c>
      <c r="J67" s="3">
        <f>IF(AND(D67="ĐÚNG TỔNG", G67="ĐÚNG CHẠM", RANK(H67,$H$3:$H$102)&lt;=10), B67, "")</f>
        <v/>
      </c>
    </row>
    <row r="68">
      <c r="A68" s="2" t="n">
        <v>66</v>
      </c>
      <c r="B68" s="2" t="inlineStr">
        <is>
          <t>65</t>
        </is>
      </c>
      <c r="C68" s="3">
        <f>MOD(VALUE(LEFT(B68,1))+VALUE(RIGHT(B68,1)), 10)</f>
        <v/>
      </c>
      <c r="D68" s="3">
        <f>IF(ISNUMBER(SEARCH(TEXT(C68,"0"),$C$2)), "ĐÚNG TỔNG", "KHÔNG")</f>
        <v/>
      </c>
      <c r="E68" s="3">
        <f>IF(ISNUMBER(SEARCH(TEXT(C68,"0"), Du_Lieu_2026!$F$2 &amp; Du_Lieu_2026!$I$2 &amp; Du_Lieu_2026!$L$2 &amp; Du_Lieu_2026!$O$2)), "CÓ G7", "---")</f>
        <v/>
      </c>
      <c r="F68" s="3">
        <f>IF(E68="CÓ G7", "CÓ NGUỒN", "---")</f>
        <v/>
      </c>
      <c r="G68" s="3">
        <f>IF(OR(ISNUMBER(SEARCH(LEFT(B68,1),$G$2)), ISNUMBER(SEARCH(RIGHT(B68,1),$G$2))), "ĐÚNG CHẠM", "KHÔNG")</f>
        <v/>
      </c>
      <c r="H68" s="3">
        <f>IF(D68="ĐÚNG TỔNG", 15, 0) + IF(G68="ĐÚNG CHẠM", 15, 0) + IF(E68="CÓ G7", 10, 0) + (100-ROW())/1000</f>
        <v/>
      </c>
      <c r="I68" s="3">
        <f>IF(RANK(H68,$H$3:$H$102)&lt;=20, B68, "")</f>
        <v/>
      </c>
      <c r="J68" s="3">
        <f>IF(AND(D68="ĐÚNG TỔNG", G68="ĐÚNG CHẠM", RANK(H68,$H$3:$H$102)&lt;=10), B68, "")</f>
        <v/>
      </c>
    </row>
    <row r="69">
      <c r="A69" s="2" t="n">
        <v>67</v>
      </c>
      <c r="B69" s="2" t="inlineStr">
        <is>
          <t>66</t>
        </is>
      </c>
      <c r="C69" s="3">
        <f>MOD(VALUE(LEFT(B69,1))+VALUE(RIGHT(B69,1)), 10)</f>
        <v/>
      </c>
      <c r="D69" s="3">
        <f>IF(ISNUMBER(SEARCH(TEXT(C69,"0"),$C$2)), "ĐÚNG TỔNG", "KHÔNG")</f>
        <v/>
      </c>
      <c r="E69" s="3">
        <f>IF(ISNUMBER(SEARCH(TEXT(C69,"0"), Du_Lieu_2026!$F$2 &amp; Du_Lieu_2026!$I$2 &amp; Du_Lieu_2026!$L$2 &amp; Du_Lieu_2026!$O$2)), "CÓ G7", "---")</f>
        <v/>
      </c>
      <c r="F69" s="3">
        <f>IF(E69="CÓ G7", "CÓ NGUỒN", "---")</f>
        <v/>
      </c>
      <c r="G69" s="3">
        <f>IF(OR(ISNUMBER(SEARCH(LEFT(B69,1),$G$2)), ISNUMBER(SEARCH(RIGHT(B69,1),$G$2))), "ĐÚNG CHẠM", "KHÔNG")</f>
        <v/>
      </c>
      <c r="H69" s="3">
        <f>IF(D69="ĐÚNG TỔNG", 15, 0) + IF(G69="ĐÚNG CHẠM", 15, 0) + IF(E69="CÓ G7", 10, 0) + (100-ROW())/1000</f>
        <v/>
      </c>
      <c r="I69" s="3">
        <f>IF(RANK(H69,$H$3:$H$102)&lt;=20, B69, "")</f>
        <v/>
      </c>
      <c r="J69" s="3">
        <f>IF(AND(D69="ĐÚNG TỔNG", G69="ĐÚNG CHẠM", RANK(H69,$H$3:$H$102)&lt;=10), B69, "")</f>
        <v/>
      </c>
    </row>
    <row r="70">
      <c r="A70" s="2" t="n">
        <v>68</v>
      </c>
      <c r="B70" s="2" t="inlineStr">
        <is>
          <t>67</t>
        </is>
      </c>
      <c r="C70" s="3">
        <f>MOD(VALUE(LEFT(B70,1))+VALUE(RIGHT(B70,1)), 10)</f>
        <v/>
      </c>
      <c r="D70" s="3">
        <f>IF(ISNUMBER(SEARCH(TEXT(C70,"0"),$C$2)), "ĐÚNG TỔNG", "KHÔNG")</f>
        <v/>
      </c>
      <c r="E70" s="3">
        <f>IF(ISNUMBER(SEARCH(TEXT(C70,"0"), Du_Lieu_2026!$F$2 &amp; Du_Lieu_2026!$I$2 &amp; Du_Lieu_2026!$L$2 &amp; Du_Lieu_2026!$O$2)), "CÓ G7", "---")</f>
        <v/>
      </c>
      <c r="F70" s="3">
        <f>IF(E70="CÓ G7", "CÓ NGUỒN", "---")</f>
        <v/>
      </c>
      <c r="G70" s="3">
        <f>IF(OR(ISNUMBER(SEARCH(LEFT(B70,1),$G$2)), ISNUMBER(SEARCH(RIGHT(B70,1),$G$2))), "ĐÚNG CHẠM", "KHÔNG")</f>
        <v/>
      </c>
      <c r="H70" s="3">
        <f>IF(D70="ĐÚNG TỔNG", 15, 0) + IF(G70="ĐÚNG CHẠM", 15, 0) + IF(E70="CÓ G7", 10, 0) + (100-ROW())/1000</f>
        <v/>
      </c>
      <c r="I70" s="3">
        <f>IF(RANK(H70,$H$3:$H$102)&lt;=20, B70, "")</f>
        <v/>
      </c>
      <c r="J70" s="3">
        <f>IF(AND(D70="ĐÚNG TỔNG", G70="ĐÚNG CHẠM", RANK(H70,$H$3:$H$102)&lt;=10), B70, "")</f>
        <v/>
      </c>
    </row>
    <row r="71">
      <c r="A71" s="2" t="n">
        <v>69</v>
      </c>
      <c r="B71" s="2" t="inlineStr">
        <is>
          <t>68</t>
        </is>
      </c>
      <c r="C71" s="3">
        <f>MOD(VALUE(LEFT(B71,1))+VALUE(RIGHT(B71,1)), 10)</f>
        <v/>
      </c>
      <c r="D71" s="3">
        <f>IF(ISNUMBER(SEARCH(TEXT(C71,"0"),$C$2)), "ĐÚNG TỔNG", "KHÔNG")</f>
        <v/>
      </c>
      <c r="E71" s="3">
        <f>IF(ISNUMBER(SEARCH(TEXT(C71,"0"), Du_Lieu_2026!$F$2 &amp; Du_Lieu_2026!$I$2 &amp; Du_Lieu_2026!$L$2 &amp; Du_Lieu_2026!$O$2)), "CÓ G7", "---")</f>
        <v/>
      </c>
      <c r="F71" s="3">
        <f>IF(E71="CÓ G7", "CÓ NGUỒN", "---")</f>
        <v/>
      </c>
      <c r="G71" s="3">
        <f>IF(OR(ISNUMBER(SEARCH(LEFT(B71,1),$G$2)), ISNUMBER(SEARCH(RIGHT(B71,1),$G$2))), "ĐÚNG CHẠM", "KHÔNG")</f>
        <v/>
      </c>
      <c r="H71" s="3">
        <f>IF(D71="ĐÚNG TỔNG", 15, 0) + IF(G71="ĐÚNG CHẠM", 15, 0) + IF(E71="CÓ G7", 10, 0) + (100-ROW())/1000</f>
        <v/>
      </c>
      <c r="I71" s="3">
        <f>IF(RANK(H71,$H$3:$H$102)&lt;=20, B71, "")</f>
        <v/>
      </c>
      <c r="J71" s="3">
        <f>IF(AND(D71="ĐÚNG TỔNG", G71="ĐÚNG CHẠM", RANK(H71,$H$3:$H$102)&lt;=10), B71, "")</f>
        <v/>
      </c>
    </row>
    <row r="72">
      <c r="A72" s="2" t="n">
        <v>70</v>
      </c>
      <c r="B72" s="2" t="inlineStr">
        <is>
          <t>69</t>
        </is>
      </c>
      <c r="C72" s="3">
        <f>MOD(VALUE(LEFT(B72,1))+VALUE(RIGHT(B72,1)), 10)</f>
        <v/>
      </c>
      <c r="D72" s="3">
        <f>IF(ISNUMBER(SEARCH(TEXT(C72,"0"),$C$2)), "ĐÚNG TỔNG", "KHÔNG")</f>
        <v/>
      </c>
      <c r="E72" s="3">
        <f>IF(ISNUMBER(SEARCH(TEXT(C72,"0"), Du_Lieu_2026!$F$2 &amp; Du_Lieu_2026!$I$2 &amp; Du_Lieu_2026!$L$2 &amp; Du_Lieu_2026!$O$2)), "CÓ G7", "---")</f>
        <v/>
      </c>
      <c r="F72" s="3">
        <f>IF(E72="CÓ G7", "CÓ NGUỒN", "---")</f>
        <v/>
      </c>
      <c r="G72" s="3">
        <f>IF(OR(ISNUMBER(SEARCH(LEFT(B72,1),$G$2)), ISNUMBER(SEARCH(RIGHT(B72,1),$G$2))), "ĐÚNG CHẠM", "KHÔNG")</f>
        <v/>
      </c>
      <c r="H72" s="3">
        <f>IF(D72="ĐÚNG TỔNG", 15, 0) + IF(G72="ĐÚNG CHẠM", 15, 0) + IF(E72="CÓ G7", 10, 0) + (100-ROW())/1000</f>
        <v/>
      </c>
      <c r="I72" s="3">
        <f>IF(RANK(H72,$H$3:$H$102)&lt;=20, B72, "")</f>
        <v/>
      </c>
      <c r="J72" s="3">
        <f>IF(AND(D72="ĐÚNG TỔNG", G72="ĐÚNG CHẠM", RANK(H72,$H$3:$H$102)&lt;=10), B72, "")</f>
        <v/>
      </c>
    </row>
    <row r="73">
      <c r="A73" s="2" t="n">
        <v>71</v>
      </c>
      <c r="B73" s="2" t="inlineStr">
        <is>
          <t>70</t>
        </is>
      </c>
      <c r="C73" s="3">
        <f>MOD(VALUE(LEFT(B73,1))+VALUE(RIGHT(B73,1)), 10)</f>
        <v/>
      </c>
      <c r="D73" s="3">
        <f>IF(ISNUMBER(SEARCH(TEXT(C73,"0"),$C$2)), "ĐÚNG TỔNG", "KHÔNG")</f>
        <v/>
      </c>
      <c r="E73" s="3">
        <f>IF(ISNUMBER(SEARCH(TEXT(C73,"0"), Du_Lieu_2026!$F$2 &amp; Du_Lieu_2026!$I$2 &amp; Du_Lieu_2026!$L$2 &amp; Du_Lieu_2026!$O$2)), "CÓ G7", "---")</f>
        <v/>
      </c>
      <c r="F73" s="3">
        <f>IF(E73="CÓ G7", "CÓ NGUỒN", "---")</f>
        <v/>
      </c>
      <c r="G73" s="3">
        <f>IF(OR(ISNUMBER(SEARCH(LEFT(B73,1),$G$2)), ISNUMBER(SEARCH(RIGHT(B73,1),$G$2))), "ĐÚNG CHẠM", "KHÔNG")</f>
        <v/>
      </c>
      <c r="H73" s="3">
        <f>IF(D73="ĐÚNG TỔNG", 15, 0) + IF(G73="ĐÚNG CHẠM", 15, 0) + IF(E73="CÓ G7", 10, 0) + (100-ROW())/1000</f>
        <v/>
      </c>
      <c r="I73" s="3">
        <f>IF(RANK(H73,$H$3:$H$102)&lt;=20, B73, "")</f>
        <v/>
      </c>
      <c r="J73" s="3">
        <f>IF(AND(D73="ĐÚNG TỔNG", G73="ĐÚNG CHẠM", RANK(H73,$H$3:$H$102)&lt;=10), B73, "")</f>
        <v/>
      </c>
    </row>
    <row r="74">
      <c r="A74" s="2" t="n">
        <v>72</v>
      </c>
      <c r="B74" s="2" t="inlineStr">
        <is>
          <t>71</t>
        </is>
      </c>
      <c r="C74" s="3">
        <f>MOD(VALUE(LEFT(B74,1))+VALUE(RIGHT(B74,1)), 10)</f>
        <v/>
      </c>
      <c r="D74" s="3">
        <f>IF(ISNUMBER(SEARCH(TEXT(C74,"0"),$C$2)), "ĐÚNG TỔNG", "KHÔNG")</f>
        <v/>
      </c>
      <c r="E74" s="3">
        <f>IF(ISNUMBER(SEARCH(TEXT(C74,"0"), Du_Lieu_2026!$F$2 &amp; Du_Lieu_2026!$I$2 &amp; Du_Lieu_2026!$L$2 &amp; Du_Lieu_2026!$O$2)), "CÓ G7", "---")</f>
        <v/>
      </c>
      <c r="F74" s="3">
        <f>IF(E74="CÓ G7", "CÓ NGUỒN", "---")</f>
        <v/>
      </c>
      <c r="G74" s="3">
        <f>IF(OR(ISNUMBER(SEARCH(LEFT(B74,1),$G$2)), ISNUMBER(SEARCH(RIGHT(B74,1),$G$2))), "ĐÚNG CHẠM", "KHÔNG")</f>
        <v/>
      </c>
      <c r="H74" s="3">
        <f>IF(D74="ĐÚNG TỔNG", 15, 0) + IF(G74="ĐÚNG CHẠM", 15, 0) + IF(E74="CÓ G7", 10, 0) + (100-ROW())/1000</f>
        <v/>
      </c>
      <c r="I74" s="3">
        <f>IF(RANK(H74,$H$3:$H$102)&lt;=20, B74, "")</f>
        <v/>
      </c>
      <c r="J74" s="3">
        <f>IF(AND(D74="ĐÚNG TỔNG", G74="ĐÚNG CHẠM", RANK(H74,$H$3:$H$102)&lt;=10), B74, "")</f>
        <v/>
      </c>
    </row>
    <row r="75">
      <c r="A75" s="2" t="n">
        <v>73</v>
      </c>
      <c r="B75" s="2" t="inlineStr">
        <is>
          <t>72</t>
        </is>
      </c>
      <c r="C75" s="3">
        <f>MOD(VALUE(LEFT(B75,1))+VALUE(RIGHT(B75,1)), 10)</f>
        <v/>
      </c>
      <c r="D75" s="3">
        <f>IF(ISNUMBER(SEARCH(TEXT(C75,"0"),$C$2)), "ĐÚNG TỔNG", "KHÔNG")</f>
        <v/>
      </c>
      <c r="E75" s="3">
        <f>IF(ISNUMBER(SEARCH(TEXT(C75,"0"), Du_Lieu_2026!$F$2 &amp; Du_Lieu_2026!$I$2 &amp; Du_Lieu_2026!$L$2 &amp; Du_Lieu_2026!$O$2)), "CÓ G7", "---")</f>
        <v/>
      </c>
      <c r="F75" s="3">
        <f>IF(E75="CÓ G7", "CÓ NGUỒN", "---")</f>
        <v/>
      </c>
      <c r="G75" s="3">
        <f>IF(OR(ISNUMBER(SEARCH(LEFT(B75,1),$G$2)), ISNUMBER(SEARCH(RIGHT(B75,1),$G$2))), "ĐÚNG CHẠM", "KHÔNG")</f>
        <v/>
      </c>
      <c r="H75" s="3">
        <f>IF(D75="ĐÚNG TỔNG", 15, 0) + IF(G75="ĐÚNG CHẠM", 15, 0) + IF(E75="CÓ G7", 10, 0) + (100-ROW())/1000</f>
        <v/>
      </c>
      <c r="I75" s="3">
        <f>IF(RANK(H75,$H$3:$H$102)&lt;=20, B75, "")</f>
        <v/>
      </c>
      <c r="J75" s="3">
        <f>IF(AND(D75="ĐÚNG TỔNG", G75="ĐÚNG CHẠM", RANK(H75,$H$3:$H$102)&lt;=10), B75, "")</f>
        <v/>
      </c>
    </row>
    <row r="76">
      <c r="A76" s="2" t="n">
        <v>74</v>
      </c>
      <c r="B76" s="2" t="inlineStr">
        <is>
          <t>73</t>
        </is>
      </c>
      <c r="C76" s="3">
        <f>MOD(VALUE(LEFT(B76,1))+VALUE(RIGHT(B76,1)), 10)</f>
        <v/>
      </c>
      <c r="D76" s="3">
        <f>IF(ISNUMBER(SEARCH(TEXT(C76,"0"),$C$2)), "ĐÚNG TỔNG", "KHÔNG")</f>
        <v/>
      </c>
      <c r="E76" s="3">
        <f>IF(ISNUMBER(SEARCH(TEXT(C76,"0"), Du_Lieu_2026!$F$2 &amp; Du_Lieu_2026!$I$2 &amp; Du_Lieu_2026!$L$2 &amp; Du_Lieu_2026!$O$2)), "CÓ G7", "---")</f>
        <v/>
      </c>
      <c r="F76" s="3">
        <f>IF(E76="CÓ G7", "CÓ NGUỒN", "---")</f>
        <v/>
      </c>
      <c r="G76" s="3">
        <f>IF(OR(ISNUMBER(SEARCH(LEFT(B76,1),$G$2)), ISNUMBER(SEARCH(RIGHT(B76,1),$G$2))), "ĐÚNG CHẠM", "KHÔNG")</f>
        <v/>
      </c>
      <c r="H76" s="3">
        <f>IF(D76="ĐÚNG TỔNG", 15, 0) + IF(G76="ĐÚNG CHẠM", 15, 0) + IF(E76="CÓ G7", 10, 0) + (100-ROW())/1000</f>
        <v/>
      </c>
      <c r="I76" s="3">
        <f>IF(RANK(H76,$H$3:$H$102)&lt;=20, B76, "")</f>
        <v/>
      </c>
      <c r="J76" s="3">
        <f>IF(AND(D76="ĐÚNG TỔNG", G76="ĐÚNG CHẠM", RANK(H76,$H$3:$H$102)&lt;=10), B76, "")</f>
        <v/>
      </c>
    </row>
    <row r="77">
      <c r="A77" s="2" t="n">
        <v>75</v>
      </c>
      <c r="B77" s="2" t="inlineStr">
        <is>
          <t>74</t>
        </is>
      </c>
      <c r="C77" s="3">
        <f>MOD(VALUE(LEFT(B77,1))+VALUE(RIGHT(B77,1)), 10)</f>
        <v/>
      </c>
      <c r="D77" s="3">
        <f>IF(ISNUMBER(SEARCH(TEXT(C77,"0"),$C$2)), "ĐÚNG TỔNG", "KHÔNG")</f>
        <v/>
      </c>
      <c r="E77" s="3">
        <f>IF(ISNUMBER(SEARCH(TEXT(C77,"0"), Du_Lieu_2026!$F$2 &amp; Du_Lieu_2026!$I$2 &amp; Du_Lieu_2026!$L$2 &amp; Du_Lieu_2026!$O$2)), "CÓ G7", "---")</f>
        <v/>
      </c>
      <c r="F77" s="3">
        <f>IF(E77="CÓ G7", "CÓ NGUỒN", "---")</f>
        <v/>
      </c>
      <c r="G77" s="3">
        <f>IF(OR(ISNUMBER(SEARCH(LEFT(B77,1),$G$2)), ISNUMBER(SEARCH(RIGHT(B77,1),$G$2))), "ĐÚNG CHẠM", "KHÔNG")</f>
        <v/>
      </c>
      <c r="H77" s="3">
        <f>IF(D77="ĐÚNG TỔNG", 15, 0) + IF(G77="ĐÚNG CHẠM", 15, 0) + IF(E77="CÓ G7", 10, 0) + (100-ROW())/1000</f>
        <v/>
      </c>
      <c r="I77" s="3">
        <f>IF(RANK(H77,$H$3:$H$102)&lt;=20, B77, "")</f>
        <v/>
      </c>
      <c r="J77" s="3">
        <f>IF(AND(D77="ĐÚNG TỔNG", G77="ĐÚNG CHẠM", RANK(H77,$H$3:$H$102)&lt;=10), B77, "")</f>
        <v/>
      </c>
    </row>
    <row r="78">
      <c r="A78" s="2" t="n">
        <v>76</v>
      </c>
      <c r="B78" s="2" t="inlineStr">
        <is>
          <t>75</t>
        </is>
      </c>
      <c r="C78" s="3">
        <f>MOD(VALUE(LEFT(B78,1))+VALUE(RIGHT(B78,1)), 10)</f>
        <v/>
      </c>
      <c r="D78" s="3">
        <f>IF(ISNUMBER(SEARCH(TEXT(C78,"0"),$C$2)), "ĐÚNG TỔNG", "KHÔNG")</f>
        <v/>
      </c>
      <c r="E78" s="3">
        <f>IF(ISNUMBER(SEARCH(TEXT(C78,"0"), Du_Lieu_2026!$F$2 &amp; Du_Lieu_2026!$I$2 &amp; Du_Lieu_2026!$L$2 &amp; Du_Lieu_2026!$O$2)), "CÓ G7", "---")</f>
        <v/>
      </c>
      <c r="F78" s="3">
        <f>IF(E78="CÓ G7", "CÓ NGUỒN", "---")</f>
        <v/>
      </c>
      <c r="G78" s="3">
        <f>IF(OR(ISNUMBER(SEARCH(LEFT(B78,1),$G$2)), ISNUMBER(SEARCH(RIGHT(B78,1),$G$2))), "ĐÚNG CHẠM", "KHÔNG")</f>
        <v/>
      </c>
      <c r="H78" s="3">
        <f>IF(D78="ĐÚNG TỔNG", 15, 0) + IF(G78="ĐÚNG CHẠM", 15, 0) + IF(E78="CÓ G7", 10, 0) + (100-ROW())/1000</f>
        <v/>
      </c>
      <c r="I78" s="3">
        <f>IF(RANK(H78,$H$3:$H$102)&lt;=20, B78, "")</f>
        <v/>
      </c>
      <c r="J78" s="3">
        <f>IF(AND(D78="ĐÚNG TỔNG", G78="ĐÚNG CHẠM", RANK(H78,$H$3:$H$102)&lt;=10), B78, "")</f>
        <v/>
      </c>
    </row>
    <row r="79">
      <c r="A79" s="2" t="n">
        <v>77</v>
      </c>
      <c r="B79" s="2" t="inlineStr">
        <is>
          <t>76</t>
        </is>
      </c>
      <c r="C79" s="3">
        <f>MOD(VALUE(LEFT(B79,1))+VALUE(RIGHT(B79,1)), 10)</f>
        <v/>
      </c>
      <c r="D79" s="3">
        <f>IF(ISNUMBER(SEARCH(TEXT(C79,"0"),$C$2)), "ĐÚNG TỔNG", "KHÔNG")</f>
        <v/>
      </c>
      <c r="E79" s="3">
        <f>IF(ISNUMBER(SEARCH(TEXT(C79,"0"), Du_Lieu_2026!$F$2 &amp; Du_Lieu_2026!$I$2 &amp; Du_Lieu_2026!$L$2 &amp; Du_Lieu_2026!$O$2)), "CÓ G7", "---")</f>
        <v/>
      </c>
      <c r="F79" s="3">
        <f>IF(E79="CÓ G7", "CÓ NGUỒN", "---")</f>
        <v/>
      </c>
      <c r="G79" s="3">
        <f>IF(OR(ISNUMBER(SEARCH(LEFT(B79,1),$G$2)), ISNUMBER(SEARCH(RIGHT(B79,1),$G$2))), "ĐÚNG CHẠM", "KHÔNG")</f>
        <v/>
      </c>
      <c r="H79" s="3">
        <f>IF(D79="ĐÚNG TỔNG", 15, 0) + IF(G79="ĐÚNG CHẠM", 15, 0) + IF(E79="CÓ G7", 10, 0) + (100-ROW())/1000</f>
        <v/>
      </c>
      <c r="I79" s="3">
        <f>IF(RANK(H79,$H$3:$H$102)&lt;=20, B79, "")</f>
        <v/>
      </c>
      <c r="J79" s="3">
        <f>IF(AND(D79="ĐÚNG TỔNG", G79="ĐÚNG CHẠM", RANK(H79,$H$3:$H$102)&lt;=10), B79, "")</f>
        <v/>
      </c>
    </row>
    <row r="80">
      <c r="A80" s="2" t="n">
        <v>78</v>
      </c>
      <c r="B80" s="2" t="inlineStr">
        <is>
          <t>77</t>
        </is>
      </c>
      <c r="C80" s="3">
        <f>MOD(VALUE(LEFT(B80,1))+VALUE(RIGHT(B80,1)), 10)</f>
        <v/>
      </c>
      <c r="D80" s="3">
        <f>IF(ISNUMBER(SEARCH(TEXT(C80,"0"),$C$2)), "ĐÚNG TỔNG", "KHÔNG")</f>
        <v/>
      </c>
      <c r="E80" s="3">
        <f>IF(ISNUMBER(SEARCH(TEXT(C80,"0"), Du_Lieu_2026!$F$2 &amp; Du_Lieu_2026!$I$2 &amp; Du_Lieu_2026!$L$2 &amp; Du_Lieu_2026!$O$2)), "CÓ G7", "---")</f>
        <v/>
      </c>
      <c r="F80" s="3">
        <f>IF(E80="CÓ G7", "CÓ NGUỒN", "---")</f>
        <v/>
      </c>
      <c r="G80" s="3">
        <f>IF(OR(ISNUMBER(SEARCH(LEFT(B80,1),$G$2)), ISNUMBER(SEARCH(RIGHT(B80,1),$G$2))), "ĐÚNG CHẠM", "KHÔNG")</f>
        <v/>
      </c>
      <c r="H80" s="3">
        <f>IF(D80="ĐÚNG TỔNG", 15, 0) + IF(G80="ĐÚNG CHẠM", 15, 0) + IF(E80="CÓ G7", 10, 0) + (100-ROW())/1000</f>
        <v/>
      </c>
      <c r="I80" s="3">
        <f>IF(RANK(H80,$H$3:$H$102)&lt;=20, B80, "")</f>
        <v/>
      </c>
      <c r="J80" s="3">
        <f>IF(AND(D80="ĐÚNG TỔNG", G80="ĐÚNG CHẠM", RANK(H80,$H$3:$H$102)&lt;=10), B80, "")</f>
        <v/>
      </c>
    </row>
    <row r="81">
      <c r="A81" s="2" t="n">
        <v>79</v>
      </c>
      <c r="B81" s="2" t="inlineStr">
        <is>
          <t>78</t>
        </is>
      </c>
      <c r="C81" s="3">
        <f>MOD(VALUE(LEFT(B81,1))+VALUE(RIGHT(B81,1)), 10)</f>
        <v/>
      </c>
      <c r="D81" s="3">
        <f>IF(ISNUMBER(SEARCH(TEXT(C81,"0"),$C$2)), "ĐÚNG TỔNG", "KHÔNG")</f>
        <v/>
      </c>
      <c r="E81" s="3">
        <f>IF(ISNUMBER(SEARCH(TEXT(C81,"0"), Du_Lieu_2026!$F$2 &amp; Du_Lieu_2026!$I$2 &amp; Du_Lieu_2026!$L$2 &amp; Du_Lieu_2026!$O$2)), "CÓ G7", "---")</f>
        <v/>
      </c>
      <c r="F81" s="3">
        <f>IF(E81="CÓ G7", "CÓ NGUỒN", "---")</f>
        <v/>
      </c>
      <c r="G81" s="3">
        <f>IF(OR(ISNUMBER(SEARCH(LEFT(B81,1),$G$2)), ISNUMBER(SEARCH(RIGHT(B81,1),$G$2))), "ĐÚNG CHẠM", "KHÔNG")</f>
        <v/>
      </c>
      <c r="H81" s="3">
        <f>IF(D81="ĐÚNG TỔNG", 15, 0) + IF(G81="ĐÚNG CHẠM", 15, 0) + IF(E81="CÓ G7", 10, 0) + (100-ROW())/1000</f>
        <v/>
      </c>
      <c r="I81" s="3">
        <f>IF(RANK(H81,$H$3:$H$102)&lt;=20, B81, "")</f>
        <v/>
      </c>
      <c r="J81" s="3">
        <f>IF(AND(D81="ĐÚNG TỔNG", G81="ĐÚNG CHẠM", RANK(H81,$H$3:$H$102)&lt;=10), B81, "")</f>
        <v/>
      </c>
    </row>
    <row r="82">
      <c r="A82" s="2" t="n">
        <v>80</v>
      </c>
      <c r="B82" s="2" t="inlineStr">
        <is>
          <t>79</t>
        </is>
      </c>
      <c r="C82" s="3">
        <f>MOD(VALUE(LEFT(B82,1))+VALUE(RIGHT(B82,1)), 10)</f>
        <v/>
      </c>
      <c r="D82" s="3">
        <f>IF(ISNUMBER(SEARCH(TEXT(C82,"0"),$C$2)), "ĐÚNG TỔNG", "KHÔNG")</f>
        <v/>
      </c>
      <c r="E82" s="3">
        <f>IF(ISNUMBER(SEARCH(TEXT(C82,"0"), Du_Lieu_2026!$F$2 &amp; Du_Lieu_2026!$I$2 &amp; Du_Lieu_2026!$L$2 &amp; Du_Lieu_2026!$O$2)), "CÓ G7", "---")</f>
        <v/>
      </c>
      <c r="F82" s="3">
        <f>IF(E82="CÓ G7", "CÓ NGUỒN", "---")</f>
        <v/>
      </c>
      <c r="G82" s="3">
        <f>IF(OR(ISNUMBER(SEARCH(LEFT(B82,1),$G$2)), ISNUMBER(SEARCH(RIGHT(B82,1),$G$2))), "ĐÚNG CHẠM", "KHÔNG")</f>
        <v/>
      </c>
      <c r="H82" s="3">
        <f>IF(D82="ĐÚNG TỔNG", 15, 0) + IF(G82="ĐÚNG CHẠM", 15, 0) + IF(E82="CÓ G7", 10, 0) + (100-ROW())/1000</f>
        <v/>
      </c>
      <c r="I82" s="3">
        <f>IF(RANK(H82,$H$3:$H$102)&lt;=20, B82, "")</f>
        <v/>
      </c>
      <c r="J82" s="3">
        <f>IF(AND(D82="ĐÚNG TỔNG", G82="ĐÚNG CHẠM", RANK(H82,$H$3:$H$102)&lt;=10), B82, "")</f>
        <v/>
      </c>
    </row>
    <row r="83">
      <c r="A83" s="2" t="n">
        <v>81</v>
      </c>
      <c r="B83" s="2" t="inlineStr">
        <is>
          <t>80</t>
        </is>
      </c>
      <c r="C83" s="3">
        <f>MOD(VALUE(LEFT(B83,1))+VALUE(RIGHT(B83,1)), 10)</f>
        <v/>
      </c>
      <c r="D83" s="3">
        <f>IF(ISNUMBER(SEARCH(TEXT(C83,"0"),$C$2)), "ĐÚNG TỔNG", "KHÔNG")</f>
        <v/>
      </c>
      <c r="E83" s="3">
        <f>IF(ISNUMBER(SEARCH(TEXT(C83,"0"), Du_Lieu_2026!$F$2 &amp; Du_Lieu_2026!$I$2 &amp; Du_Lieu_2026!$L$2 &amp; Du_Lieu_2026!$O$2)), "CÓ G7", "---")</f>
        <v/>
      </c>
      <c r="F83" s="3">
        <f>IF(E83="CÓ G7", "CÓ NGUỒN", "---")</f>
        <v/>
      </c>
      <c r="G83" s="3">
        <f>IF(OR(ISNUMBER(SEARCH(LEFT(B83,1),$G$2)), ISNUMBER(SEARCH(RIGHT(B83,1),$G$2))), "ĐÚNG CHẠM", "KHÔNG")</f>
        <v/>
      </c>
      <c r="H83" s="3">
        <f>IF(D83="ĐÚNG TỔNG", 15, 0) + IF(G83="ĐÚNG CHẠM", 15, 0) + IF(E83="CÓ G7", 10, 0) + (100-ROW())/1000</f>
        <v/>
      </c>
      <c r="I83" s="3">
        <f>IF(RANK(H83,$H$3:$H$102)&lt;=20, B83, "")</f>
        <v/>
      </c>
      <c r="J83" s="3">
        <f>IF(AND(D83="ĐÚNG TỔNG", G83="ĐÚNG CHẠM", RANK(H83,$H$3:$H$102)&lt;=10), B83, "")</f>
        <v/>
      </c>
    </row>
    <row r="84">
      <c r="A84" s="2" t="n">
        <v>82</v>
      </c>
      <c r="B84" s="2" t="inlineStr">
        <is>
          <t>81</t>
        </is>
      </c>
      <c r="C84" s="3">
        <f>MOD(VALUE(LEFT(B84,1))+VALUE(RIGHT(B84,1)), 10)</f>
        <v/>
      </c>
      <c r="D84" s="3">
        <f>IF(ISNUMBER(SEARCH(TEXT(C84,"0"),$C$2)), "ĐÚNG TỔNG", "KHÔNG")</f>
        <v/>
      </c>
      <c r="E84" s="3">
        <f>IF(ISNUMBER(SEARCH(TEXT(C84,"0"), Du_Lieu_2026!$F$2 &amp; Du_Lieu_2026!$I$2 &amp; Du_Lieu_2026!$L$2 &amp; Du_Lieu_2026!$O$2)), "CÓ G7", "---")</f>
        <v/>
      </c>
      <c r="F84" s="3">
        <f>IF(E84="CÓ G7", "CÓ NGUỒN", "---")</f>
        <v/>
      </c>
      <c r="G84" s="3">
        <f>IF(OR(ISNUMBER(SEARCH(LEFT(B84,1),$G$2)), ISNUMBER(SEARCH(RIGHT(B84,1),$G$2))), "ĐÚNG CHẠM", "KHÔNG")</f>
        <v/>
      </c>
      <c r="H84" s="3">
        <f>IF(D84="ĐÚNG TỔNG", 15, 0) + IF(G84="ĐÚNG CHẠM", 15, 0) + IF(E84="CÓ G7", 10, 0) + (100-ROW())/1000</f>
        <v/>
      </c>
      <c r="I84" s="3">
        <f>IF(RANK(H84,$H$3:$H$102)&lt;=20, B84, "")</f>
        <v/>
      </c>
      <c r="J84" s="3">
        <f>IF(AND(D84="ĐÚNG TỔNG", G84="ĐÚNG CHẠM", RANK(H84,$H$3:$H$102)&lt;=10), B84, "")</f>
        <v/>
      </c>
    </row>
    <row r="85">
      <c r="A85" s="2" t="n">
        <v>83</v>
      </c>
      <c r="B85" s="2" t="inlineStr">
        <is>
          <t>82</t>
        </is>
      </c>
      <c r="C85" s="3">
        <f>MOD(VALUE(LEFT(B85,1))+VALUE(RIGHT(B85,1)), 10)</f>
        <v/>
      </c>
      <c r="D85" s="3">
        <f>IF(ISNUMBER(SEARCH(TEXT(C85,"0"),$C$2)), "ĐÚNG TỔNG", "KHÔNG")</f>
        <v/>
      </c>
      <c r="E85" s="3">
        <f>IF(ISNUMBER(SEARCH(TEXT(C85,"0"), Du_Lieu_2026!$F$2 &amp; Du_Lieu_2026!$I$2 &amp; Du_Lieu_2026!$L$2 &amp; Du_Lieu_2026!$O$2)), "CÓ G7", "---")</f>
        <v/>
      </c>
      <c r="F85" s="3">
        <f>IF(E85="CÓ G7", "CÓ NGUỒN", "---")</f>
        <v/>
      </c>
      <c r="G85" s="3">
        <f>IF(OR(ISNUMBER(SEARCH(LEFT(B85,1),$G$2)), ISNUMBER(SEARCH(RIGHT(B85,1),$G$2))), "ĐÚNG CHẠM", "KHÔNG")</f>
        <v/>
      </c>
      <c r="H85" s="3">
        <f>IF(D85="ĐÚNG TỔNG", 15, 0) + IF(G85="ĐÚNG CHẠM", 15, 0) + IF(E85="CÓ G7", 10, 0) + (100-ROW())/1000</f>
        <v/>
      </c>
      <c r="I85" s="3">
        <f>IF(RANK(H85,$H$3:$H$102)&lt;=20, B85, "")</f>
        <v/>
      </c>
      <c r="J85" s="3">
        <f>IF(AND(D85="ĐÚNG TỔNG", G85="ĐÚNG CHẠM", RANK(H85,$H$3:$H$102)&lt;=10), B85, "")</f>
        <v/>
      </c>
    </row>
    <row r="86">
      <c r="A86" s="2" t="n">
        <v>84</v>
      </c>
      <c r="B86" s="2" t="inlineStr">
        <is>
          <t>83</t>
        </is>
      </c>
      <c r="C86" s="3">
        <f>MOD(VALUE(LEFT(B86,1))+VALUE(RIGHT(B86,1)), 10)</f>
        <v/>
      </c>
      <c r="D86" s="3">
        <f>IF(ISNUMBER(SEARCH(TEXT(C86,"0"),$C$2)), "ĐÚNG TỔNG", "KHÔNG")</f>
        <v/>
      </c>
      <c r="E86" s="3">
        <f>IF(ISNUMBER(SEARCH(TEXT(C86,"0"), Du_Lieu_2026!$F$2 &amp; Du_Lieu_2026!$I$2 &amp; Du_Lieu_2026!$L$2 &amp; Du_Lieu_2026!$O$2)), "CÓ G7", "---")</f>
        <v/>
      </c>
      <c r="F86" s="3">
        <f>IF(E86="CÓ G7", "CÓ NGUỒN", "---")</f>
        <v/>
      </c>
      <c r="G86" s="3">
        <f>IF(OR(ISNUMBER(SEARCH(LEFT(B86,1),$G$2)), ISNUMBER(SEARCH(RIGHT(B86,1),$G$2))), "ĐÚNG CHẠM", "KHÔNG")</f>
        <v/>
      </c>
      <c r="H86" s="3">
        <f>IF(D86="ĐÚNG TỔNG", 15, 0) + IF(G86="ĐÚNG CHẠM", 15, 0) + IF(E86="CÓ G7", 10, 0) + (100-ROW())/1000</f>
        <v/>
      </c>
      <c r="I86" s="3">
        <f>IF(RANK(H86,$H$3:$H$102)&lt;=20, B86, "")</f>
        <v/>
      </c>
      <c r="J86" s="3">
        <f>IF(AND(D86="ĐÚNG TỔNG", G86="ĐÚNG CHẠM", RANK(H86,$H$3:$H$102)&lt;=10), B86, "")</f>
        <v/>
      </c>
    </row>
    <row r="87">
      <c r="A87" s="2" t="n">
        <v>85</v>
      </c>
      <c r="B87" s="2" t="inlineStr">
        <is>
          <t>84</t>
        </is>
      </c>
      <c r="C87" s="3">
        <f>MOD(VALUE(LEFT(B87,1))+VALUE(RIGHT(B87,1)), 10)</f>
        <v/>
      </c>
      <c r="D87" s="3">
        <f>IF(ISNUMBER(SEARCH(TEXT(C87,"0"),$C$2)), "ĐÚNG TỔNG", "KHÔNG")</f>
        <v/>
      </c>
      <c r="E87" s="3">
        <f>IF(ISNUMBER(SEARCH(TEXT(C87,"0"), Du_Lieu_2026!$F$2 &amp; Du_Lieu_2026!$I$2 &amp; Du_Lieu_2026!$L$2 &amp; Du_Lieu_2026!$O$2)), "CÓ G7", "---")</f>
        <v/>
      </c>
      <c r="F87" s="3">
        <f>IF(E87="CÓ G7", "CÓ NGUỒN", "---")</f>
        <v/>
      </c>
      <c r="G87" s="3">
        <f>IF(OR(ISNUMBER(SEARCH(LEFT(B87,1),$G$2)), ISNUMBER(SEARCH(RIGHT(B87,1),$G$2))), "ĐÚNG CHẠM", "KHÔNG")</f>
        <v/>
      </c>
      <c r="H87" s="3">
        <f>IF(D87="ĐÚNG TỔNG", 15, 0) + IF(G87="ĐÚNG CHẠM", 15, 0) + IF(E87="CÓ G7", 10, 0) + (100-ROW())/1000</f>
        <v/>
      </c>
      <c r="I87" s="3">
        <f>IF(RANK(H87,$H$3:$H$102)&lt;=20, B87, "")</f>
        <v/>
      </c>
      <c r="J87" s="3">
        <f>IF(AND(D87="ĐÚNG TỔNG", G87="ĐÚNG CHẠM", RANK(H87,$H$3:$H$102)&lt;=10), B87, "")</f>
        <v/>
      </c>
    </row>
    <row r="88">
      <c r="A88" s="2" t="n">
        <v>86</v>
      </c>
      <c r="B88" s="2" t="inlineStr">
        <is>
          <t>85</t>
        </is>
      </c>
      <c r="C88" s="3">
        <f>MOD(VALUE(LEFT(B88,1))+VALUE(RIGHT(B88,1)), 10)</f>
        <v/>
      </c>
      <c r="D88" s="3">
        <f>IF(ISNUMBER(SEARCH(TEXT(C88,"0"),$C$2)), "ĐÚNG TỔNG", "KHÔNG")</f>
        <v/>
      </c>
      <c r="E88" s="3">
        <f>IF(ISNUMBER(SEARCH(TEXT(C88,"0"), Du_Lieu_2026!$F$2 &amp; Du_Lieu_2026!$I$2 &amp; Du_Lieu_2026!$L$2 &amp; Du_Lieu_2026!$O$2)), "CÓ G7", "---")</f>
        <v/>
      </c>
      <c r="F88" s="3">
        <f>IF(E88="CÓ G7", "CÓ NGUỒN", "---")</f>
        <v/>
      </c>
      <c r="G88" s="3">
        <f>IF(OR(ISNUMBER(SEARCH(LEFT(B88,1),$G$2)), ISNUMBER(SEARCH(RIGHT(B88,1),$G$2))), "ĐÚNG CHẠM", "KHÔNG")</f>
        <v/>
      </c>
      <c r="H88" s="3">
        <f>IF(D88="ĐÚNG TỔNG", 15, 0) + IF(G88="ĐÚNG CHẠM", 15, 0) + IF(E88="CÓ G7", 10, 0) + (100-ROW())/1000</f>
        <v/>
      </c>
      <c r="I88" s="3">
        <f>IF(RANK(H88,$H$3:$H$102)&lt;=20, B88, "")</f>
        <v/>
      </c>
      <c r="J88" s="3">
        <f>IF(AND(D88="ĐÚNG TỔNG", G88="ĐÚNG CHẠM", RANK(H88,$H$3:$H$102)&lt;=10), B88, "")</f>
        <v/>
      </c>
    </row>
    <row r="89">
      <c r="A89" s="2" t="n">
        <v>87</v>
      </c>
      <c r="B89" s="2" t="inlineStr">
        <is>
          <t>86</t>
        </is>
      </c>
      <c r="C89" s="3">
        <f>MOD(VALUE(LEFT(B89,1))+VALUE(RIGHT(B89,1)), 10)</f>
        <v/>
      </c>
      <c r="D89" s="3">
        <f>IF(ISNUMBER(SEARCH(TEXT(C89,"0"),$C$2)), "ĐÚNG TỔNG", "KHÔNG")</f>
        <v/>
      </c>
      <c r="E89" s="3">
        <f>IF(ISNUMBER(SEARCH(TEXT(C89,"0"), Du_Lieu_2026!$F$2 &amp; Du_Lieu_2026!$I$2 &amp; Du_Lieu_2026!$L$2 &amp; Du_Lieu_2026!$O$2)), "CÓ G7", "---")</f>
        <v/>
      </c>
      <c r="F89" s="3">
        <f>IF(E89="CÓ G7", "CÓ NGUỒN", "---")</f>
        <v/>
      </c>
      <c r="G89" s="3">
        <f>IF(OR(ISNUMBER(SEARCH(LEFT(B89,1),$G$2)), ISNUMBER(SEARCH(RIGHT(B89,1),$G$2))), "ĐÚNG CHẠM", "KHÔNG")</f>
        <v/>
      </c>
      <c r="H89" s="3">
        <f>IF(D89="ĐÚNG TỔNG", 15, 0) + IF(G89="ĐÚNG CHẠM", 15, 0) + IF(E89="CÓ G7", 10, 0) + (100-ROW())/1000</f>
        <v/>
      </c>
      <c r="I89" s="3">
        <f>IF(RANK(H89,$H$3:$H$102)&lt;=20, B89, "")</f>
        <v/>
      </c>
      <c r="J89" s="3">
        <f>IF(AND(D89="ĐÚNG TỔNG", G89="ĐÚNG CHẠM", RANK(H89,$H$3:$H$102)&lt;=10), B89, "")</f>
        <v/>
      </c>
    </row>
    <row r="90">
      <c r="A90" s="2" t="n">
        <v>88</v>
      </c>
      <c r="B90" s="2" t="inlineStr">
        <is>
          <t>87</t>
        </is>
      </c>
      <c r="C90" s="3">
        <f>MOD(VALUE(LEFT(B90,1))+VALUE(RIGHT(B90,1)), 10)</f>
        <v/>
      </c>
      <c r="D90" s="3">
        <f>IF(ISNUMBER(SEARCH(TEXT(C90,"0"),$C$2)), "ĐÚNG TỔNG", "KHÔNG")</f>
        <v/>
      </c>
      <c r="E90" s="3">
        <f>IF(ISNUMBER(SEARCH(TEXT(C90,"0"), Du_Lieu_2026!$F$2 &amp; Du_Lieu_2026!$I$2 &amp; Du_Lieu_2026!$L$2 &amp; Du_Lieu_2026!$O$2)), "CÓ G7", "---")</f>
        <v/>
      </c>
      <c r="F90" s="3">
        <f>IF(E90="CÓ G7", "CÓ NGUỒN", "---")</f>
        <v/>
      </c>
      <c r="G90" s="3">
        <f>IF(OR(ISNUMBER(SEARCH(LEFT(B90,1),$G$2)), ISNUMBER(SEARCH(RIGHT(B90,1),$G$2))), "ĐÚNG CHẠM", "KHÔNG")</f>
        <v/>
      </c>
      <c r="H90" s="3">
        <f>IF(D90="ĐÚNG TỔNG", 15, 0) + IF(G90="ĐÚNG CHẠM", 15, 0) + IF(E90="CÓ G7", 10, 0) + (100-ROW())/1000</f>
        <v/>
      </c>
      <c r="I90" s="3">
        <f>IF(RANK(H90,$H$3:$H$102)&lt;=20, B90, "")</f>
        <v/>
      </c>
      <c r="J90" s="3">
        <f>IF(AND(D90="ĐÚNG TỔNG", G90="ĐÚNG CHẠM", RANK(H90,$H$3:$H$102)&lt;=10), B90, "")</f>
        <v/>
      </c>
    </row>
    <row r="91">
      <c r="A91" s="2" t="n">
        <v>89</v>
      </c>
      <c r="B91" s="2" t="inlineStr">
        <is>
          <t>88</t>
        </is>
      </c>
      <c r="C91" s="3">
        <f>MOD(VALUE(LEFT(B91,1))+VALUE(RIGHT(B91,1)), 10)</f>
        <v/>
      </c>
      <c r="D91" s="3">
        <f>IF(ISNUMBER(SEARCH(TEXT(C91,"0"),$C$2)), "ĐÚNG TỔNG", "KHÔNG")</f>
        <v/>
      </c>
      <c r="E91" s="3">
        <f>IF(ISNUMBER(SEARCH(TEXT(C91,"0"), Du_Lieu_2026!$F$2 &amp; Du_Lieu_2026!$I$2 &amp; Du_Lieu_2026!$L$2 &amp; Du_Lieu_2026!$O$2)), "CÓ G7", "---")</f>
        <v/>
      </c>
      <c r="F91" s="3">
        <f>IF(E91="CÓ G7", "CÓ NGUỒN", "---")</f>
        <v/>
      </c>
      <c r="G91" s="3">
        <f>IF(OR(ISNUMBER(SEARCH(LEFT(B91,1),$G$2)), ISNUMBER(SEARCH(RIGHT(B91,1),$G$2))), "ĐÚNG CHẠM", "KHÔNG")</f>
        <v/>
      </c>
      <c r="H91" s="3">
        <f>IF(D91="ĐÚNG TỔNG", 15, 0) + IF(G91="ĐÚNG CHẠM", 15, 0) + IF(E91="CÓ G7", 10, 0) + (100-ROW())/1000</f>
        <v/>
      </c>
      <c r="I91" s="3">
        <f>IF(RANK(H91,$H$3:$H$102)&lt;=20, B91, "")</f>
        <v/>
      </c>
      <c r="J91" s="3">
        <f>IF(AND(D91="ĐÚNG TỔNG", G91="ĐÚNG CHẠM", RANK(H91,$H$3:$H$102)&lt;=10), B91, "")</f>
        <v/>
      </c>
    </row>
    <row r="92">
      <c r="A92" s="2" t="n">
        <v>90</v>
      </c>
      <c r="B92" s="2" t="inlineStr">
        <is>
          <t>89</t>
        </is>
      </c>
      <c r="C92" s="3">
        <f>MOD(VALUE(LEFT(B92,1))+VALUE(RIGHT(B92,1)), 10)</f>
        <v/>
      </c>
      <c r="D92" s="3">
        <f>IF(ISNUMBER(SEARCH(TEXT(C92,"0"),$C$2)), "ĐÚNG TỔNG", "KHÔNG")</f>
        <v/>
      </c>
      <c r="E92" s="3">
        <f>IF(ISNUMBER(SEARCH(TEXT(C92,"0"), Du_Lieu_2026!$F$2 &amp; Du_Lieu_2026!$I$2 &amp; Du_Lieu_2026!$L$2 &amp; Du_Lieu_2026!$O$2)), "CÓ G7", "---")</f>
        <v/>
      </c>
      <c r="F92" s="3">
        <f>IF(E92="CÓ G7", "CÓ NGUỒN", "---")</f>
        <v/>
      </c>
      <c r="G92" s="3">
        <f>IF(OR(ISNUMBER(SEARCH(LEFT(B92,1),$G$2)), ISNUMBER(SEARCH(RIGHT(B92,1),$G$2))), "ĐÚNG CHẠM", "KHÔNG")</f>
        <v/>
      </c>
      <c r="H92" s="3">
        <f>IF(D92="ĐÚNG TỔNG", 15, 0) + IF(G92="ĐÚNG CHẠM", 15, 0) + IF(E92="CÓ G7", 10, 0) + (100-ROW())/1000</f>
        <v/>
      </c>
      <c r="I92" s="3">
        <f>IF(RANK(H92,$H$3:$H$102)&lt;=20, B92, "")</f>
        <v/>
      </c>
      <c r="J92" s="3">
        <f>IF(AND(D92="ĐÚNG TỔNG", G92="ĐÚNG CHẠM", RANK(H92,$H$3:$H$102)&lt;=10), B92, "")</f>
        <v/>
      </c>
    </row>
    <row r="93">
      <c r="A93" s="2" t="n">
        <v>91</v>
      </c>
      <c r="B93" s="2" t="inlineStr">
        <is>
          <t>90</t>
        </is>
      </c>
      <c r="C93" s="3">
        <f>MOD(VALUE(LEFT(B93,1))+VALUE(RIGHT(B93,1)), 10)</f>
        <v/>
      </c>
      <c r="D93" s="3">
        <f>IF(ISNUMBER(SEARCH(TEXT(C93,"0"),$C$2)), "ĐÚNG TỔNG", "KHÔNG")</f>
        <v/>
      </c>
      <c r="E93" s="3">
        <f>IF(ISNUMBER(SEARCH(TEXT(C93,"0"), Du_Lieu_2026!$F$2 &amp; Du_Lieu_2026!$I$2 &amp; Du_Lieu_2026!$L$2 &amp; Du_Lieu_2026!$O$2)), "CÓ G7", "---")</f>
        <v/>
      </c>
      <c r="F93" s="3">
        <f>IF(E93="CÓ G7", "CÓ NGUỒN", "---")</f>
        <v/>
      </c>
      <c r="G93" s="3">
        <f>IF(OR(ISNUMBER(SEARCH(LEFT(B93,1),$G$2)), ISNUMBER(SEARCH(RIGHT(B93,1),$G$2))), "ĐÚNG CHẠM", "KHÔNG")</f>
        <v/>
      </c>
      <c r="H93" s="3">
        <f>IF(D93="ĐÚNG TỔNG", 15, 0) + IF(G93="ĐÚNG CHẠM", 15, 0) + IF(E93="CÓ G7", 10, 0) + (100-ROW())/1000</f>
        <v/>
      </c>
      <c r="I93" s="3">
        <f>IF(RANK(H93,$H$3:$H$102)&lt;=20, B93, "")</f>
        <v/>
      </c>
      <c r="J93" s="3">
        <f>IF(AND(D93="ĐÚNG TỔNG", G93="ĐÚNG CHẠM", RANK(H93,$H$3:$H$102)&lt;=10), B93, "")</f>
        <v/>
      </c>
    </row>
    <row r="94">
      <c r="A94" s="2" t="n">
        <v>92</v>
      </c>
      <c r="B94" s="2" t="inlineStr">
        <is>
          <t>91</t>
        </is>
      </c>
      <c r="C94" s="3">
        <f>MOD(VALUE(LEFT(B94,1))+VALUE(RIGHT(B94,1)), 10)</f>
        <v/>
      </c>
      <c r="D94" s="3">
        <f>IF(ISNUMBER(SEARCH(TEXT(C94,"0"),$C$2)), "ĐÚNG TỔNG", "KHÔNG")</f>
        <v/>
      </c>
      <c r="E94" s="3">
        <f>IF(ISNUMBER(SEARCH(TEXT(C94,"0"), Du_Lieu_2026!$F$2 &amp; Du_Lieu_2026!$I$2 &amp; Du_Lieu_2026!$L$2 &amp; Du_Lieu_2026!$O$2)), "CÓ G7", "---")</f>
        <v/>
      </c>
      <c r="F94" s="3">
        <f>IF(E94="CÓ G7", "CÓ NGUỒN", "---")</f>
        <v/>
      </c>
      <c r="G94" s="3">
        <f>IF(OR(ISNUMBER(SEARCH(LEFT(B94,1),$G$2)), ISNUMBER(SEARCH(RIGHT(B94,1),$G$2))), "ĐÚNG CHẠM", "KHÔNG")</f>
        <v/>
      </c>
      <c r="H94" s="3">
        <f>IF(D94="ĐÚNG TỔNG", 15, 0) + IF(G94="ĐÚNG CHẠM", 15, 0) + IF(E94="CÓ G7", 10, 0) + (100-ROW())/1000</f>
        <v/>
      </c>
      <c r="I94" s="3">
        <f>IF(RANK(H94,$H$3:$H$102)&lt;=20, B94, "")</f>
        <v/>
      </c>
      <c r="J94" s="3">
        <f>IF(AND(D94="ĐÚNG TỔNG", G94="ĐÚNG CHẠM", RANK(H94,$H$3:$H$102)&lt;=10), B94, "")</f>
        <v/>
      </c>
    </row>
    <row r="95">
      <c r="A95" s="2" t="n">
        <v>93</v>
      </c>
      <c r="B95" s="2" t="inlineStr">
        <is>
          <t>92</t>
        </is>
      </c>
      <c r="C95" s="3">
        <f>MOD(VALUE(LEFT(B95,1))+VALUE(RIGHT(B95,1)), 10)</f>
        <v/>
      </c>
      <c r="D95" s="3">
        <f>IF(ISNUMBER(SEARCH(TEXT(C95,"0"),$C$2)), "ĐÚNG TỔNG", "KHÔNG")</f>
        <v/>
      </c>
      <c r="E95" s="3">
        <f>IF(ISNUMBER(SEARCH(TEXT(C95,"0"), Du_Lieu_2026!$F$2 &amp; Du_Lieu_2026!$I$2 &amp; Du_Lieu_2026!$L$2 &amp; Du_Lieu_2026!$O$2)), "CÓ G7", "---")</f>
        <v/>
      </c>
      <c r="F95" s="3">
        <f>IF(E95="CÓ G7", "CÓ NGUỒN", "---")</f>
        <v/>
      </c>
      <c r="G95" s="3">
        <f>IF(OR(ISNUMBER(SEARCH(LEFT(B95,1),$G$2)), ISNUMBER(SEARCH(RIGHT(B95,1),$G$2))), "ĐÚNG CHẠM", "KHÔNG")</f>
        <v/>
      </c>
      <c r="H95" s="3">
        <f>IF(D95="ĐÚNG TỔNG", 15, 0) + IF(G95="ĐÚNG CHẠM", 15, 0) + IF(E95="CÓ G7", 10, 0) + (100-ROW())/1000</f>
        <v/>
      </c>
      <c r="I95" s="3">
        <f>IF(RANK(H95,$H$3:$H$102)&lt;=20, B95, "")</f>
        <v/>
      </c>
      <c r="J95" s="3">
        <f>IF(AND(D95="ĐÚNG TỔNG", G95="ĐÚNG CHẠM", RANK(H95,$H$3:$H$102)&lt;=10), B95, "")</f>
        <v/>
      </c>
    </row>
    <row r="96">
      <c r="A96" s="2" t="n">
        <v>94</v>
      </c>
      <c r="B96" s="2" t="inlineStr">
        <is>
          <t>93</t>
        </is>
      </c>
      <c r="C96" s="3">
        <f>MOD(VALUE(LEFT(B96,1))+VALUE(RIGHT(B96,1)), 10)</f>
        <v/>
      </c>
      <c r="D96" s="3">
        <f>IF(ISNUMBER(SEARCH(TEXT(C96,"0"),$C$2)), "ĐÚNG TỔNG", "KHÔNG")</f>
        <v/>
      </c>
      <c r="E96" s="3">
        <f>IF(ISNUMBER(SEARCH(TEXT(C96,"0"), Du_Lieu_2026!$F$2 &amp; Du_Lieu_2026!$I$2 &amp; Du_Lieu_2026!$L$2 &amp; Du_Lieu_2026!$O$2)), "CÓ G7", "---")</f>
        <v/>
      </c>
      <c r="F96" s="3">
        <f>IF(E96="CÓ G7", "CÓ NGUỒN", "---")</f>
        <v/>
      </c>
      <c r="G96" s="3">
        <f>IF(OR(ISNUMBER(SEARCH(LEFT(B96,1),$G$2)), ISNUMBER(SEARCH(RIGHT(B96,1),$G$2))), "ĐÚNG CHẠM", "KHÔNG")</f>
        <v/>
      </c>
      <c r="H96" s="3">
        <f>IF(D96="ĐÚNG TỔNG", 15, 0) + IF(G96="ĐÚNG CHẠM", 15, 0) + IF(E96="CÓ G7", 10, 0) + (100-ROW())/1000</f>
        <v/>
      </c>
      <c r="I96" s="3">
        <f>IF(RANK(H96,$H$3:$H$102)&lt;=20, B96, "")</f>
        <v/>
      </c>
      <c r="J96" s="3">
        <f>IF(AND(D96="ĐÚNG TỔNG", G96="ĐÚNG CHẠM", RANK(H96,$H$3:$H$102)&lt;=10), B96, "")</f>
        <v/>
      </c>
    </row>
    <row r="97">
      <c r="A97" s="2" t="n">
        <v>95</v>
      </c>
      <c r="B97" s="2" t="inlineStr">
        <is>
          <t>94</t>
        </is>
      </c>
      <c r="C97" s="3">
        <f>MOD(VALUE(LEFT(B97,1))+VALUE(RIGHT(B97,1)), 10)</f>
        <v/>
      </c>
      <c r="D97" s="3">
        <f>IF(ISNUMBER(SEARCH(TEXT(C97,"0"),$C$2)), "ĐÚNG TỔNG", "KHÔNG")</f>
        <v/>
      </c>
      <c r="E97" s="3">
        <f>IF(ISNUMBER(SEARCH(TEXT(C97,"0"), Du_Lieu_2026!$F$2 &amp; Du_Lieu_2026!$I$2 &amp; Du_Lieu_2026!$L$2 &amp; Du_Lieu_2026!$O$2)), "CÓ G7", "---")</f>
        <v/>
      </c>
      <c r="F97" s="3">
        <f>IF(E97="CÓ G7", "CÓ NGUỒN", "---")</f>
        <v/>
      </c>
      <c r="G97" s="3">
        <f>IF(OR(ISNUMBER(SEARCH(LEFT(B97,1),$G$2)), ISNUMBER(SEARCH(RIGHT(B97,1),$G$2))), "ĐÚNG CHẠM", "KHÔNG")</f>
        <v/>
      </c>
      <c r="H97" s="3">
        <f>IF(D97="ĐÚNG TỔNG", 15, 0) + IF(G97="ĐÚNG CHẠM", 15, 0) + IF(E97="CÓ G7", 10, 0) + (100-ROW())/1000</f>
        <v/>
      </c>
      <c r="I97" s="3">
        <f>IF(RANK(H97,$H$3:$H$102)&lt;=20, B97, "")</f>
        <v/>
      </c>
      <c r="J97" s="3">
        <f>IF(AND(D97="ĐÚNG TỔNG", G97="ĐÚNG CHẠM", RANK(H97,$H$3:$H$102)&lt;=10), B97, "")</f>
        <v/>
      </c>
    </row>
    <row r="98">
      <c r="A98" s="2" t="n">
        <v>96</v>
      </c>
      <c r="B98" s="2" t="inlineStr">
        <is>
          <t>95</t>
        </is>
      </c>
      <c r="C98" s="3">
        <f>MOD(VALUE(LEFT(B98,1))+VALUE(RIGHT(B98,1)), 10)</f>
        <v/>
      </c>
      <c r="D98" s="3">
        <f>IF(ISNUMBER(SEARCH(TEXT(C98,"0"),$C$2)), "ĐÚNG TỔNG", "KHÔNG")</f>
        <v/>
      </c>
      <c r="E98" s="3">
        <f>IF(ISNUMBER(SEARCH(TEXT(C98,"0"), Du_Lieu_2026!$F$2 &amp; Du_Lieu_2026!$I$2 &amp; Du_Lieu_2026!$L$2 &amp; Du_Lieu_2026!$O$2)), "CÓ G7", "---")</f>
        <v/>
      </c>
      <c r="F98" s="3">
        <f>IF(E98="CÓ G7", "CÓ NGUỒN", "---")</f>
        <v/>
      </c>
      <c r="G98" s="3">
        <f>IF(OR(ISNUMBER(SEARCH(LEFT(B98,1),$G$2)), ISNUMBER(SEARCH(RIGHT(B98,1),$G$2))), "ĐÚNG CHẠM", "KHÔNG")</f>
        <v/>
      </c>
      <c r="H98" s="3">
        <f>IF(D98="ĐÚNG TỔNG", 15, 0) + IF(G98="ĐÚNG CHẠM", 15, 0) + IF(E98="CÓ G7", 10, 0) + (100-ROW())/1000</f>
        <v/>
      </c>
      <c r="I98" s="3">
        <f>IF(RANK(H98,$H$3:$H$102)&lt;=20, B98, "")</f>
        <v/>
      </c>
      <c r="J98" s="3">
        <f>IF(AND(D98="ĐÚNG TỔNG", G98="ĐÚNG CHẠM", RANK(H98,$H$3:$H$102)&lt;=10), B98, "")</f>
        <v/>
      </c>
    </row>
    <row r="99">
      <c r="A99" s="2" t="n">
        <v>97</v>
      </c>
      <c r="B99" s="2" t="inlineStr">
        <is>
          <t>96</t>
        </is>
      </c>
      <c r="C99" s="3">
        <f>MOD(VALUE(LEFT(B99,1))+VALUE(RIGHT(B99,1)), 10)</f>
        <v/>
      </c>
      <c r="D99" s="3">
        <f>IF(ISNUMBER(SEARCH(TEXT(C99,"0"),$C$2)), "ĐÚNG TỔNG", "KHÔNG")</f>
        <v/>
      </c>
      <c r="E99" s="3">
        <f>IF(ISNUMBER(SEARCH(TEXT(C99,"0"), Du_Lieu_2026!$F$2 &amp; Du_Lieu_2026!$I$2 &amp; Du_Lieu_2026!$L$2 &amp; Du_Lieu_2026!$O$2)), "CÓ G7", "---")</f>
        <v/>
      </c>
      <c r="F99" s="3">
        <f>IF(E99="CÓ G7", "CÓ NGUỒN", "---")</f>
        <v/>
      </c>
      <c r="G99" s="3">
        <f>IF(OR(ISNUMBER(SEARCH(LEFT(B99,1),$G$2)), ISNUMBER(SEARCH(RIGHT(B99,1),$G$2))), "ĐÚNG CHẠM", "KHÔNG")</f>
        <v/>
      </c>
      <c r="H99" s="3">
        <f>IF(D99="ĐÚNG TỔNG", 15, 0) + IF(G99="ĐÚNG CHẠM", 15, 0) + IF(E99="CÓ G7", 10, 0) + (100-ROW())/1000</f>
        <v/>
      </c>
      <c r="I99" s="3">
        <f>IF(RANK(H99,$H$3:$H$102)&lt;=20, B99, "")</f>
        <v/>
      </c>
      <c r="J99" s="3">
        <f>IF(AND(D99="ĐÚNG TỔNG", G99="ĐÚNG CHẠM", RANK(H99,$H$3:$H$102)&lt;=10), B99, "")</f>
        <v/>
      </c>
    </row>
    <row r="100">
      <c r="A100" s="2" t="n">
        <v>98</v>
      </c>
      <c r="B100" s="2" t="inlineStr">
        <is>
          <t>97</t>
        </is>
      </c>
      <c r="C100" s="3">
        <f>MOD(VALUE(LEFT(B100,1))+VALUE(RIGHT(B100,1)), 10)</f>
        <v/>
      </c>
      <c r="D100" s="3">
        <f>IF(ISNUMBER(SEARCH(TEXT(C100,"0"),$C$2)), "ĐÚNG TỔNG", "KHÔNG")</f>
        <v/>
      </c>
      <c r="E100" s="3">
        <f>IF(ISNUMBER(SEARCH(TEXT(C100,"0"), Du_Lieu_2026!$F$2 &amp; Du_Lieu_2026!$I$2 &amp; Du_Lieu_2026!$L$2 &amp; Du_Lieu_2026!$O$2)), "CÓ G7", "---")</f>
        <v/>
      </c>
      <c r="F100" s="3">
        <f>IF(E100="CÓ G7", "CÓ NGUỒN", "---")</f>
        <v/>
      </c>
      <c r="G100" s="3">
        <f>IF(OR(ISNUMBER(SEARCH(LEFT(B100,1),$G$2)), ISNUMBER(SEARCH(RIGHT(B100,1),$G$2))), "ĐÚNG CHẠM", "KHÔNG")</f>
        <v/>
      </c>
      <c r="H100" s="3">
        <f>IF(D100="ĐÚNG TỔNG", 15, 0) + IF(G100="ĐÚNG CHẠM", 15, 0) + IF(E100="CÓ G7", 10, 0) + (100-ROW())/1000</f>
        <v/>
      </c>
      <c r="I100" s="3">
        <f>IF(RANK(H100,$H$3:$H$102)&lt;=20, B100, "")</f>
        <v/>
      </c>
      <c r="J100" s="3">
        <f>IF(AND(D100="ĐÚNG TỔNG", G100="ĐÚNG CHẠM", RANK(H100,$H$3:$H$102)&lt;=10), B100, "")</f>
        <v/>
      </c>
    </row>
    <row r="101">
      <c r="A101" s="2" t="n">
        <v>99</v>
      </c>
      <c r="B101" s="2" t="inlineStr">
        <is>
          <t>98</t>
        </is>
      </c>
      <c r="C101" s="3">
        <f>MOD(VALUE(LEFT(B101,1))+VALUE(RIGHT(B101,1)), 10)</f>
        <v/>
      </c>
      <c r="D101" s="3">
        <f>IF(ISNUMBER(SEARCH(TEXT(C101,"0"),$C$2)), "ĐÚNG TỔNG", "KHÔNG")</f>
        <v/>
      </c>
      <c r="E101" s="3">
        <f>IF(ISNUMBER(SEARCH(TEXT(C101,"0"), Du_Lieu_2026!$F$2 &amp; Du_Lieu_2026!$I$2 &amp; Du_Lieu_2026!$L$2 &amp; Du_Lieu_2026!$O$2)), "CÓ G7", "---")</f>
        <v/>
      </c>
      <c r="F101" s="3">
        <f>IF(E101="CÓ G7", "CÓ NGUỒN", "---")</f>
        <v/>
      </c>
      <c r="G101" s="3">
        <f>IF(OR(ISNUMBER(SEARCH(LEFT(B101,1),$G$2)), ISNUMBER(SEARCH(RIGHT(B101,1),$G$2))), "ĐÚNG CHẠM", "KHÔNG")</f>
        <v/>
      </c>
      <c r="H101" s="3">
        <f>IF(D101="ĐÚNG TỔNG", 15, 0) + IF(G101="ĐÚNG CHẠM", 15, 0) + IF(E101="CÓ G7", 10, 0) + (100-ROW())/1000</f>
        <v/>
      </c>
      <c r="I101" s="3">
        <f>IF(RANK(H101,$H$3:$H$102)&lt;=20, B101, "")</f>
        <v/>
      </c>
      <c r="J101" s="3">
        <f>IF(AND(D101="ĐÚNG TỔNG", G101="ĐÚNG CHẠM", RANK(H101,$H$3:$H$102)&lt;=10), B101, "")</f>
        <v/>
      </c>
    </row>
    <row r="102">
      <c r="A102" s="2" t="n">
        <v>100</v>
      </c>
      <c r="B102" s="2" t="inlineStr">
        <is>
          <t>99</t>
        </is>
      </c>
      <c r="C102" s="3">
        <f>MOD(VALUE(LEFT(B102,1))+VALUE(RIGHT(B102,1)), 10)</f>
        <v/>
      </c>
      <c r="D102" s="3">
        <f>IF(ISNUMBER(SEARCH(TEXT(C102,"0"),$C$2)), "ĐÚNG TỔNG", "KHÔNG")</f>
        <v/>
      </c>
      <c r="E102" s="3">
        <f>IF(ISNUMBER(SEARCH(TEXT(C102,"0"), Du_Lieu_2026!$F$2 &amp; Du_Lieu_2026!$I$2 &amp; Du_Lieu_2026!$L$2 &amp; Du_Lieu_2026!$O$2)), "CÓ G7", "---")</f>
        <v/>
      </c>
      <c r="F102" s="3">
        <f>IF(E102="CÓ G7", "CÓ NGUỒN", "---")</f>
        <v/>
      </c>
      <c r="G102" s="3">
        <f>IF(OR(ISNUMBER(SEARCH(LEFT(B102,1),$G$2)), ISNUMBER(SEARCH(RIGHT(B102,1),$G$2))), "ĐÚNG CHẠM", "KHÔNG")</f>
        <v/>
      </c>
      <c r="H102" s="3">
        <f>IF(D102="ĐÚNG TỔNG", 15, 0) + IF(G102="ĐÚNG CHẠM", 15, 0) + IF(E102="CÓ G7", 10, 0) + (100-ROW())/1000</f>
        <v/>
      </c>
      <c r="I102" s="3">
        <f>IF(RANK(H102,$H$3:$H$102)&lt;=20, B102, "")</f>
        <v/>
      </c>
      <c r="J102" s="3">
        <f>IF(AND(D102="ĐÚNG TỔNG", G102="ĐÚNG CHẠM", RANK(H102,$H$3:$H$102)&lt;=10), B102, 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31" customWidth="1" min="2" max="2"/>
    <col width="65" customWidth="1" min="3" max="3"/>
    <col width="65" customWidth="1" min="4" max="4"/>
    <col width="65" customWidth="1" min="5" max="5"/>
    <col width="65" customWidth="1" min="6" max="6"/>
    <col width="12" customWidth="1" min="7" max="7"/>
    <col width="65" customWidth="1" min="8" max="8"/>
    <col width="65" customWidth="1" min="9" max="9"/>
    <col width="65" customWidth="1" min="10" max="10"/>
  </cols>
  <sheetData>
    <row r="1">
      <c r="A1" s="1" t="inlineStr">
        <is>
          <t>⚡ BỘ LỌC TỰ ĐỘNG THEO THỨ (LIVE EXCEL FORMULAS)</t>
        </is>
      </c>
      <c r="B1" s="1" t="inlineStr"/>
      <c r="C1" s="1" t="inlineStr"/>
      <c r="D1" s="1" t="inlineStr"/>
      <c r="E1" s="1" t="inlineStr"/>
      <c r="F1" s="1" t="n"/>
      <c r="G1" s="1" t="n"/>
      <c r="H1" s="1" t="n"/>
      <c r="I1" s="1" t="n"/>
      <c r="J1" s="1" t="n"/>
    </row>
    <row r="2">
      <c r="A2" s="2" t="inlineStr">
        <is>
          <t>Chọn Chạm Lọc (Dropdown C4)</t>
        </is>
      </c>
      <c r="B2" s="2" t="inlineStr">
        <is>
          <t>Chọn Tổng Lọc (Dropdown D4)</t>
        </is>
      </c>
      <c r="C2" s="3" t="inlineStr">
        <is>
          <t>Liên Kết File Gốc</t>
        </is>
      </c>
      <c r="D2" s="3" t="inlineStr">
        <is>
          <t>Tổng Số Con Dàn Hạ</t>
        </is>
      </c>
      <c r="E2" s="3" t="inlineStr">
        <is>
          <t>Trạng Thái</t>
        </is>
      </c>
      <c r="F2" s="3" t="n"/>
      <c r="G2" s="3" t="n"/>
      <c r="H2" s="3" t="n"/>
      <c r="I2" s="3" t="n"/>
      <c r="J2" s="3" t="n"/>
    </row>
    <row r="3">
      <c r="A3" s="2" t="inlineStr">
        <is>
          <t>Tất cả</t>
        </is>
      </c>
      <c r="B3" s="2" t="inlineStr">
        <is>
          <t>Tất cả</t>
        </is>
      </c>
      <c r="C3" s="3">
        <f>LOC_COPY!$C$5</f>
        <v/>
      </c>
      <c r="D3" s="3">
        <f>COUNTA(A7:Z20)</f>
        <v/>
      </c>
      <c r="E3" s="3" t="inlineStr">
        <is>
          <t>Đang Tự Động Kết Nối Live</t>
        </is>
      </c>
      <c r="F3" s="3" t="n"/>
      <c r="G3" s="3" t="n"/>
      <c r="H3" s="3" t="n"/>
      <c r="I3" s="3" t="n"/>
      <c r="J3" s="3" t="n"/>
    </row>
    <row r="4">
      <c r="A4" s="2" t="inlineStr"/>
      <c r="B4" s="2" t="inlineStr"/>
      <c r="C4" s="3" t="inlineStr"/>
      <c r="D4" s="3" t="inlineStr"/>
      <c r="E4" s="3" t="inlineStr"/>
      <c r="F4" s="3" t="n"/>
      <c r="G4" s="3" t="n"/>
      <c r="H4" s="3" t="n"/>
      <c r="I4" s="3" t="n"/>
      <c r="J4" s="3" t="n"/>
    </row>
    <row r="5">
      <c r="A5" s="4" t="inlineStr">
        <is>
          <t>--- DÀN SỐ HẠ TỰ ĐỘNG THEO CHẠM &amp; TỔNG ĐÃ CHỌN ---</t>
        </is>
      </c>
      <c r="B5" s="4" t="inlineStr"/>
      <c r="C5" s="5" t="inlineStr"/>
      <c r="D5" s="5" t="inlineStr"/>
      <c r="E5" s="5" t="inlineStr"/>
      <c r="F5" s="5" t="n"/>
      <c r="G5" s="5" t="n"/>
      <c r="H5" s="5" t="n"/>
      <c r="I5" s="5" t="n"/>
      <c r="J5" s="5" t="n"/>
    </row>
    <row r="6">
      <c r="A6" s="2" t="inlineStr"/>
      <c r="B6" s="2" t="inlineStr"/>
      <c r="C6" s="3">
        <f>IF(AND(OR(A$3="Tất cả", 0=INT(A$3), 2=INT(A$3)), OR(B$3="Tất cả", 2=INT(B$3))), "02", "")</f>
        <v/>
      </c>
      <c r="D6" s="3" t="inlineStr"/>
      <c r="E6" s="3" t="inlineStr"/>
      <c r="F6" s="3" t="inlineStr"/>
      <c r="G6" s="3" t="inlineStr"/>
      <c r="H6" s="3">
        <f>IF(AND(OR(A$3="Tất cả", 0=INT(A$3), 7=INT(A$3)), OR(B$3="Tất cả", 7=INT(B$3))), "07", "")</f>
        <v/>
      </c>
      <c r="I6" s="3" t="inlineStr"/>
      <c r="J6" s="3" t="inlineStr"/>
    </row>
    <row r="7">
      <c r="A7" s="2" t="inlineStr"/>
      <c r="B7" s="2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</row>
    <row r="8">
      <c r="A8" s="2">
        <f>IF(AND(OR(A$3="Tất cả", 2=INT(A$3), 0=INT(A$3)), OR(B$3="Tất cả", 2=INT(B$3))), "20", "")</f>
        <v/>
      </c>
      <c r="B8" s="2" t="inlineStr"/>
      <c r="C8" s="3" t="inlineStr"/>
      <c r="D8" s="3" t="inlineStr"/>
      <c r="E8" s="3" t="inlineStr"/>
      <c r="F8" s="3">
        <f>IF(AND(OR(A$3="Tất cả", 2=INT(A$3), 5=INT(A$3)), OR(B$3="Tất cả", 7=INT(B$3))), "25", "")</f>
        <v/>
      </c>
      <c r="G8" s="3" t="inlineStr"/>
      <c r="H8" s="3" t="inlineStr"/>
      <c r="I8" s="3" t="inlineStr"/>
      <c r="J8" s="3" t="inlineStr"/>
    </row>
    <row r="9">
      <c r="A9" s="2" t="inlineStr"/>
      <c r="B9" s="2" t="inlineStr"/>
      <c r="C9" s="3" t="inlineStr"/>
      <c r="D9" s="3" t="inlineStr"/>
      <c r="E9" s="3">
        <f>IF(AND(OR(A$3="Tất cả", 3=INT(A$3), 4=INT(A$3)), OR(B$3="Tất cả", 7=INT(B$3))), "34", "")</f>
        <v/>
      </c>
      <c r="F9" s="3" t="inlineStr"/>
      <c r="G9" s="3" t="inlineStr"/>
      <c r="H9" s="3" t="inlineStr"/>
      <c r="I9" s="3" t="inlineStr"/>
      <c r="J9" s="3">
        <f>IF(AND(OR(A$3="Tất cả", 3=INT(A$3), 9=INT(A$3)), OR(B$3="Tất cả", 2=INT(B$3))), "39", "")</f>
        <v/>
      </c>
    </row>
    <row r="10">
      <c r="A10" s="2" t="inlineStr"/>
      <c r="B10" s="2" t="inlineStr"/>
      <c r="C10" s="3" t="inlineStr"/>
      <c r="D10" s="3">
        <f>IF(AND(OR(A$3="Tất cả", 4=INT(A$3), 3=INT(A$3)), OR(B$3="Tất cả", 7=INT(B$3))), "43", "")</f>
        <v/>
      </c>
      <c r="E10" s="3" t="inlineStr"/>
      <c r="F10" s="3" t="inlineStr"/>
      <c r="G10" s="3" t="inlineStr"/>
      <c r="H10" s="3" t="inlineStr"/>
      <c r="I10" s="3">
        <f>IF(AND(OR(A$3="Tất cả", 4=INT(A$3), 8=INT(A$3)), OR(B$3="Tất cả", 2=INT(B$3))), "48", "")</f>
        <v/>
      </c>
      <c r="J10" s="3" t="inlineStr"/>
    </row>
    <row r="11">
      <c r="A11" s="2" t="inlineStr"/>
      <c r="B11" s="2" t="inlineStr"/>
      <c r="C11" s="3">
        <f>IF(AND(OR(A$3="Tất cả", 5=INT(A$3), 2=INT(A$3)), OR(B$3="Tất cả", 7=INT(B$3))), "52", "")</f>
        <v/>
      </c>
      <c r="D11" s="3" t="inlineStr"/>
      <c r="E11" s="3" t="inlineStr"/>
      <c r="F11" s="3" t="inlineStr"/>
      <c r="G11" s="3" t="inlineStr"/>
      <c r="H11" s="3">
        <f>IF(AND(OR(A$3="Tất cả", 5=INT(A$3), 7=INT(A$3)), OR(B$3="Tất cả", 2=INT(B$3))), "57", "")</f>
        <v/>
      </c>
      <c r="I11" s="3" t="inlineStr"/>
      <c r="J11" s="3" t="inlineStr"/>
    </row>
    <row r="12">
      <c r="A12" s="2" t="inlineStr"/>
      <c r="B12" s="2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</row>
    <row r="13">
      <c r="A13" s="2">
        <f>IF(AND(OR(A$3="Tất cả", 7=INT(A$3), 0=INT(A$3)), OR(B$3="Tất cả", 7=INT(B$3))), "70", "")</f>
        <v/>
      </c>
      <c r="B13" s="2" t="inlineStr"/>
      <c r="C13" s="3" t="inlineStr"/>
      <c r="D13" s="3" t="inlineStr"/>
      <c r="E13" s="3" t="inlineStr"/>
      <c r="F13" s="3">
        <f>IF(AND(OR(A$3="Tất cả", 7=INT(A$3), 5=INT(A$3)), OR(B$3="Tất cả", 2=INT(B$3))), "75", "")</f>
        <v/>
      </c>
      <c r="G13" s="3" t="inlineStr"/>
      <c r="H13" s="3" t="inlineStr"/>
      <c r="I13" s="3" t="inlineStr"/>
      <c r="J13" s="3" t="inlineStr"/>
    </row>
    <row r="14">
      <c r="A14" s="2" t="inlineStr"/>
      <c r="B14" s="2" t="inlineStr"/>
      <c r="C14" s="3" t="inlineStr"/>
      <c r="D14" s="3" t="inlineStr"/>
      <c r="E14" s="3">
        <f>IF(AND(OR(A$3="Tất cả", 8=INT(A$3), 4=INT(A$3)), OR(B$3="Tất cả", 2=INT(B$3))), "84", "")</f>
        <v/>
      </c>
      <c r="F14" s="3" t="inlineStr"/>
      <c r="G14" s="3" t="inlineStr"/>
      <c r="H14" s="3" t="inlineStr"/>
      <c r="I14" s="3" t="inlineStr"/>
      <c r="J14" s="3">
        <f>IF(AND(OR(A$3="Tất cả", 8=INT(A$3), 9=INT(A$3)), OR(B$3="Tất cả", 7=INT(B$3))), "89", "")</f>
        <v/>
      </c>
    </row>
    <row r="15">
      <c r="A15" s="2" t="inlineStr"/>
      <c r="B15" s="2" t="inlineStr"/>
      <c r="C15" s="3" t="inlineStr"/>
      <c r="D15" s="3">
        <f>IF(AND(OR(A$3="Tất cả", 9=INT(A$3), 3=INT(A$3)), OR(B$3="Tất cả", 2=INT(B$3))), "93", "")</f>
        <v/>
      </c>
      <c r="E15" s="3" t="inlineStr"/>
      <c r="F15" s="3" t="inlineStr"/>
      <c r="G15" s="3" t="inlineStr"/>
      <c r="H15" s="3" t="inlineStr"/>
      <c r="I15" s="3">
        <f>IF(AND(OR(A$3="Tất cả", 9=INT(A$3), 8=INT(A$3)), OR(B$3="Tất cả", 7=INT(B$3))), "98", "")</f>
        <v/>
      </c>
      <c r="J15" s="3" t="inlineStr"/>
    </row>
  </sheetData>
  <dataValidations count="2">
    <dataValidation sqref="A3" showDropDown="0" showInputMessage="0" showErrorMessage="0" allowBlank="1" type="list">
      <formula1>"Tất cả,0,1,2,3,4,5,6,7,8,9"</formula1>
    </dataValidation>
    <dataValidation sqref="B3" showDropDown="0" showInputMessage="0" showErrorMessage="0" allowBlank="1" type="list">
      <formula1>"Tất cả,0,1,2,3,4,5,6,7,8,9"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Ngày Quay</t>
        </is>
      </c>
      <c r="C1" t="inlineStr">
        <is>
          <t>Giải Đặc Biệt (5 số)</t>
        </is>
      </c>
      <c r="D1" t="inlineStr">
        <is>
          <t>Số Đề (2 số cuối)</t>
        </is>
      </c>
      <c r="E1" t="inlineStr">
        <is>
          <t>G7.1</t>
        </is>
      </c>
      <c r="F1" t="inlineStr">
        <is>
          <t>Tổng/Bóng G7.1</t>
        </is>
      </c>
      <c r="G1" t="inlineStr">
        <is>
          <t>Trúng Đề Hôm Sau (G7.1)</t>
        </is>
      </c>
      <c r="H1" t="inlineStr">
        <is>
          <t>G7.2</t>
        </is>
      </c>
      <c r="I1" t="inlineStr">
        <is>
          <t>Tổng/Bóng G7.2</t>
        </is>
      </c>
      <c r="J1" t="inlineStr">
        <is>
          <t>Trúng Đề Hôm Sau (G7.2)</t>
        </is>
      </c>
      <c r="K1" t="inlineStr">
        <is>
          <t>G7.3</t>
        </is>
      </c>
      <c r="L1" t="inlineStr">
        <is>
          <t>Tổng/Bóng G7.3</t>
        </is>
      </c>
      <c r="M1" t="inlineStr">
        <is>
          <t>Trúng Đề Hôm Sau (G7.3)</t>
        </is>
      </c>
      <c r="N1" t="inlineStr">
        <is>
          <t>G7.4</t>
        </is>
      </c>
      <c r="O1" t="inlineStr">
        <is>
          <t>Tổng/Bóng G7.4</t>
        </is>
      </c>
      <c r="P1" t="inlineStr">
        <is>
          <t>Trúng Đề Hôm Sau (G7.4)</t>
        </is>
      </c>
    </row>
    <row r="2">
      <c r="A2" t="n">
        <v>1</v>
      </c>
      <c r="B2" t="inlineStr">
        <is>
          <t>Thứ năm ngày 01-01-2026</t>
        </is>
      </c>
      <c r="C2" t="n">
        <v>57068</v>
      </c>
      <c r="D2" t="n">
        <v>68</v>
      </c>
      <c r="E2" t="n">
        <v>91</v>
      </c>
      <c r="F2" t="inlineStr">
        <is>
          <t>T0-B5</t>
        </is>
      </c>
      <c r="G2" t="inlineStr">
        <is>
          <t>Không</t>
        </is>
      </c>
      <c r="H2" t="n">
        <v>25</v>
      </c>
      <c r="I2" t="inlineStr">
        <is>
          <t>T7-B2</t>
        </is>
      </c>
      <c r="J2" t="inlineStr">
        <is>
          <t>Trúng</t>
        </is>
      </c>
      <c r="K2" t="n">
        <v>69</v>
      </c>
      <c r="L2" t="inlineStr">
        <is>
          <t>T5-B0</t>
        </is>
      </c>
      <c r="M2" t="inlineStr">
        <is>
          <t>Không</t>
        </is>
      </c>
      <c r="N2" t="n">
        <v>67</v>
      </c>
      <c r="O2" t="inlineStr">
        <is>
          <t>T3-B8</t>
        </is>
      </c>
      <c r="P2" t="inlineStr">
        <is>
          <t>Không</t>
        </is>
      </c>
    </row>
    <row r="3">
      <c r="A3" t="n">
        <v>2</v>
      </c>
      <c r="B3" t="inlineStr">
        <is>
          <t>Thứ sáu ngày 02-01-2026</t>
        </is>
      </c>
      <c r="C3" t="n">
        <v>45748</v>
      </c>
      <c r="D3" t="n">
        <v>48</v>
      </c>
      <c r="E3" t="n">
        <v>29</v>
      </c>
      <c r="F3" t="inlineStr">
        <is>
          <t>T1-B6</t>
        </is>
      </c>
      <c r="G3" t="inlineStr">
        <is>
          <t>Không</t>
        </is>
      </c>
      <c r="H3" t="n">
        <v>24</v>
      </c>
      <c r="I3" t="inlineStr">
        <is>
          <t>T6-B1</t>
        </is>
      </c>
      <c r="J3" t="inlineStr">
        <is>
          <t>Không</t>
        </is>
      </c>
      <c r="K3" t="n">
        <v>38</v>
      </c>
      <c r="L3" t="inlineStr">
        <is>
          <t>T1-B6</t>
        </is>
      </c>
      <c r="M3" t="inlineStr">
        <is>
          <t>Không</t>
        </is>
      </c>
      <c r="N3" t="n">
        <v>22</v>
      </c>
      <c r="O3" t="inlineStr">
        <is>
          <t>T4-B9</t>
        </is>
      </c>
      <c r="P3" t="inlineStr">
        <is>
          <t>Không</t>
        </is>
      </c>
    </row>
    <row r="4">
      <c r="A4" t="n">
        <v>3</v>
      </c>
      <c r="B4" t="inlineStr">
        <is>
          <t>Thứ bảy ngày 03-01-2026</t>
        </is>
      </c>
      <c r="C4" t="n">
        <v>949</v>
      </c>
      <c r="D4" t="n">
        <v>49</v>
      </c>
      <c r="E4" t="n">
        <v>46</v>
      </c>
      <c r="F4" t="inlineStr">
        <is>
          <t>T0-B5</t>
        </is>
      </c>
      <c r="G4" t="inlineStr">
        <is>
          <t>Không</t>
        </is>
      </c>
      <c r="H4" t="n">
        <v>33</v>
      </c>
      <c r="I4" t="inlineStr">
        <is>
          <t>T6-B1</t>
        </is>
      </c>
      <c r="J4" t="inlineStr">
        <is>
          <t>Trúng</t>
        </is>
      </c>
      <c r="K4" t="n">
        <v>92</v>
      </c>
      <c r="L4" t="inlineStr">
        <is>
          <t>T1-B6</t>
        </is>
      </c>
      <c r="M4" t="inlineStr">
        <is>
          <t>Trúng</t>
        </is>
      </c>
      <c r="N4" t="n">
        <v>48</v>
      </c>
      <c r="O4" t="inlineStr">
        <is>
          <t>T2-B7</t>
        </is>
      </c>
      <c r="P4" t="inlineStr">
        <is>
          <t>Không</t>
        </is>
      </c>
    </row>
    <row r="5">
      <c r="A5" t="n">
        <v>4</v>
      </c>
      <c r="B5" t="inlineStr">
        <is>
          <t>Chủ nhật ngày 04-01-2026</t>
        </is>
      </c>
      <c r="C5" t="n">
        <v>72397</v>
      </c>
      <c r="D5" t="n">
        <v>97</v>
      </c>
      <c r="E5" t="n">
        <v>68</v>
      </c>
      <c r="F5" t="inlineStr">
        <is>
          <t>T4-B9</t>
        </is>
      </c>
      <c r="G5" t="inlineStr">
        <is>
          <t>Không</t>
        </is>
      </c>
      <c r="H5" t="n">
        <v>34</v>
      </c>
      <c r="I5" t="inlineStr">
        <is>
          <t>T7-B2</t>
        </is>
      </c>
      <c r="J5" t="inlineStr">
        <is>
          <t>Không</t>
        </is>
      </c>
      <c r="K5" t="n">
        <v>77</v>
      </c>
      <c r="L5" t="inlineStr">
        <is>
          <t>T4-B9</t>
        </is>
      </c>
      <c r="M5" t="inlineStr">
        <is>
          <t>Không</t>
        </is>
      </c>
      <c r="N5" t="n">
        <v>25</v>
      </c>
      <c r="O5" t="inlineStr">
        <is>
          <t>T7-B2</t>
        </is>
      </c>
      <c r="P5" t="inlineStr">
        <is>
          <t>Không</t>
        </is>
      </c>
    </row>
    <row r="6">
      <c r="A6" t="n">
        <v>5</v>
      </c>
      <c r="B6" t="inlineStr">
        <is>
          <t>Thứ hai ngày 05-01-2026</t>
        </is>
      </c>
      <c r="C6" t="n">
        <v>70505</v>
      </c>
      <c r="D6" t="n">
        <v>5</v>
      </c>
      <c r="E6" t="n">
        <v>47</v>
      </c>
      <c r="F6" t="inlineStr">
        <is>
          <t>T1-B6</t>
        </is>
      </c>
      <c r="G6" t="inlineStr">
        <is>
          <t>Trúng</t>
        </is>
      </c>
      <c r="H6" t="n">
        <v>43</v>
      </c>
      <c r="I6" t="inlineStr">
        <is>
          <t>T7-B2</t>
        </is>
      </c>
      <c r="J6" t="inlineStr">
        <is>
          <t>Không</t>
        </is>
      </c>
      <c r="K6" t="n">
        <v>65</v>
      </c>
      <c r="L6" t="inlineStr">
        <is>
          <t>T1-B6</t>
        </is>
      </c>
      <c r="M6" t="inlineStr">
        <is>
          <t>Trúng</t>
        </is>
      </c>
      <c r="N6" t="n">
        <v>27</v>
      </c>
      <c r="O6" t="inlineStr">
        <is>
          <t>T9-B4</t>
        </is>
      </c>
      <c r="P6" t="inlineStr">
        <is>
          <t>Không</t>
        </is>
      </c>
    </row>
    <row r="7">
      <c r="A7" t="n">
        <v>6</v>
      </c>
      <c r="B7" t="inlineStr">
        <is>
          <t>Thứ ba ngày 06-01-2026</t>
        </is>
      </c>
      <c r="C7" t="n">
        <v>78447</v>
      </c>
      <c r="D7" t="n">
        <v>47</v>
      </c>
      <c r="E7" t="n">
        <v>50</v>
      </c>
      <c r="F7" t="inlineStr">
        <is>
          <t>T5-B0</t>
        </is>
      </c>
      <c r="G7" t="inlineStr">
        <is>
          <t>Không</t>
        </is>
      </c>
      <c r="H7" t="n">
        <v>10</v>
      </c>
      <c r="I7" t="inlineStr">
        <is>
          <t>T1-B6</t>
        </is>
      </c>
      <c r="J7" t="inlineStr">
        <is>
          <t>Không</t>
        </is>
      </c>
      <c r="K7" t="n">
        <v>65</v>
      </c>
      <c r="L7" t="inlineStr">
        <is>
          <t>T1-B6</t>
        </is>
      </c>
      <c r="M7" t="inlineStr">
        <is>
          <t>Không</t>
        </is>
      </c>
      <c r="N7" t="n">
        <v>12</v>
      </c>
      <c r="O7" t="inlineStr">
        <is>
          <t>T3-B8</t>
        </is>
      </c>
      <c r="P7" t="inlineStr">
        <is>
          <t>Không</t>
        </is>
      </c>
    </row>
    <row r="8">
      <c r="A8" t="n">
        <v>7</v>
      </c>
      <c r="B8" t="inlineStr">
        <is>
          <t>Thứ tư ngày 07-01-2026</t>
        </is>
      </c>
      <c r="C8" t="n">
        <v>14389</v>
      </c>
      <c r="D8" t="n">
        <v>89</v>
      </c>
      <c r="E8" t="n">
        <v>39</v>
      </c>
      <c r="F8" t="inlineStr">
        <is>
          <t>T2-B7</t>
        </is>
      </c>
      <c r="G8" t="inlineStr">
        <is>
          <t>Không</t>
        </is>
      </c>
      <c r="H8" t="n">
        <v>64</v>
      </c>
      <c r="I8" t="inlineStr">
        <is>
          <t>T0-B5</t>
        </is>
      </c>
      <c r="J8" t="inlineStr">
        <is>
          <t>Không</t>
        </is>
      </c>
      <c r="K8" t="n">
        <v>24</v>
      </c>
      <c r="L8" t="inlineStr">
        <is>
          <t>T6-B1</t>
        </is>
      </c>
      <c r="M8" t="inlineStr">
        <is>
          <t>Không</t>
        </is>
      </c>
      <c r="N8" t="n">
        <v>57</v>
      </c>
      <c r="O8" t="inlineStr">
        <is>
          <t>T2-B7</t>
        </is>
      </c>
      <c r="P8" t="inlineStr">
        <is>
          <t>Không</t>
        </is>
      </c>
    </row>
    <row r="9">
      <c r="A9" t="n">
        <v>8</v>
      </c>
      <c r="B9" t="inlineStr">
        <is>
          <t>Thứ năm ngày 08-01-2026</t>
        </is>
      </c>
      <c r="C9" t="n">
        <v>40162</v>
      </c>
      <c r="D9" t="n">
        <v>62</v>
      </c>
      <c r="E9" t="n">
        <v>54</v>
      </c>
      <c r="F9" t="inlineStr">
        <is>
          <t>T9-B4</t>
        </is>
      </c>
      <c r="G9" t="inlineStr">
        <is>
          <t>Không</t>
        </is>
      </c>
      <c r="H9" t="n">
        <v>88</v>
      </c>
      <c r="I9" t="inlineStr">
        <is>
          <t>T6-B1</t>
        </is>
      </c>
      <c r="J9" t="inlineStr">
        <is>
          <t>Không</t>
        </is>
      </c>
      <c r="K9" t="n">
        <v>82</v>
      </c>
      <c r="L9" t="inlineStr">
        <is>
          <t>T0-B5</t>
        </is>
      </c>
      <c r="M9" t="inlineStr">
        <is>
          <t>Trúng</t>
        </is>
      </c>
      <c r="N9" t="n">
        <v>13</v>
      </c>
      <c r="O9" t="inlineStr">
        <is>
          <t>T4-B9</t>
        </is>
      </c>
      <c r="P9" t="inlineStr">
        <is>
          <t>Không</t>
        </is>
      </c>
    </row>
    <row r="10">
      <c r="A10" t="n">
        <v>9</v>
      </c>
      <c r="B10" t="inlineStr">
        <is>
          <t>Thứ sáu ngày 09-01-2026</t>
        </is>
      </c>
      <c r="C10" t="n">
        <v>39523</v>
      </c>
      <c r="D10" t="n">
        <v>23</v>
      </c>
      <c r="E10" t="n">
        <v>47</v>
      </c>
      <c r="F10" t="inlineStr">
        <is>
          <t>T1-B6</t>
        </is>
      </c>
      <c r="G10" t="inlineStr">
        <is>
          <t>Không</t>
        </is>
      </c>
      <c r="H10" t="n">
        <v>87</v>
      </c>
      <c r="I10" t="inlineStr">
        <is>
          <t>T5-B0</t>
        </is>
      </c>
      <c r="J10" t="inlineStr">
        <is>
          <t>Không</t>
        </is>
      </c>
      <c r="K10" t="n">
        <v>52</v>
      </c>
      <c r="L10" t="inlineStr">
        <is>
          <t>T7-B2</t>
        </is>
      </c>
      <c r="M10" t="inlineStr">
        <is>
          <t>Trúng</t>
        </is>
      </c>
      <c r="N10" t="n">
        <v>46</v>
      </c>
      <c r="O10" t="inlineStr">
        <is>
          <t>T0-B5</t>
        </is>
      </c>
      <c r="P10" t="inlineStr">
        <is>
          <t>Không</t>
        </is>
      </c>
    </row>
    <row r="11">
      <c r="A11" t="n">
        <v>10</v>
      </c>
      <c r="B11" t="inlineStr">
        <is>
          <t>Thứ bảy ngày 10-01-2026</t>
        </is>
      </c>
      <c r="C11" t="n">
        <v>67793</v>
      </c>
      <c r="D11" t="n">
        <v>93</v>
      </c>
      <c r="E11" t="n">
        <v>70</v>
      </c>
      <c r="F11" t="inlineStr">
        <is>
          <t>T7-B2</t>
        </is>
      </c>
      <c r="G11" t="inlineStr">
        <is>
          <t>Không</t>
        </is>
      </c>
      <c r="H11" t="n">
        <v>45</v>
      </c>
      <c r="I11" t="inlineStr">
        <is>
          <t>T9-B4</t>
        </is>
      </c>
      <c r="J11" t="inlineStr">
        <is>
          <t>Không</t>
        </is>
      </c>
      <c r="K11" t="n">
        <v>14</v>
      </c>
      <c r="L11" t="inlineStr">
        <is>
          <t>T5-B0</t>
        </is>
      </c>
      <c r="M11" t="inlineStr">
        <is>
          <t>Không</t>
        </is>
      </c>
      <c r="N11" t="n">
        <v>13</v>
      </c>
      <c r="O11" t="inlineStr">
        <is>
          <t>T4-B9</t>
        </is>
      </c>
      <c r="P11" t="inlineStr">
        <is>
          <t>Không</t>
        </is>
      </c>
    </row>
    <row r="12">
      <c r="A12" t="n">
        <v>11</v>
      </c>
      <c r="B12" t="inlineStr">
        <is>
          <t>Chủ nhật ngày 11-01-2026</t>
        </is>
      </c>
      <c r="C12" t="n">
        <v>82438</v>
      </c>
      <c r="D12" t="n">
        <v>38</v>
      </c>
      <c r="E12" t="n">
        <v>70</v>
      </c>
      <c r="F12" t="inlineStr">
        <is>
          <t>T7-B2</t>
        </is>
      </c>
      <c r="G12" t="inlineStr">
        <is>
          <t>Không</t>
        </is>
      </c>
      <c r="H12" t="n">
        <v>95</v>
      </c>
      <c r="I12" t="inlineStr">
        <is>
          <t>T4-B9</t>
        </is>
      </c>
      <c r="J12" t="inlineStr">
        <is>
          <t>Không</t>
        </is>
      </c>
      <c r="K12" t="n">
        <v>10</v>
      </c>
      <c r="L12" t="inlineStr">
        <is>
          <t>T1-B6</t>
        </is>
      </c>
      <c r="M12" t="inlineStr">
        <is>
          <t>Không</t>
        </is>
      </c>
      <c r="N12" t="n">
        <v>43</v>
      </c>
      <c r="O12" t="inlineStr">
        <is>
          <t>T7-B2</t>
        </is>
      </c>
      <c r="P12" t="inlineStr">
        <is>
          <t>Không</t>
        </is>
      </c>
    </row>
    <row r="13">
      <c r="A13" t="n">
        <v>12</v>
      </c>
      <c r="B13" t="inlineStr">
        <is>
          <t>Thứ hai ngày 12-01-2026</t>
        </is>
      </c>
      <c r="C13" t="n">
        <v>31894</v>
      </c>
      <c r="D13" t="n">
        <v>94</v>
      </c>
      <c r="E13" t="n">
        <v>31</v>
      </c>
      <c r="F13" t="inlineStr">
        <is>
          <t>T4-B9</t>
        </is>
      </c>
      <c r="G13" t="inlineStr">
        <is>
          <t>Trúng</t>
        </is>
      </c>
      <c r="H13" t="n">
        <v>34</v>
      </c>
      <c r="I13" t="inlineStr">
        <is>
          <t>T7-B2</t>
        </is>
      </c>
      <c r="J13" t="inlineStr">
        <is>
          <t>Không</t>
        </is>
      </c>
      <c r="K13" t="n">
        <v>20</v>
      </c>
      <c r="L13" t="inlineStr">
        <is>
          <t>T2-B7</t>
        </is>
      </c>
      <c r="M13" t="inlineStr">
        <is>
          <t>Không</t>
        </is>
      </c>
      <c r="N13" t="n">
        <v>42</v>
      </c>
      <c r="O13" t="inlineStr">
        <is>
          <t>T6-B1</t>
        </is>
      </c>
      <c r="P13" t="inlineStr">
        <is>
          <t>Không</t>
        </is>
      </c>
    </row>
    <row r="14">
      <c r="A14" t="n">
        <v>13</v>
      </c>
      <c r="B14" t="inlineStr">
        <is>
          <t>Thứ ba ngày 13-01-2026</t>
        </is>
      </c>
      <c r="C14" t="n">
        <v>28027</v>
      </c>
      <c r="D14" t="n">
        <v>27</v>
      </c>
      <c r="E14" t="n">
        <v>82</v>
      </c>
      <c r="F14" t="inlineStr">
        <is>
          <t>T0-B5</t>
        </is>
      </c>
      <c r="G14" t="inlineStr">
        <is>
          <t>Không</t>
        </is>
      </c>
      <c r="H14" t="n">
        <v>24</v>
      </c>
      <c r="I14" t="inlineStr">
        <is>
          <t>T6-B1</t>
        </is>
      </c>
      <c r="J14" t="inlineStr">
        <is>
          <t>Không</t>
        </is>
      </c>
      <c r="K14" t="n">
        <v>25</v>
      </c>
      <c r="L14" t="inlineStr">
        <is>
          <t>T7-B2</t>
        </is>
      </c>
      <c r="M14" t="inlineStr">
        <is>
          <t>Không</t>
        </is>
      </c>
      <c r="N14" t="n">
        <v>16</v>
      </c>
      <c r="O14" t="inlineStr">
        <is>
          <t>T7-B2</t>
        </is>
      </c>
      <c r="P14" t="inlineStr">
        <is>
          <t>Không</t>
        </is>
      </c>
    </row>
    <row r="15">
      <c r="A15" t="n">
        <v>14</v>
      </c>
      <c r="B15" t="inlineStr">
        <is>
          <t>Thứ tư ngày 14-01-2026</t>
        </is>
      </c>
      <c r="C15" t="n">
        <v>2817</v>
      </c>
      <c r="D15" t="n">
        <v>17</v>
      </c>
      <c r="E15" t="n">
        <v>15</v>
      </c>
      <c r="F15" t="inlineStr">
        <is>
          <t>T6-B1</t>
        </is>
      </c>
      <c r="G15" t="inlineStr">
        <is>
          <t>Không</t>
        </is>
      </c>
      <c r="H15" t="n">
        <v>99</v>
      </c>
      <c r="I15" t="inlineStr">
        <is>
          <t>T8-B3</t>
        </is>
      </c>
      <c r="J15" t="inlineStr">
        <is>
          <t>Không</t>
        </is>
      </c>
      <c r="K15" t="n">
        <v>52</v>
      </c>
      <c r="L15" t="inlineStr">
        <is>
          <t>T7-B2</t>
        </is>
      </c>
      <c r="M15" t="inlineStr">
        <is>
          <t>Không</t>
        </is>
      </c>
      <c r="N15" t="n">
        <v>55</v>
      </c>
      <c r="O15" t="inlineStr">
        <is>
          <t>T0-B5</t>
        </is>
      </c>
      <c r="P15" t="inlineStr">
        <is>
          <t>Không</t>
        </is>
      </c>
    </row>
    <row r="16">
      <c r="A16" t="n">
        <v>15</v>
      </c>
      <c r="B16" t="inlineStr">
        <is>
          <t>Thứ năm ngày 15-01-2026</t>
        </is>
      </c>
      <c r="C16" t="n">
        <v>84522</v>
      </c>
      <c r="D16" t="n">
        <v>22</v>
      </c>
      <c r="E16" t="n">
        <v>21</v>
      </c>
      <c r="F16" t="inlineStr">
        <is>
          <t>T3-B8</t>
        </is>
      </c>
      <c r="G16" t="inlineStr">
        <is>
          <t>Không</t>
        </is>
      </c>
      <c r="H16" t="n">
        <v>0</v>
      </c>
      <c r="I16" t="inlineStr">
        <is>
          <t>T0-B5</t>
        </is>
      </c>
      <c r="J16" t="inlineStr">
        <is>
          <t>Trúng</t>
        </is>
      </c>
      <c r="K16" t="n">
        <v>14</v>
      </c>
      <c r="L16" t="inlineStr">
        <is>
          <t>T5-B0</t>
        </is>
      </c>
      <c r="M16" t="inlineStr">
        <is>
          <t>Trúng</t>
        </is>
      </c>
      <c r="N16" t="n">
        <v>71</v>
      </c>
      <c r="O16" t="inlineStr">
        <is>
          <t>T8-B3</t>
        </is>
      </c>
      <c r="P16" t="inlineStr">
        <is>
          <t>Không</t>
        </is>
      </c>
    </row>
    <row r="17">
      <c r="A17" t="n">
        <v>16</v>
      </c>
      <c r="B17" t="inlineStr">
        <is>
          <t>Thứ sáu ngày 16-01-2026</t>
        </is>
      </c>
      <c r="C17" t="n">
        <v>90128</v>
      </c>
      <c r="D17" t="n">
        <v>28</v>
      </c>
      <c r="E17" t="n">
        <v>94</v>
      </c>
      <c r="F17" t="inlineStr">
        <is>
          <t>T3-B8</t>
        </is>
      </c>
      <c r="G17" t="inlineStr">
        <is>
          <t>Không</t>
        </is>
      </c>
      <c r="H17" t="n">
        <v>79</v>
      </c>
      <c r="I17" t="inlineStr">
        <is>
          <t>T6-B1</t>
        </is>
      </c>
      <c r="J17" t="inlineStr">
        <is>
          <t>Trúng</t>
        </is>
      </c>
      <c r="K17" t="n">
        <v>33</v>
      </c>
      <c r="L17" t="inlineStr">
        <is>
          <t>T6-B1</t>
        </is>
      </c>
      <c r="M17" t="inlineStr">
        <is>
          <t>Trúng</t>
        </is>
      </c>
      <c r="N17" t="n">
        <v>40</v>
      </c>
      <c r="O17" t="inlineStr">
        <is>
          <t>T4-B9</t>
        </is>
      </c>
      <c r="P17" t="inlineStr">
        <is>
          <t>Không</t>
        </is>
      </c>
    </row>
    <row r="18">
      <c r="A18" t="n">
        <v>17</v>
      </c>
      <c r="B18" t="inlineStr">
        <is>
          <t>Thứ bảy ngày 17-01-2026</t>
        </is>
      </c>
      <c r="C18" t="n">
        <v>9824</v>
      </c>
      <c r="D18" t="n">
        <v>24</v>
      </c>
      <c r="E18" t="n">
        <v>54</v>
      </c>
      <c r="F18" t="inlineStr">
        <is>
          <t>T9-B4</t>
        </is>
      </c>
      <c r="G18" t="inlineStr">
        <is>
          <t>Không</t>
        </is>
      </c>
      <c r="H18" t="n">
        <v>43</v>
      </c>
      <c r="I18" t="inlineStr">
        <is>
          <t>T7-B2</t>
        </is>
      </c>
      <c r="J18" t="inlineStr">
        <is>
          <t>Không</t>
        </is>
      </c>
      <c r="K18" t="n">
        <v>74</v>
      </c>
      <c r="L18" t="inlineStr">
        <is>
          <t>T1-B6</t>
        </is>
      </c>
      <c r="M18" t="inlineStr">
        <is>
          <t>Trúng</t>
        </is>
      </c>
      <c r="N18" t="n">
        <v>64</v>
      </c>
      <c r="O18" t="inlineStr">
        <is>
          <t>T0-B5</t>
        </is>
      </c>
      <c r="P18" t="inlineStr">
        <is>
          <t>Không</t>
        </is>
      </c>
    </row>
    <row r="19">
      <c r="A19" t="n">
        <v>18</v>
      </c>
      <c r="B19" t="inlineStr">
        <is>
          <t>Chủ nhật ngày 18-01-2026</t>
        </is>
      </c>
      <c r="C19" t="n">
        <v>17151</v>
      </c>
      <c r="D19" t="n">
        <v>51</v>
      </c>
      <c r="E19" t="n">
        <v>94</v>
      </c>
      <c r="F19" t="inlineStr">
        <is>
          <t>T3-B8</t>
        </is>
      </c>
      <c r="G19" t="inlineStr">
        <is>
          <t>Không</t>
        </is>
      </c>
      <c r="H19" t="n">
        <v>16</v>
      </c>
      <c r="I19" t="inlineStr">
        <is>
          <t>T7-B2</t>
        </is>
      </c>
      <c r="J19" t="inlineStr">
        <is>
          <t>Không</t>
        </is>
      </c>
      <c r="K19" t="n">
        <v>52</v>
      </c>
      <c r="L19" t="inlineStr">
        <is>
          <t>T7-B2</t>
        </is>
      </c>
      <c r="M19" t="inlineStr">
        <is>
          <t>Không</t>
        </is>
      </c>
      <c r="N19" t="n">
        <v>25</v>
      </c>
      <c r="O19" t="inlineStr">
        <is>
          <t>T7-B2</t>
        </is>
      </c>
      <c r="P19" t="inlineStr">
        <is>
          <t>Không</t>
        </is>
      </c>
    </row>
    <row r="20">
      <c r="A20" t="n">
        <v>19</v>
      </c>
      <c r="B20" t="inlineStr">
        <is>
          <t>Thứ hai ngày 19-01-2026</t>
        </is>
      </c>
      <c r="C20" t="n">
        <v>88286</v>
      </c>
      <c r="D20" t="n">
        <v>86</v>
      </c>
      <c r="E20" t="n">
        <v>23</v>
      </c>
      <c r="F20" t="inlineStr">
        <is>
          <t>T5-B0</t>
        </is>
      </c>
      <c r="G20" t="inlineStr">
        <is>
          <t>Trúng</t>
        </is>
      </c>
      <c r="H20" t="n">
        <v>29</v>
      </c>
      <c r="I20" t="inlineStr">
        <is>
          <t>T1-B6</t>
        </is>
      </c>
      <c r="J20" t="inlineStr">
        <is>
          <t>Không</t>
        </is>
      </c>
      <c r="K20" t="n">
        <v>24</v>
      </c>
      <c r="L20" t="inlineStr">
        <is>
          <t>T6-B1</t>
        </is>
      </c>
      <c r="M20" t="inlineStr">
        <is>
          <t>Không</t>
        </is>
      </c>
      <c r="N20" t="n">
        <v>53</v>
      </c>
      <c r="O20" t="inlineStr">
        <is>
          <t>T8-B3</t>
        </is>
      </c>
      <c r="P20" t="inlineStr">
        <is>
          <t>Không</t>
        </is>
      </c>
    </row>
    <row r="21">
      <c r="A21" t="n">
        <v>20</v>
      </c>
      <c r="B21" t="inlineStr">
        <is>
          <t>Thứ ba ngày 20-01-2026</t>
        </is>
      </c>
      <c r="C21" t="n">
        <v>56878</v>
      </c>
      <c r="D21" t="n">
        <v>78</v>
      </c>
      <c r="E21" t="n">
        <v>12</v>
      </c>
      <c r="F21" t="inlineStr">
        <is>
          <t>T3-B8</t>
        </is>
      </c>
      <c r="G21" t="inlineStr">
        <is>
          <t>Không</t>
        </is>
      </c>
      <c r="H21" t="n">
        <v>9</v>
      </c>
      <c r="I21" t="inlineStr">
        <is>
          <t>T9-B4</t>
        </is>
      </c>
      <c r="J21" t="inlineStr">
        <is>
          <t>Trúng</t>
        </is>
      </c>
      <c r="K21" t="n">
        <v>28</v>
      </c>
      <c r="L21" t="inlineStr">
        <is>
          <t>T0-B5</t>
        </is>
      </c>
      <c r="M21" t="inlineStr">
        <is>
          <t>Không</t>
        </is>
      </c>
      <c r="N21" t="n">
        <v>56</v>
      </c>
      <c r="O21" t="inlineStr">
        <is>
          <t>T1-B6</t>
        </is>
      </c>
      <c r="P21" t="inlineStr">
        <is>
          <t>Không</t>
        </is>
      </c>
    </row>
    <row r="22">
      <c r="A22" t="n">
        <v>21</v>
      </c>
      <c r="B22" t="inlineStr">
        <is>
          <t>Thứ tư ngày 21-01-2026</t>
        </is>
      </c>
      <c r="C22" t="n">
        <v>6186</v>
      </c>
      <c r="D22" t="n">
        <v>86</v>
      </c>
      <c r="E22" t="n">
        <v>60</v>
      </c>
      <c r="F22" t="inlineStr">
        <is>
          <t>T6-B1</t>
        </is>
      </c>
      <c r="G22" t="inlineStr">
        <is>
          <t>Không</t>
        </is>
      </c>
      <c r="H22" t="n">
        <v>26</v>
      </c>
      <c r="I22" t="inlineStr">
        <is>
          <t>T8-B3</t>
        </is>
      </c>
      <c r="J22" t="inlineStr">
        <is>
          <t>Không</t>
        </is>
      </c>
      <c r="K22" t="n">
        <v>32</v>
      </c>
      <c r="L22" t="inlineStr">
        <is>
          <t>T5-B0</t>
        </is>
      </c>
      <c r="M22" t="inlineStr">
        <is>
          <t>Không</t>
        </is>
      </c>
      <c r="N22" t="n">
        <v>49</v>
      </c>
      <c r="O22" t="inlineStr">
        <is>
          <t>T3-B8</t>
        </is>
      </c>
      <c r="P22" t="inlineStr">
        <is>
          <t>Không</t>
        </is>
      </c>
    </row>
    <row r="23">
      <c r="A23" t="n">
        <v>22</v>
      </c>
      <c r="B23" t="inlineStr">
        <is>
          <t>Thứ năm ngày 22-01-2026</t>
        </is>
      </c>
      <c r="C23" t="n">
        <v>84063</v>
      </c>
      <c r="D23" t="n">
        <v>63</v>
      </c>
      <c r="E23" t="n">
        <v>53</v>
      </c>
      <c r="F23" t="inlineStr">
        <is>
          <t>T8-B3</t>
        </is>
      </c>
      <c r="G23" t="inlineStr">
        <is>
          <t>Không</t>
        </is>
      </c>
      <c r="H23" t="n">
        <v>69</v>
      </c>
      <c r="I23" t="inlineStr">
        <is>
          <t>T5-B0</t>
        </is>
      </c>
      <c r="J23" t="inlineStr">
        <is>
          <t>Không</t>
        </is>
      </c>
      <c r="K23" t="n">
        <v>39</v>
      </c>
      <c r="L23" t="inlineStr">
        <is>
          <t>T2-B7</t>
        </is>
      </c>
      <c r="M23" t="inlineStr">
        <is>
          <t>Không</t>
        </is>
      </c>
      <c r="N23" t="n">
        <v>43</v>
      </c>
      <c r="O23" t="inlineStr">
        <is>
          <t>T7-B2</t>
        </is>
      </c>
      <c r="P23" t="inlineStr">
        <is>
          <t>Không</t>
        </is>
      </c>
    </row>
    <row r="24">
      <c r="A24" t="n">
        <v>23</v>
      </c>
      <c r="B24" t="inlineStr">
        <is>
          <t>Thứ sáu ngày 23-01-2026</t>
        </is>
      </c>
      <c r="C24" t="n">
        <v>57022</v>
      </c>
      <c r="D24" t="n">
        <v>22</v>
      </c>
      <c r="E24" t="n">
        <v>77</v>
      </c>
      <c r="F24" t="inlineStr">
        <is>
          <t>T4-B9</t>
        </is>
      </c>
      <c r="G24" t="inlineStr">
        <is>
          <t>Không</t>
        </is>
      </c>
      <c r="H24" t="n">
        <v>19</v>
      </c>
      <c r="I24" t="inlineStr">
        <is>
          <t>T0-B5</t>
        </is>
      </c>
      <c r="J24" t="inlineStr">
        <is>
          <t>Không</t>
        </is>
      </c>
      <c r="K24" t="n">
        <v>86</v>
      </c>
      <c r="L24" t="inlineStr">
        <is>
          <t>T4-B9</t>
        </is>
      </c>
      <c r="M24" t="inlineStr">
        <is>
          <t>Không</t>
        </is>
      </c>
      <c r="N24" t="n">
        <v>10</v>
      </c>
      <c r="O24" t="inlineStr">
        <is>
          <t>T1-B6</t>
        </is>
      </c>
      <c r="P24" t="inlineStr">
        <is>
          <t>Không</t>
        </is>
      </c>
    </row>
    <row r="25">
      <c r="A25" t="n">
        <v>24</v>
      </c>
      <c r="B25" t="inlineStr">
        <is>
          <t>Thứ bảy ngày 24-01-2026</t>
        </is>
      </c>
      <c r="C25" t="n">
        <v>52062</v>
      </c>
      <c r="D25" t="n">
        <v>62</v>
      </c>
      <c r="E25" t="n">
        <v>34</v>
      </c>
      <c r="F25" t="inlineStr">
        <is>
          <t>T7-B2</t>
        </is>
      </c>
      <c r="G25" t="inlineStr">
        <is>
          <t>Không</t>
        </is>
      </c>
      <c r="H25" t="n">
        <v>84</v>
      </c>
      <c r="I25" t="inlineStr">
        <is>
          <t>T2-B7</t>
        </is>
      </c>
      <c r="J25" t="inlineStr">
        <is>
          <t>Không</t>
        </is>
      </c>
      <c r="K25" t="n">
        <v>51</v>
      </c>
      <c r="L25" t="inlineStr">
        <is>
          <t>T6-B1</t>
        </is>
      </c>
      <c r="M25" t="inlineStr">
        <is>
          <t>Không</t>
        </is>
      </c>
      <c r="N25" t="n">
        <v>98</v>
      </c>
      <c r="O25" t="inlineStr">
        <is>
          <t>T7-B2</t>
        </is>
      </c>
      <c r="P25" t="inlineStr">
        <is>
          <t>Không</t>
        </is>
      </c>
    </row>
    <row r="26">
      <c r="A26" t="n">
        <v>25</v>
      </c>
      <c r="B26" t="inlineStr">
        <is>
          <t>Chủ nhật ngày 25-01-2026</t>
        </is>
      </c>
      <c r="C26" t="n">
        <v>8230</v>
      </c>
      <c r="D26" t="n">
        <v>30</v>
      </c>
      <c r="E26" t="n">
        <v>33</v>
      </c>
      <c r="F26" t="inlineStr">
        <is>
          <t>T6-B1</t>
        </is>
      </c>
      <c r="G26" t="inlineStr">
        <is>
          <t>Trúng</t>
        </is>
      </c>
      <c r="H26" t="n">
        <v>97</v>
      </c>
      <c r="I26" t="inlineStr">
        <is>
          <t>T6-B1</t>
        </is>
      </c>
      <c r="J26" t="inlineStr">
        <is>
          <t>Trúng</t>
        </is>
      </c>
      <c r="K26" t="n">
        <v>86</v>
      </c>
      <c r="L26" t="inlineStr">
        <is>
          <t>T4-B9</t>
        </is>
      </c>
      <c r="M26" t="inlineStr">
        <is>
          <t>Không</t>
        </is>
      </c>
      <c r="N26" t="n">
        <v>63</v>
      </c>
      <c r="O26" t="inlineStr">
        <is>
          <t>T9-B4</t>
        </is>
      </c>
      <c r="P26" t="inlineStr">
        <is>
          <t>Không</t>
        </is>
      </c>
    </row>
    <row r="27">
      <c r="A27" t="n">
        <v>26</v>
      </c>
      <c r="B27" t="inlineStr">
        <is>
          <t>Thứ hai ngày 26-01-2026</t>
        </is>
      </c>
      <c r="C27" t="n">
        <v>974</v>
      </c>
      <c r="D27" t="n">
        <v>74</v>
      </c>
      <c r="E27" t="n">
        <v>85</v>
      </c>
      <c r="F27" t="inlineStr">
        <is>
          <t>T3-B8</t>
        </is>
      </c>
      <c r="G27" t="inlineStr">
        <is>
          <t>Trúng</t>
        </is>
      </c>
      <c r="H27" t="n">
        <v>67</v>
      </c>
      <c r="I27" t="inlineStr">
        <is>
          <t>T3-B8</t>
        </is>
      </c>
      <c r="J27" t="inlineStr">
        <is>
          <t>Trúng</t>
        </is>
      </c>
      <c r="K27" t="n">
        <v>56</v>
      </c>
      <c r="L27" t="inlineStr">
        <is>
          <t>T1-B6</t>
        </is>
      </c>
      <c r="M27" t="inlineStr">
        <is>
          <t>Không</t>
        </is>
      </c>
      <c r="N27" t="n">
        <v>63</v>
      </c>
      <c r="O27" t="inlineStr">
        <is>
          <t>T9-B4</t>
        </is>
      </c>
      <c r="P27" t="inlineStr">
        <is>
          <t>Không</t>
        </is>
      </c>
    </row>
    <row r="28">
      <c r="A28" t="n">
        <v>27</v>
      </c>
      <c r="B28" t="inlineStr">
        <is>
          <t>Thứ ba ngày 27-01-2026</t>
        </is>
      </c>
      <c r="C28" t="n">
        <v>39380</v>
      </c>
      <c r="D28" t="n">
        <v>80</v>
      </c>
      <c r="E28" t="n">
        <v>22</v>
      </c>
      <c r="F28" t="inlineStr">
        <is>
          <t>T4-B9</t>
        </is>
      </c>
      <c r="G28" t="inlineStr">
        <is>
          <t>Không</t>
        </is>
      </c>
      <c r="H28" t="n">
        <v>20</v>
      </c>
      <c r="I28" t="inlineStr">
        <is>
          <t>T2-B7</t>
        </is>
      </c>
      <c r="J28" t="inlineStr">
        <is>
          <t>Không</t>
        </is>
      </c>
      <c r="K28" t="n">
        <v>16</v>
      </c>
      <c r="L28" t="inlineStr">
        <is>
          <t>T7-B2</t>
        </is>
      </c>
      <c r="M28" t="inlineStr">
        <is>
          <t>Không</t>
        </is>
      </c>
      <c r="N28" t="n">
        <v>61</v>
      </c>
      <c r="O28" t="inlineStr">
        <is>
          <t>T7-B2</t>
        </is>
      </c>
      <c r="P28" t="inlineStr">
        <is>
          <t>Không</t>
        </is>
      </c>
    </row>
    <row r="29">
      <c r="A29" t="n">
        <v>28</v>
      </c>
      <c r="B29" t="inlineStr">
        <is>
          <t>Thứ tư ngày 28-01-2026</t>
        </is>
      </c>
      <c r="C29" t="n">
        <v>24121</v>
      </c>
      <c r="D29" t="n">
        <v>21</v>
      </c>
      <c r="E29" t="n">
        <v>76</v>
      </c>
      <c r="F29" t="inlineStr">
        <is>
          <t>T3-B8</t>
        </is>
      </c>
      <c r="G29" t="inlineStr">
        <is>
          <t>Không</t>
        </is>
      </c>
      <c r="H29" t="n">
        <v>47</v>
      </c>
      <c r="I29" t="inlineStr">
        <is>
          <t>T1-B6</t>
        </is>
      </c>
      <c r="J29" t="inlineStr">
        <is>
          <t>Không</t>
        </is>
      </c>
      <c r="K29" t="n">
        <v>21</v>
      </c>
      <c r="L29" t="inlineStr">
        <is>
          <t>T3-B8</t>
        </is>
      </c>
      <c r="M29" t="inlineStr">
        <is>
          <t>Không</t>
        </is>
      </c>
      <c r="N29" t="n">
        <v>77</v>
      </c>
      <c r="O29" t="inlineStr">
        <is>
          <t>T4-B9</t>
        </is>
      </c>
      <c r="P29" t="inlineStr">
        <is>
          <t>Không</t>
        </is>
      </c>
    </row>
    <row r="30">
      <c r="A30" t="n">
        <v>29</v>
      </c>
      <c r="B30" t="inlineStr">
        <is>
          <t>Thứ năm ngày 29-01-2026</t>
        </is>
      </c>
      <c r="C30" t="n">
        <v>38814</v>
      </c>
      <c r="D30" t="n">
        <v>14</v>
      </c>
      <c r="E30" t="n">
        <v>81</v>
      </c>
      <c r="F30" t="inlineStr">
        <is>
          <t>T9-B4</t>
        </is>
      </c>
      <c r="G30" t="inlineStr">
        <is>
          <t>Trúng</t>
        </is>
      </c>
      <c r="H30" t="n">
        <v>87</v>
      </c>
      <c r="I30" t="inlineStr">
        <is>
          <t>T5-B0</t>
        </is>
      </c>
      <c r="J30" t="inlineStr">
        <is>
          <t>Không</t>
        </is>
      </c>
      <c r="K30" t="n">
        <v>60</v>
      </c>
      <c r="L30" t="inlineStr">
        <is>
          <t>T6-B1</t>
        </is>
      </c>
      <c r="M30" t="inlineStr">
        <is>
          <t>Không</t>
        </is>
      </c>
      <c r="N30" t="n">
        <v>32</v>
      </c>
      <c r="O30" t="inlineStr">
        <is>
          <t>T5-B0</t>
        </is>
      </c>
      <c r="P30" t="inlineStr">
        <is>
          <t>Không</t>
        </is>
      </c>
    </row>
    <row r="31">
      <c r="A31" t="n">
        <v>30</v>
      </c>
      <c r="B31" t="inlineStr">
        <is>
          <t>Thứ sáu ngày 30-01-2026</t>
        </is>
      </c>
      <c r="C31" t="n">
        <v>32845</v>
      </c>
      <c r="D31" t="n">
        <v>45</v>
      </c>
      <c r="E31" t="n">
        <v>3</v>
      </c>
      <c r="F31" t="inlineStr">
        <is>
          <t>T3-B8</t>
        </is>
      </c>
      <c r="G31" t="inlineStr">
        <is>
          <t>Không</t>
        </is>
      </c>
      <c r="H31" t="n">
        <v>82</v>
      </c>
      <c r="I31" t="inlineStr">
        <is>
          <t>T0-B5</t>
        </is>
      </c>
      <c r="J31" t="inlineStr">
        <is>
          <t>Không</t>
        </is>
      </c>
      <c r="K31" t="n">
        <v>85</v>
      </c>
      <c r="L31" t="inlineStr">
        <is>
          <t>T3-B8</t>
        </is>
      </c>
      <c r="M31" t="inlineStr">
        <is>
          <t>Không</t>
        </is>
      </c>
      <c r="N31" t="n">
        <v>81</v>
      </c>
      <c r="O31" t="inlineStr">
        <is>
          <t>T9-B4</t>
        </is>
      </c>
      <c r="P31" t="inlineStr">
        <is>
          <t>Trúng</t>
        </is>
      </c>
    </row>
    <row r="32">
      <c r="A32" t="n">
        <v>31</v>
      </c>
      <c r="B32" t="inlineStr">
        <is>
          <t>Thứ bảy ngày 31-01-2026</t>
        </is>
      </c>
      <c r="C32" t="n">
        <v>42754</v>
      </c>
      <c r="D32" t="n">
        <v>54</v>
      </c>
      <c r="E32" t="n">
        <v>77</v>
      </c>
      <c r="F32" t="inlineStr">
        <is>
          <t>T4-B9</t>
        </is>
      </c>
      <c r="G32" t="inlineStr">
        <is>
          <t>Trúng</t>
        </is>
      </c>
      <c r="H32" t="n">
        <v>51</v>
      </c>
      <c r="I32" t="inlineStr">
        <is>
          <t>T6-B1</t>
        </is>
      </c>
      <c r="J32" t="inlineStr">
        <is>
          <t>Không</t>
        </is>
      </c>
      <c r="K32" t="n">
        <v>67</v>
      </c>
      <c r="L32" t="inlineStr">
        <is>
          <t>T3-B8</t>
        </is>
      </c>
      <c r="M32" t="inlineStr">
        <is>
          <t>Không</t>
        </is>
      </c>
      <c r="N32" t="n">
        <v>47</v>
      </c>
      <c r="O32" t="inlineStr">
        <is>
          <t>T1-B6</t>
        </is>
      </c>
      <c r="P32" t="inlineStr">
        <is>
          <t>Không</t>
        </is>
      </c>
    </row>
    <row r="33">
      <c r="A33" t="n">
        <v>32</v>
      </c>
      <c r="B33" t="inlineStr">
        <is>
          <t>Chủ nhật ngày 01-02-2026</t>
        </is>
      </c>
      <c r="C33" t="n">
        <v>1377</v>
      </c>
      <c r="D33" t="n">
        <v>77</v>
      </c>
      <c r="E33" t="n">
        <v>58</v>
      </c>
      <c r="F33" t="inlineStr">
        <is>
          <t>T3-B8</t>
        </is>
      </c>
      <c r="G33" t="inlineStr">
        <is>
          <t>Không</t>
        </is>
      </c>
      <c r="H33" t="n">
        <v>3</v>
      </c>
      <c r="I33" t="inlineStr">
        <is>
          <t>T3-B8</t>
        </is>
      </c>
      <c r="J33" t="inlineStr">
        <is>
          <t>Không</t>
        </is>
      </c>
      <c r="K33" t="n">
        <v>47</v>
      </c>
      <c r="L33" t="inlineStr">
        <is>
          <t>T1-B6</t>
        </is>
      </c>
      <c r="M33" t="inlineStr">
        <is>
          <t>Không</t>
        </is>
      </c>
      <c r="N33" t="n">
        <v>5</v>
      </c>
      <c r="O33" t="inlineStr">
        <is>
          <t>T5-B0</t>
        </is>
      </c>
      <c r="P33" t="inlineStr">
        <is>
          <t>Không</t>
        </is>
      </c>
    </row>
    <row r="34">
      <c r="A34" t="n">
        <v>33</v>
      </c>
      <c r="B34" t="inlineStr">
        <is>
          <t>Thứ hai ngày 02-02-2026</t>
        </is>
      </c>
      <c r="C34" t="n">
        <v>73461</v>
      </c>
      <c r="D34" t="n">
        <v>61</v>
      </c>
      <c r="E34" t="n">
        <v>23</v>
      </c>
      <c r="F34" t="inlineStr">
        <is>
          <t>T5-B0</t>
        </is>
      </c>
      <c r="G34" t="inlineStr">
        <is>
          <t>Không</t>
        </is>
      </c>
      <c r="H34" t="n">
        <v>7</v>
      </c>
      <c r="I34" t="inlineStr">
        <is>
          <t>T7-B2</t>
        </is>
      </c>
      <c r="J34" t="inlineStr">
        <is>
          <t>Trúng</t>
        </is>
      </c>
      <c r="K34" t="n">
        <v>74</v>
      </c>
      <c r="L34" t="inlineStr">
        <is>
          <t>T1-B6</t>
        </is>
      </c>
      <c r="M34" t="inlineStr">
        <is>
          <t>Không</t>
        </is>
      </c>
      <c r="N34" t="n">
        <v>6</v>
      </c>
      <c r="O34" t="inlineStr">
        <is>
          <t>T6-B1</t>
        </is>
      </c>
      <c r="P34" t="inlineStr">
        <is>
          <t>Không</t>
        </is>
      </c>
    </row>
    <row r="35">
      <c r="A35" t="n">
        <v>34</v>
      </c>
      <c r="B35" t="inlineStr">
        <is>
          <t>Thứ ba ngày 03-02-2026</t>
        </is>
      </c>
      <c r="C35" t="n">
        <v>97648</v>
      </c>
      <c r="D35" t="n">
        <v>48</v>
      </c>
      <c r="E35" t="n">
        <v>98</v>
      </c>
      <c r="F35" t="inlineStr">
        <is>
          <t>T7-B2</t>
        </is>
      </c>
      <c r="G35" t="inlineStr">
        <is>
          <t>Không</t>
        </is>
      </c>
      <c r="H35" t="n">
        <v>41</v>
      </c>
      <c r="I35" t="inlineStr">
        <is>
          <t>T5-B0</t>
        </is>
      </c>
      <c r="J35" t="inlineStr">
        <is>
          <t>Không</t>
        </is>
      </c>
      <c r="K35" t="n">
        <v>76</v>
      </c>
      <c r="L35" t="inlineStr">
        <is>
          <t>T3-B8</t>
        </is>
      </c>
      <c r="M35" t="inlineStr">
        <is>
          <t>Trúng</t>
        </is>
      </c>
      <c r="N35" t="n">
        <v>81</v>
      </c>
      <c r="O35" t="inlineStr">
        <is>
          <t>T9-B4</t>
        </is>
      </c>
      <c r="P35" t="inlineStr">
        <is>
          <t>Không</t>
        </is>
      </c>
    </row>
    <row r="36">
      <c r="A36" t="n">
        <v>35</v>
      </c>
      <c r="B36" t="inlineStr">
        <is>
          <t>Thứ tư ngày 04-02-2026</t>
        </is>
      </c>
      <c r="C36" t="n">
        <v>6517</v>
      </c>
      <c r="D36" t="n">
        <v>17</v>
      </c>
      <c r="E36" t="n">
        <v>65</v>
      </c>
      <c r="F36" t="inlineStr">
        <is>
          <t>T1-B6</t>
        </is>
      </c>
      <c r="G36" t="inlineStr">
        <is>
          <t>Không</t>
        </is>
      </c>
      <c r="H36" t="n">
        <v>60</v>
      </c>
      <c r="I36" t="inlineStr">
        <is>
          <t>T6-B1</t>
        </is>
      </c>
      <c r="J36" t="inlineStr">
        <is>
          <t>Không</t>
        </is>
      </c>
      <c r="K36" t="n">
        <v>30</v>
      </c>
      <c r="L36" t="inlineStr">
        <is>
          <t>T3-B8</t>
        </is>
      </c>
      <c r="M36" t="inlineStr">
        <is>
          <t>Không</t>
        </is>
      </c>
      <c r="N36" t="n">
        <v>88</v>
      </c>
      <c r="O36" t="inlineStr">
        <is>
          <t>T6-B1</t>
        </is>
      </c>
      <c r="P36" t="inlineStr">
        <is>
          <t>Không</t>
        </is>
      </c>
    </row>
    <row r="37">
      <c r="A37" t="n">
        <v>36</v>
      </c>
      <c r="B37" t="inlineStr">
        <is>
          <t>Thứ năm ngày 05-02-2026</t>
        </is>
      </c>
      <c r="C37" t="n">
        <v>10268</v>
      </c>
      <c r="D37" t="n">
        <v>68</v>
      </c>
      <c r="E37" t="n">
        <v>58</v>
      </c>
      <c r="F37" t="inlineStr">
        <is>
          <t>T3-B8</t>
        </is>
      </c>
      <c r="G37" t="inlineStr">
        <is>
          <t>Không</t>
        </is>
      </c>
      <c r="H37" t="n">
        <v>73</v>
      </c>
      <c r="I37" t="inlineStr">
        <is>
          <t>T0-B5</t>
        </is>
      </c>
      <c r="J37" t="inlineStr">
        <is>
          <t>Không</t>
        </is>
      </c>
      <c r="K37" t="n">
        <v>33</v>
      </c>
      <c r="L37" t="inlineStr">
        <is>
          <t>T6-B1</t>
        </is>
      </c>
      <c r="M37" t="inlineStr">
        <is>
          <t>Trúng</t>
        </is>
      </c>
      <c r="N37" t="n">
        <v>57</v>
      </c>
      <c r="O37" t="inlineStr">
        <is>
          <t>T2-B7</t>
        </is>
      </c>
      <c r="P37" t="inlineStr">
        <is>
          <t>Không</t>
        </is>
      </c>
    </row>
    <row r="38">
      <c r="A38" t="n">
        <v>37</v>
      </c>
      <c r="B38" t="inlineStr">
        <is>
          <t>Thứ sáu ngày 06-02-2026</t>
        </is>
      </c>
      <c r="C38" t="n">
        <v>6133</v>
      </c>
      <c r="D38" t="n">
        <v>33</v>
      </c>
      <c r="E38" t="n">
        <v>5</v>
      </c>
      <c r="F38" t="inlineStr">
        <is>
          <t>T5-B0</t>
        </is>
      </c>
      <c r="G38" t="inlineStr">
        <is>
          <t>Không</t>
        </is>
      </c>
      <c r="H38" t="n">
        <v>61</v>
      </c>
      <c r="I38" t="inlineStr">
        <is>
          <t>T7-B2</t>
        </is>
      </c>
      <c r="J38" t="inlineStr">
        <is>
          <t>Không</t>
        </is>
      </c>
      <c r="K38" t="n">
        <v>18</v>
      </c>
      <c r="L38" t="inlineStr">
        <is>
          <t>T9-B4</t>
        </is>
      </c>
      <c r="M38" t="inlineStr">
        <is>
          <t>Không</t>
        </is>
      </c>
      <c r="N38" t="n">
        <v>50</v>
      </c>
      <c r="O38" t="inlineStr">
        <is>
          <t>T5-B0</t>
        </is>
      </c>
      <c r="P38" t="inlineStr">
        <is>
          <t>Không</t>
        </is>
      </c>
    </row>
    <row r="39">
      <c r="A39" t="n">
        <v>38</v>
      </c>
      <c r="B39" t="inlineStr">
        <is>
          <t>Thứ bảy ngày 07-02-2026</t>
        </is>
      </c>
      <c r="C39" t="n">
        <v>38385</v>
      </c>
      <c r="D39" t="n">
        <v>85</v>
      </c>
      <c r="E39" t="n">
        <v>94</v>
      </c>
      <c r="F39" t="inlineStr">
        <is>
          <t>T3-B8</t>
        </is>
      </c>
      <c r="G39" t="inlineStr">
        <is>
          <t>Không</t>
        </is>
      </c>
      <c r="H39" t="n">
        <v>17</v>
      </c>
      <c r="I39" t="inlineStr">
        <is>
          <t>T8-B3</t>
        </is>
      </c>
      <c r="J39" t="inlineStr">
        <is>
          <t>Không</t>
        </is>
      </c>
      <c r="K39" t="n">
        <v>77</v>
      </c>
      <c r="L39" t="inlineStr">
        <is>
          <t>T4-B9</t>
        </is>
      </c>
      <c r="M39" t="inlineStr">
        <is>
          <t>Trúng</t>
        </is>
      </c>
      <c r="N39" t="n">
        <v>43</v>
      </c>
      <c r="O39" t="inlineStr">
        <is>
          <t>T7-B2</t>
        </is>
      </c>
      <c r="P39" t="inlineStr">
        <is>
          <t>Không</t>
        </is>
      </c>
    </row>
    <row r="40">
      <c r="A40" t="n">
        <v>39</v>
      </c>
      <c r="B40" t="inlineStr">
        <is>
          <t>Chủ nhật ngày 08-02-2026</t>
        </is>
      </c>
      <c r="C40" t="n">
        <v>57977</v>
      </c>
      <c r="D40" t="n">
        <v>77</v>
      </c>
      <c r="E40" t="n">
        <v>35</v>
      </c>
      <c r="F40" t="inlineStr">
        <is>
          <t>T8-B3</t>
        </is>
      </c>
      <c r="G40" t="inlineStr">
        <is>
          <t>Không</t>
        </is>
      </c>
      <c r="H40" t="n">
        <v>36</v>
      </c>
      <c r="I40" t="inlineStr">
        <is>
          <t>T9-B4</t>
        </is>
      </c>
      <c r="J40" t="inlineStr">
        <is>
          <t>Không</t>
        </is>
      </c>
      <c r="K40" t="n">
        <v>38</v>
      </c>
      <c r="L40" t="inlineStr">
        <is>
          <t>T1-B6</t>
        </is>
      </c>
      <c r="M40" t="inlineStr">
        <is>
          <t>Trúng</t>
        </is>
      </c>
      <c r="N40" t="n">
        <v>4</v>
      </c>
      <c r="O40" t="inlineStr">
        <is>
          <t>T4-B9</t>
        </is>
      </c>
      <c r="P40" t="inlineStr">
        <is>
          <t>Không</t>
        </is>
      </c>
    </row>
    <row r="41">
      <c r="A41" t="n">
        <v>40</v>
      </c>
      <c r="B41" t="inlineStr">
        <is>
          <t>Thứ hai ngày 09-02-2026</t>
        </is>
      </c>
      <c r="C41" t="n">
        <v>5901</v>
      </c>
      <c r="D41" t="n">
        <v>1</v>
      </c>
      <c r="E41" t="n">
        <v>14</v>
      </c>
      <c r="F41" t="inlineStr">
        <is>
          <t>T5-B0</t>
        </is>
      </c>
      <c r="G41" t="inlineStr">
        <is>
          <t>Không</t>
        </is>
      </c>
      <c r="H41" t="n">
        <v>25</v>
      </c>
      <c r="I41" t="inlineStr">
        <is>
          <t>T7-B2</t>
        </is>
      </c>
      <c r="J41" t="inlineStr">
        <is>
          <t>Không</t>
        </is>
      </c>
      <c r="K41" t="n">
        <v>76</v>
      </c>
      <c r="L41" t="inlineStr">
        <is>
          <t>T3-B8</t>
        </is>
      </c>
      <c r="M41" t="inlineStr">
        <is>
          <t>Không</t>
        </is>
      </c>
      <c r="N41" t="n">
        <v>67</v>
      </c>
      <c r="O41" t="inlineStr">
        <is>
          <t>T3-B8</t>
        </is>
      </c>
      <c r="P41" t="inlineStr">
        <is>
          <t>Không</t>
        </is>
      </c>
    </row>
    <row r="42">
      <c r="A42" t="n">
        <v>41</v>
      </c>
      <c r="B42" t="inlineStr">
        <is>
          <t>Thứ ba ngày 10-02-2026</t>
        </is>
      </c>
      <c r="C42" t="n">
        <v>65390</v>
      </c>
      <c r="D42" t="n">
        <v>90</v>
      </c>
      <c r="E42" t="n">
        <v>59</v>
      </c>
      <c r="F42" t="inlineStr">
        <is>
          <t>T4-B9</t>
        </is>
      </c>
      <c r="G42" t="inlineStr">
        <is>
          <t>Không</t>
        </is>
      </c>
      <c r="H42" t="n">
        <v>55</v>
      </c>
      <c r="I42" t="inlineStr">
        <is>
          <t>T0-B5</t>
        </is>
      </c>
      <c r="J42" t="inlineStr">
        <is>
          <t>Không</t>
        </is>
      </c>
      <c r="K42" t="n">
        <v>14</v>
      </c>
      <c r="L42" t="inlineStr">
        <is>
          <t>T5-B0</t>
        </is>
      </c>
      <c r="M42" t="inlineStr">
        <is>
          <t>Không</t>
        </is>
      </c>
      <c r="N42" t="n">
        <v>61</v>
      </c>
      <c r="O42" t="inlineStr">
        <is>
          <t>T7-B2</t>
        </is>
      </c>
      <c r="P42" t="inlineStr">
        <is>
          <t>Không</t>
        </is>
      </c>
    </row>
    <row r="43">
      <c r="A43" t="n">
        <v>42</v>
      </c>
      <c r="B43" t="inlineStr">
        <is>
          <t>Thứ tư ngày 11-02-2026</t>
        </is>
      </c>
      <c r="C43" t="n">
        <v>20692</v>
      </c>
      <c r="D43" t="n">
        <v>92</v>
      </c>
      <c r="E43" t="n">
        <v>98</v>
      </c>
      <c r="F43" t="inlineStr">
        <is>
          <t>T7-B2</t>
        </is>
      </c>
      <c r="G43" t="inlineStr">
        <is>
          <t>Trúng</t>
        </is>
      </c>
      <c r="H43" t="n">
        <v>92</v>
      </c>
      <c r="I43" t="inlineStr">
        <is>
          <t>T1-B6</t>
        </is>
      </c>
      <c r="J43" t="inlineStr">
        <is>
          <t>Không</t>
        </is>
      </c>
      <c r="K43" t="n">
        <v>32</v>
      </c>
      <c r="L43" t="inlineStr">
        <is>
          <t>T5-B0</t>
        </is>
      </c>
      <c r="M43" t="inlineStr">
        <is>
          <t>Không</t>
        </is>
      </c>
      <c r="N43" t="n">
        <v>47</v>
      </c>
      <c r="O43" t="inlineStr">
        <is>
          <t>T1-B6</t>
        </is>
      </c>
      <c r="P43" t="inlineStr">
        <is>
          <t>Không</t>
        </is>
      </c>
    </row>
    <row r="44">
      <c r="A44" t="n">
        <v>43</v>
      </c>
      <c r="B44" t="inlineStr">
        <is>
          <t>Thứ năm ngày 12-02-2026</t>
        </is>
      </c>
      <c r="C44" t="n">
        <v>81475</v>
      </c>
      <c r="D44" t="n">
        <v>75</v>
      </c>
      <c r="E44" t="n">
        <v>81</v>
      </c>
      <c r="F44" t="inlineStr">
        <is>
          <t>T9-B4</t>
        </is>
      </c>
      <c r="G44" t="inlineStr">
        <is>
          <t>Trúng</t>
        </is>
      </c>
      <c r="H44" t="n">
        <v>50</v>
      </c>
      <c r="I44" t="inlineStr">
        <is>
          <t>T5-B0</t>
        </is>
      </c>
      <c r="J44" t="inlineStr">
        <is>
          <t>Không</t>
        </is>
      </c>
      <c r="K44" t="n">
        <v>16</v>
      </c>
      <c r="L44" t="inlineStr">
        <is>
          <t>T7-B2</t>
        </is>
      </c>
      <c r="M44" t="inlineStr">
        <is>
          <t>Không</t>
        </is>
      </c>
      <c r="N44" t="n">
        <v>10</v>
      </c>
      <c r="O44" t="inlineStr">
        <is>
          <t>T1-B6</t>
        </is>
      </c>
      <c r="P44" t="inlineStr">
        <is>
          <t>Không</t>
        </is>
      </c>
    </row>
    <row r="45">
      <c r="A45" t="n">
        <v>44</v>
      </c>
      <c r="B45" t="inlineStr">
        <is>
          <t>Thứ sáu ngày 13-02-2026</t>
        </is>
      </c>
      <c r="C45" t="n">
        <v>93177</v>
      </c>
      <c r="D45" t="n">
        <v>77</v>
      </c>
      <c r="E45" t="n">
        <v>73</v>
      </c>
      <c r="F45" t="inlineStr">
        <is>
          <t>T0-B5</t>
        </is>
      </c>
      <c r="G45" t="inlineStr">
        <is>
          <t>Không</t>
        </is>
      </c>
      <c r="H45" t="n">
        <v>9</v>
      </c>
      <c r="I45" t="inlineStr">
        <is>
          <t>T9-B4</t>
        </is>
      </c>
      <c r="J45" t="inlineStr">
        <is>
          <t>Không</t>
        </is>
      </c>
      <c r="K45" t="n">
        <v>10</v>
      </c>
      <c r="L45" t="inlineStr">
        <is>
          <t>T1-B6</t>
        </is>
      </c>
      <c r="M45" t="inlineStr">
        <is>
          <t>Không</t>
        </is>
      </c>
      <c r="N45" t="n">
        <v>1</v>
      </c>
      <c r="O45" t="inlineStr">
        <is>
          <t>T1-B6</t>
        </is>
      </c>
      <c r="P45" t="inlineStr">
        <is>
          <t>Không</t>
        </is>
      </c>
    </row>
    <row r="46">
      <c r="A46" t="n">
        <v>45</v>
      </c>
      <c r="B46" t="inlineStr">
        <is>
          <t>Thứ bảy ngày 14-02-2026</t>
        </is>
      </c>
      <c r="C46" t="n">
        <v>90630</v>
      </c>
      <c r="D46" t="n">
        <v>30</v>
      </c>
      <c r="E46" t="n">
        <v>18</v>
      </c>
      <c r="F46" t="inlineStr">
        <is>
          <t>T9-B4</t>
        </is>
      </c>
      <c r="G46" t="inlineStr">
        <is>
          <t>Không</t>
        </is>
      </c>
      <c r="H46" t="n">
        <v>9</v>
      </c>
      <c r="I46" t="inlineStr">
        <is>
          <t>T9-B4</t>
        </is>
      </c>
      <c r="J46" t="inlineStr">
        <is>
          <t>Không</t>
        </is>
      </c>
      <c r="K46" t="n">
        <v>60</v>
      </c>
      <c r="L46" t="inlineStr">
        <is>
          <t>T6-B1</t>
        </is>
      </c>
      <c r="M46" t="inlineStr">
        <is>
          <t>Trúng</t>
        </is>
      </c>
      <c r="N46" t="n">
        <v>86</v>
      </c>
      <c r="O46" t="inlineStr">
        <is>
          <t>T4-B9</t>
        </is>
      </c>
      <c r="P46" t="inlineStr">
        <is>
          <t>Không</t>
        </is>
      </c>
    </row>
    <row r="47">
      <c r="A47" t="n">
        <v>46</v>
      </c>
      <c r="B47" t="inlineStr">
        <is>
          <t>Chủ nhật ngày 15-02-2026</t>
        </is>
      </c>
      <c r="C47" t="n">
        <v>22601</v>
      </c>
      <c r="D47" t="n">
        <v>1</v>
      </c>
      <c r="E47" t="n">
        <v>79</v>
      </c>
      <c r="F47" t="inlineStr">
        <is>
          <t>T6-B1</t>
        </is>
      </c>
      <c r="G47" t="inlineStr">
        <is>
          <t>Không</t>
        </is>
      </c>
      <c r="H47" t="n">
        <v>3</v>
      </c>
      <c r="I47" t="inlineStr">
        <is>
          <t>T3-B8</t>
        </is>
      </c>
      <c r="J47" t="inlineStr">
        <is>
          <t>Không</t>
        </is>
      </c>
      <c r="K47" t="n">
        <v>34</v>
      </c>
      <c r="L47" t="inlineStr">
        <is>
          <t>T7-B2</t>
        </is>
      </c>
      <c r="M47" t="inlineStr">
        <is>
          <t>Không</t>
        </is>
      </c>
      <c r="N47" t="n">
        <v>45</v>
      </c>
      <c r="O47" t="inlineStr">
        <is>
          <t>T9-B4</t>
        </is>
      </c>
      <c r="P47" t="inlineStr">
        <is>
          <t>Trúng</t>
        </is>
      </c>
    </row>
    <row r="48">
      <c r="A48" t="n">
        <v>47</v>
      </c>
      <c r="B48" t="inlineStr">
        <is>
          <t>Thứ sáu ngày 20-02-2026</t>
        </is>
      </c>
      <c r="C48" t="n">
        <v>36481</v>
      </c>
      <c r="D48" t="n">
        <v>81</v>
      </c>
      <c r="E48" t="n">
        <v>75</v>
      </c>
      <c r="F48" t="inlineStr">
        <is>
          <t>T2-B7</t>
        </is>
      </c>
      <c r="G48" t="inlineStr">
        <is>
          <t>Không</t>
        </is>
      </c>
      <c r="H48" t="n">
        <v>42</v>
      </c>
      <c r="I48" t="inlineStr">
        <is>
          <t>T6-B1</t>
        </is>
      </c>
      <c r="J48" t="inlineStr">
        <is>
          <t>Không</t>
        </is>
      </c>
      <c r="K48" t="n">
        <v>9</v>
      </c>
      <c r="L48" t="inlineStr">
        <is>
          <t>T9-B4</t>
        </is>
      </c>
      <c r="M48" t="inlineStr">
        <is>
          <t>Trúng</t>
        </is>
      </c>
      <c r="N48" t="n">
        <v>81</v>
      </c>
      <c r="O48" t="inlineStr">
        <is>
          <t>T9-B4</t>
        </is>
      </c>
      <c r="P48" t="inlineStr">
        <is>
          <t>Trúng</t>
        </is>
      </c>
    </row>
    <row r="49">
      <c r="A49" t="n">
        <v>48</v>
      </c>
      <c r="B49" t="inlineStr">
        <is>
          <t>Thứ bảy ngày 21-02-2026</t>
        </is>
      </c>
      <c r="C49" t="n">
        <v>44413</v>
      </c>
      <c r="D49" t="n">
        <v>13</v>
      </c>
      <c r="E49" t="n">
        <v>91</v>
      </c>
      <c r="F49" t="inlineStr">
        <is>
          <t>T0-B5</t>
        </is>
      </c>
      <c r="G49" t="inlineStr">
        <is>
          <t>Không</t>
        </is>
      </c>
      <c r="H49" t="n">
        <v>14</v>
      </c>
      <c r="I49" t="inlineStr">
        <is>
          <t>T5-B0</t>
        </is>
      </c>
      <c r="J49" t="inlineStr">
        <is>
          <t>Không</t>
        </is>
      </c>
      <c r="K49" t="n">
        <v>96</v>
      </c>
      <c r="L49" t="inlineStr">
        <is>
          <t>T5-B0</t>
        </is>
      </c>
      <c r="M49" t="inlineStr">
        <is>
          <t>Không</t>
        </is>
      </c>
      <c r="N49" t="n">
        <v>9</v>
      </c>
      <c r="O49" t="inlineStr">
        <is>
          <t>T9-B4</t>
        </is>
      </c>
      <c r="P49" t="inlineStr">
        <is>
          <t>Không</t>
        </is>
      </c>
    </row>
    <row r="50">
      <c r="A50" t="n">
        <v>49</v>
      </c>
      <c r="B50" t="inlineStr">
        <is>
          <t>Chủ nhật ngày 22-02-2026</t>
        </is>
      </c>
      <c r="C50" t="n">
        <v>64512</v>
      </c>
      <c r="D50" t="n">
        <v>12</v>
      </c>
      <c r="E50" t="n">
        <v>30</v>
      </c>
      <c r="F50" t="inlineStr">
        <is>
          <t>T3-B8</t>
        </is>
      </c>
      <c r="G50" t="inlineStr">
        <is>
          <t>Không</t>
        </is>
      </c>
      <c r="H50" t="n">
        <v>88</v>
      </c>
      <c r="I50" t="inlineStr">
        <is>
          <t>T6-B1</t>
        </is>
      </c>
      <c r="J50" t="inlineStr">
        <is>
          <t>Không</t>
        </is>
      </c>
      <c r="K50" t="n">
        <v>9</v>
      </c>
      <c r="L50" t="inlineStr">
        <is>
          <t>T9-B4</t>
        </is>
      </c>
      <c r="M50" t="inlineStr">
        <is>
          <t>Không</t>
        </is>
      </c>
      <c r="N50" t="n">
        <v>33</v>
      </c>
      <c r="O50" t="inlineStr">
        <is>
          <t>T6-B1</t>
        </is>
      </c>
      <c r="P50" t="inlineStr">
        <is>
          <t>Không</t>
        </is>
      </c>
    </row>
    <row r="51">
      <c r="A51" t="n">
        <v>50</v>
      </c>
      <c r="B51" t="inlineStr">
        <is>
          <t>Thứ hai ngày 23-02-2026</t>
        </is>
      </c>
      <c r="C51" t="n">
        <v>67655</v>
      </c>
      <c r="D51" t="n">
        <v>55</v>
      </c>
      <c r="E51" t="n">
        <v>45</v>
      </c>
      <c r="F51" t="inlineStr">
        <is>
          <t>T9-B4</t>
        </is>
      </c>
      <c r="G51" t="inlineStr">
        <is>
          <t>Không</t>
        </is>
      </c>
      <c r="H51" t="n">
        <v>43</v>
      </c>
      <c r="I51" t="inlineStr">
        <is>
          <t>T7-B2</t>
        </is>
      </c>
      <c r="J51" t="inlineStr">
        <is>
          <t>Không</t>
        </is>
      </c>
      <c r="K51" t="n">
        <v>0</v>
      </c>
      <c r="L51" t="inlineStr">
        <is>
          <t>T0-B5</t>
        </is>
      </c>
      <c r="M51" t="inlineStr">
        <is>
          <t>Trúng</t>
        </is>
      </c>
      <c r="N51" t="n">
        <v>57</v>
      </c>
      <c r="O51" t="inlineStr">
        <is>
          <t>T2-B7</t>
        </is>
      </c>
      <c r="P51" t="inlineStr">
        <is>
          <t>Không</t>
        </is>
      </c>
    </row>
    <row r="52">
      <c r="A52" t="n">
        <v>51</v>
      </c>
      <c r="B52" t="inlineStr">
        <is>
          <t>Thứ ba ngày 24-02-2026</t>
        </is>
      </c>
      <c r="C52" t="n">
        <v>65037</v>
      </c>
      <c r="D52" t="n">
        <v>37</v>
      </c>
      <c r="E52" t="n">
        <v>95</v>
      </c>
      <c r="F52" t="inlineStr">
        <is>
          <t>T4-B9</t>
        </is>
      </c>
      <c r="G52" t="inlineStr">
        <is>
          <t>Không</t>
        </is>
      </c>
      <c r="H52" t="n">
        <v>36</v>
      </c>
      <c r="I52" t="inlineStr">
        <is>
          <t>T9-B4</t>
        </is>
      </c>
      <c r="J52" t="inlineStr">
        <is>
          <t>Không</t>
        </is>
      </c>
      <c r="K52" t="n">
        <v>37</v>
      </c>
      <c r="L52" t="inlineStr">
        <is>
          <t>T0-B5</t>
        </is>
      </c>
      <c r="M52" t="inlineStr">
        <is>
          <t>Không</t>
        </is>
      </c>
      <c r="N52" t="n">
        <v>42</v>
      </c>
      <c r="O52" t="inlineStr">
        <is>
          <t>T6-B1</t>
        </is>
      </c>
      <c r="P52" t="inlineStr">
        <is>
          <t>Không</t>
        </is>
      </c>
    </row>
    <row r="53">
      <c r="A53" t="n">
        <v>52</v>
      </c>
      <c r="B53" t="inlineStr">
        <is>
          <t>Thứ tư ngày 25-02-2026</t>
        </is>
      </c>
      <c r="C53" t="n">
        <v>48153</v>
      </c>
      <c r="D53" t="n">
        <v>53</v>
      </c>
      <c r="E53" t="n">
        <v>84</v>
      </c>
      <c r="F53" t="inlineStr">
        <is>
          <t>T2-B7</t>
        </is>
      </c>
      <c r="G53" t="inlineStr">
        <is>
          <t>Không</t>
        </is>
      </c>
      <c r="H53" t="n">
        <v>30</v>
      </c>
      <c r="I53" t="inlineStr">
        <is>
          <t>T3-B8</t>
        </is>
      </c>
      <c r="J53" t="inlineStr">
        <is>
          <t>Trúng</t>
        </is>
      </c>
      <c r="K53" t="n">
        <v>13</v>
      </c>
      <c r="L53" t="inlineStr">
        <is>
          <t>T4-B9</t>
        </is>
      </c>
      <c r="M53" t="inlineStr">
        <is>
          <t>Không</t>
        </is>
      </c>
      <c r="N53" t="n">
        <v>67</v>
      </c>
      <c r="O53" t="inlineStr">
        <is>
          <t>T3-B8</t>
        </is>
      </c>
      <c r="P53" t="inlineStr">
        <is>
          <t>Trúng</t>
        </is>
      </c>
    </row>
    <row r="54">
      <c r="A54" t="n">
        <v>53</v>
      </c>
      <c r="B54" t="inlineStr">
        <is>
          <t>Thứ năm ngày 26-02-2026</t>
        </is>
      </c>
      <c r="C54" t="n">
        <v>86408</v>
      </c>
      <c r="D54" t="n">
        <v>8</v>
      </c>
      <c r="E54" t="n">
        <v>50</v>
      </c>
      <c r="F54" t="inlineStr">
        <is>
          <t>T5-B0</t>
        </is>
      </c>
      <c r="G54" t="inlineStr">
        <is>
          <t>Không</t>
        </is>
      </c>
      <c r="H54" t="n">
        <v>41</v>
      </c>
      <c r="I54" t="inlineStr">
        <is>
          <t>T5-B0</t>
        </is>
      </c>
      <c r="J54" t="inlineStr">
        <is>
          <t>Không</t>
        </is>
      </c>
      <c r="K54" t="n">
        <v>65</v>
      </c>
      <c r="L54" t="inlineStr">
        <is>
          <t>T1-B6</t>
        </is>
      </c>
      <c r="M54" t="inlineStr">
        <is>
          <t>Trúng</t>
        </is>
      </c>
      <c r="N54" t="n">
        <v>99</v>
      </c>
      <c r="O54" t="inlineStr">
        <is>
          <t>T8-B3</t>
        </is>
      </c>
      <c r="P54" t="inlineStr">
        <is>
          <t>Không</t>
        </is>
      </c>
    </row>
    <row r="55">
      <c r="A55" t="n">
        <v>54</v>
      </c>
      <c r="B55" t="inlineStr">
        <is>
          <t>Thứ sáu ngày 27-02-2026</t>
        </is>
      </c>
      <c r="C55" t="n">
        <v>13283</v>
      </c>
      <c r="D55" t="n">
        <v>83</v>
      </c>
      <c r="E55" t="n">
        <v>57</v>
      </c>
      <c r="F55" t="inlineStr">
        <is>
          <t>T2-B7</t>
        </is>
      </c>
      <c r="G55" t="inlineStr">
        <is>
          <t>Không</t>
        </is>
      </c>
      <c r="H55" t="n">
        <v>42</v>
      </c>
      <c r="I55" t="inlineStr">
        <is>
          <t>T6-B1</t>
        </is>
      </c>
      <c r="J55" t="inlineStr">
        <is>
          <t>Không</t>
        </is>
      </c>
      <c r="K55" t="n">
        <v>39</v>
      </c>
      <c r="L55" t="inlineStr">
        <is>
          <t>T2-B7</t>
        </is>
      </c>
      <c r="M55" t="inlineStr">
        <is>
          <t>Không</t>
        </is>
      </c>
      <c r="N55" t="n">
        <v>13</v>
      </c>
      <c r="O55" t="inlineStr">
        <is>
          <t>T4-B9</t>
        </is>
      </c>
      <c r="P55" t="inlineStr">
        <is>
          <t>Không</t>
        </is>
      </c>
    </row>
    <row r="56">
      <c r="A56" t="n">
        <v>55</v>
      </c>
      <c r="B56" t="inlineStr">
        <is>
          <t>Thứ bảy ngày 28-02-2026</t>
        </is>
      </c>
      <c r="C56" t="n">
        <v>47891</v>
      </c>
      <c r="D56" t="n">
        <v>91</v>
      </c>
      <c r="E56" t="n">
        <v>65</v>
      </c>
      <c r="F56" t="inlineStr">
        <is>
          <t>T1-B6</t>
        </is>
      </c>
      <c r="G56" t="inlineStr">
        <is>
          <t>Không</t>
        </is>
      </c>
      <c r="H56" t="n">
        <v>82</v>
      </c>
      <c r="I56" t="inlineStr">
        <is>
          <t>T0-B5</t>
        </is>
      </c>
      <c r="J56" t="inlineStr">
        <is>
          <t>Không</t>
        </is>
      </c>
      <c r="K56" t="n">
        <v>97</v>
      </c>
      <c r="L56" t="inlineStr">
        <is>
          <t>T6-B1</t>
        </is>
      </c>
      <c r="M56" t="inlineStr">
        <is>
          <t>Không</t>
        </is>
      </c>
      <c r="N56" t="n">
        <v>9</v>
      </c>
      <c r="O56" t="inlineStr">
        <is>
          <t>T9-B4</t>
        </is>
      </c>
      <c r="P56" t="inlineStr">
        <is>
          <t>Không</t>
        </is>
      </c>
    </row>
    <row r="57">
      <c r="A57" t="n">
        <v>56</v>
      </c>
      <c r="B57" t="inlineStr">
        <is>
          <t>Chủ nhật ngày 01-03-2026</t>
        </is>
      </c>
      <c r="C57" t="n">
        <v>90148</v>
      </c>
      <c r="D57" t="n">
        <v>48</v>
      </c>
      <c r="E57" t="n">
        <v>92</v>
      </c>
      <c r="F57" t="inlineStr">
        <is>
          <t>T1-B6</t>
        </is>
      </c>
      <c r="G57" t="inlineStr">
        <is>
          <t>Không</t>
        </is>
      </c>
      <c r="H57" t="n">
        <v>73</v>
      </c>
      <c r="I57" t="inlineStr">
        <is>
          <t>T0-B5</t>
        </is>
      </c>
      <c r="J57" t="inlineStr">
        <is>
          <t>Không</t>
        </is>
      </c>
      <c r="K57" t="n">
        <v>60</v>
      </c>
      <c r="L57" t="inlineStr">
        <is>
          <t>T6-B1</t>
        </is>
      </c>
      <c r="M57" t="inlineStr">
        <is>
          <t>Không</t>
        </is>
      </c>
      <c r="N57" t="n">
        <v>77</v>
      </c>
      <c r="O57" t="inlineStr">
        <is>
          <t>T4-B9</t>
        </is>
      </c>
      <c r="P57" t="inlineStr">
        <is>
          <t>Không</t>
        </is>
      </c>
    </row>
    <row r="58">
      <c r="A58" t="n">
        <v>57</v>
      </c>
      <c r="B58" t="inlineStr">
        <is>
          <t>Thứ hai ngày 02-03-2026</t>
        </is>
      </c>
      <c r="C58" t="n">
        <v>75257</v>
      </c>
      <c r="D58" t="n">
        <v>57</v>
      </c>
      <c r="E58" t="n">
        <v>45</v>
      </c>
      <c r="F58" t="inlineStr">
        <is>
          <t>T9-B4</t>
        </is>
      </c>
      <c r="G58" t="inlineStr">
        <is>
          <t>Không</t>
        </is>
      </c>
      <c r="H58" t="n">
        <v>61</v>
      </c>
      <c r="I58" t="inlineStr">
        <is>
          <t>T7-B2</t>
        </is>
      </c>
      <c r="J58" t="inlineStr">
        <is>
          <t>Không</t>
        </is>
      </c>
      <c r="K58" t="n">
        <v>98</v>
      </c>
      <c r="L58" t="inlineStr">
        <is>
          <t>T7-B2</t>
        </is>
      </c>
      <c r="M58" t="inlineStr">
        <is>
          <t>Không</t>
        </is>
      </c>
      <c r="N58" t="n">
        <v>0</v>
      </c>
      <c r="O58" t="inlineStr">
        <is>
          <t>T0-B5</t>
        </is>
      </c>
      <c r="P58" t="inlineStr">
        <is>
          <t>Trúng</t>
        </is>
      </c>
    </row>
    <row r="59">
      <c r="A59" t="n">
        <v>58</v>
      </c>
      <c r="B59" t="inlineStr">
        <is>
          <t>Thứ ba ngày 03-03-2026</t>
        </is>
      </c>
      <c r="C59" t="n">
        <v>70078</v>
      </c>
      <c r="D59" t="n">
        <v>78</v>
      </c>
      <c r="E59" t="n">
        <v>21</v>
      </c>
      <c r="F59" t="inlineStr">
        <is>
          <t>T3-B8</t>
        </is>
      </c>
      <c r="G59" t="inlineStr">
        <is>
          <t>Không</t>
        </is>
      </c>
      <c r="H59" t="n">
        <v>36</v>
      </c>
      <c r="I59" t="inlineStr">
        <is>
          <t>T9-B4</t>
        </is>
      </c>
      <c r="J59" t="inlineStr">
        <is>
          <t>Không</t>
        </is>
      </c>
      <c r="K59" t="n">
        <v>77</v>
      </c>
      <c r="L59" t="inlineStr">
        <is>
          <t>T4-B9</t>
        </is>
      </c>
      <c r="M59" t="inlineStr">
        <is>
          <t>Không</t>
        </is>
      </c>
      <c r="N59" t="n">
        <v>79</v>
      </c>
      <c r="O59" t="inlineStr">
        <is>
          <t>T6-B1</t>
        </is>
      </c>
      <c r="P59" t="inlineStr">
        <is>
          <t>Không</t>
        </is>
      </c>
    </row>
    <row r="60">
      <c r="A60" t="n">
        <v>59</v>
      </c>
      <c r="B60" t="inlineStr">
        <is>
          <t>Thứ tư ngày 04-03-2026</t>
        </is>
      </c>
      <c r="C60" t="n">
        <v>10619</v>
      </c>
      <c r="D60" t="n">
        <v>19</v>
      </c>
      <c r="E60" t="n">
        <v>5</v>
      </c>
      <c r="F60" t="inlineStr">
        <is>
          <t>T5-B0</t>
        </is>
      </c>
      <c r="G60" t="inlineStr">
        <is>
          <t>Không</t>
        </is>
      </c>
      <c r="H60" t="n">
        <v>26</v>
      </c>
      <c r="I60" t="inlineStr">
        <is>
          <t>T8-B3</t>
        </is>
      </c>
      <c r="J60" t="inlineStr">
        <is>
          <t>Không</t>
        </is>
      </c>
      <c r="K60" t="n">
        <v>91</v>
      </c>
      <c r="L60" t="inlineStr">
        <is>
          <t>T0-B5</t>
        </is>
      </c>
      <c r="M60" t="inlineStr">
        <is>
          <t>Không</t>
        </is>
      </c>
      <c r="N60" t="n">
        <v>35</v>
      </c>
      <c r="O60" t="inlineStr">
        <is>
          <t>T8-B3</t>
        </is>
      </c>
      <c r="P60" t="inlineStr">
        <is>
          <t>Không</t>
        </is>
      </c>
    </row>
    <row r="61">
      <c r="A61" t="n">
        <v>60</v>
      </c>
      <c r="B61" t="inlineStr">
        <is>
          <t>Thứ năm ngày 05-03-2026</t>
        </is>
      </c>
      <c r="C61" t="n">
        <v>16659</v>
      </c>
      <c r="D61" t="n">
        <v>59</v>
      </c>
      <c r="E61" t="n">
        <v>99</v>
      </c>
      <c r="F61" t="inlineStr">
        <is>
          <t>T8-B3</t>
        </is>
      </c>
      <c r="G61" t="inlineStr">
        <is>
          <t>Trúng</t>
        </is>
      </c>
      <c r="H61" t="n">
        <v>40</v>
      </c>
      <c r="I61" t="inlineStr">
        <is>
          <t>T4-B9</t>
        </is>
      </c>
      <c r="J61" t="inlineStr">
        <is>
          <t>Không</t>
        </is>
      </c>
      <c r="K61" t="n">
        <v>14</v>
      </c>
      <c r="L61" t="inlineStr">
        <is>
          <t>T5-B0</t>
        </is>
      </c>
      <c r="M61" t="inlineStr">
        <is>
          <t>Không</t>
        </is>
      </c>
      <c r="N61" t="n">
        <v>61</v>
      </c>
      <c r="O61" t="inlineStr">
        <is>
          <t>T7-B2</t>
        </is>
      </c>
      <c r="P61" t="inlineStr">
        <is>
          <t>Không</t>
        </is>
      </c>
    </row>
    <row r="62">
      <c r="A62" t="n">
        <v>61</v>
      </c>
      <c r="B62" t="inlineStr">
        <is>
          <t>Thứ sáu ngày 06-03-2026</t>
        </is>
      </c>
      <c r="C62" t="n">
        <v>38249</v>
      </c>
      <c r="D62" t="n">
        <v>49</v>
      </c>
      <c r="E62" t="n">
        <v>14</v>
      </c>
      <c r="F62" t="inlineStr">
        <is>
          <t>T5-B0</t>
        </is>
      </c>
      <c r="G62" t="inlineStr">
        <is>
          <t>Không</t>
        </is>
      </c>
      <c r="H62" t="n">
        <v>71</v>
      </c>
      <c r="I62" t="inlineStr">
        <is>
          <t>T8-B3</t>
        </is>
      </c>
      <c r="J62" t="inlineStr">
        <is>
          <t>Không</t>
        </is>
      </c>
      <c r="K62" t="n">
        <v>85</v>
      </c>
      <c r="L62" t="inlineStr">
        <is>
          <t>T3-B8</t>
        </is>
      </c>
      <c r="M62" t="inlineStr">
        <is>
          <t>Không</t>
        </is>
      </c>
      <c r="N62" t="n">
        <v>1</v>
      </c>
      <c r="O62" t="inlineStr">
        <is>
          <t>T1-B6</t>
        </is>
      </c>
      <c r="P62" t="inlineStr">
        <is>
          <t>Trúng</t>
        </is>
      </c>
    </row>
    <row r="63">
      <c r="A63" t="n">
        <v>62</v>
      </c>
      <c r="B63" t="inlineStr">
        <is>
          <t>Thứ bảy ngày 07-03-2026</t>
        </is>
      </c>
      <c r="C63" t="n">
        <v>51951</v>
      </c>
      <c r="D63" t="n">
        <v>51</v>
      </c>
      <c r="E63" t="n">
        <v>43</v>
      </c>
      <c r="F63" t="inlineStr">
        <is>
          <t>T7-B2</t>
        </is>
      </c>
      <c r="G63" t="inlineStr">
        <is>
          <t>Không</t>
        </is>
      </c>
      <c r="H63" t="n">
        <v>21</v>
      </c>
      <c r="I63" t="inlineStr">
        <is>
          <t>T3-B8</t>
        </is>
      </c>
      <c r="J63" t="inlineStr">
        <is>
          <t>Không</t>
        </is>
      </c>
      <c r="K63" t="n">
        <v>64</v>
      </c>
      <c r="L63" t="inlineStr">
        <is>
          <t>T0-B5</t>
        </is>
      </c>
      <c r="M63" t="inlineStr">
        <is>
          <t>Không</t>
        </is>
      </c>
      <c r="N63" t="n">
        <v>83</v>
      </c>
      <c r="O63" t="inlineStr">
        <is>
          <t>T1-B6</t>
        </is>
      </c>
      <c r="P63" t="inlineStr">
        <is>
          <t>Không</t>
        </is>
      </c>
    </row>
    <row r="64">
      <c r="A64" t="n">
        <v>63</v>
      </c>
      <c r="B64" t="inlineStr">
        <is>
          <t>Chủ nhật ngày 08-03-2026</t>
        </is>
      </c>
      <c r="C64" t="n">
        <v>81336</v>
      </c>
      <c r="D64" t="n">
        <v>36</v>
      </c>
      <c r="E64" t="n">
        <v>74</v>
      </c>
      <c r="F64" t="inlineStr">
        <is>
          <t>T1-B6</t>
        </is>
      </c>
      <c r="G64" t="inlineStr">
        <is>
          <t>Không</t>
        </is>
      </c>
      <c r="H64" t="n">
        <v>27</v>
      </c>
      <c r="I64" t="inlineStr">
        <is>
          <t>T9-B4</t>
        </is>
      </c>
      <c r="J64" t="inlineStr">
        <is>
          <t>Không</t>
        </is>
      </c>
      <c r="K64" t="n">
        <v>24</v>
      </c>
      <c r="L64" t="inlineStr">
        <is>
          <t>T6-B1</t>
        </is>
      </c>
      <c r="M64" t="inlineStr">
        <is>
          <t>Không</t>
        </is>
      </c>
      <c r="N64" t="n">
        <v>42</v>
      </c>
      <c r="O64" t="inlineStr">
        <is>
          <t>T6-B1</t>
        </is>
      </c>
      <c r="P64" t="inlineStr">
        <is>
          <t>Không</t>
        </is>
      </c>
    </row>
    <row r="65">
      <c r="A65" t="n">
        <v>64</v>
      </c>
      <c r="B65" t="inlineStr">
        <is>
          <t>Thứ hai ngày 09-03-2026</t>
        </is>
      </c>
      <c r="C65" t="n">
        <v>90580</v>
      </c>
      <c r="D65" t="n">
        <v>80</v>
      </c>
      <c r="E65" t="n">
        <v>53</v>
      </c>
      <c r="F65" t="inlineStr">
        <is>
          <t>T8-B3</t>
        </is>
      </c>
      <c r="G65" t="inlineStr">
        <is>
          <t>Không</t>
        </is>
      </c>
      <c r="H65" t="n">
        <v>35</v>
      </c>
      <c r="I65" t="inlineStr">
        <is>
          <t>T8-B3</t>
        </is>
      </c>
      <c r="J65" t="inlineStr">
        <is>
          <t>Không</t>
        </is>
      </c>
      <c r="K65" t="n">
        <v>65</v>
      </c>
      <c r="L65" t="inlineStr">
        <is>
          <t>T1-B6</t>
        </is>
      </c>
      <c r="M65" t="inlineStr">
        <is>
          <t>Trúng</t>
        </is>
      </c>
      <c r="N65" t="n">
        <v>20</v>
      </c>
      <c r="O65" t="inlineStr">
        <is>
          <t>T2-B7</t>
        </is>
      </c>
      <c r="P65" t="inlineStr">
        <is>
          <t>Không</t>
        </is>
      </c>
    </row>
    <row r="66">
      <c r="A66" t="n">
        <v>65</v>
      </c>
      <c r="B66" t="inlineStr">
        <is>
          <t>Thứ ba ngày 10-03-2026</t>
        </is>
      </c>
      <c r="C66" t="n">
        <v>22342</v>
      </c>
      <c r="D66" t="n">
        <v>42</v>
      </c>
      <c r="E66" t="n">
        <v>37</v>
      </c>
      <c r="F66" t="inlineStr">
        <is>
          <t>T0-B5</t>
        </is>
      </c>
      <c r="G66" t="inlineStr">
        <is>
          <t>Không</t>
        </is>
      </c>
      <c r="H66" t="n">
        <v>95</v>
      </c>
      <c r="I66" t="inlineStr">
        <is>
          <t>T4-B9</t>
        </is>
      </c>
      <c r="J66" t="inlineStr">
        <is>
          <t>Trúng</t>
        </is>
      </c>
      <c r="K66" t="n">
        <v>78</v>
      </c>
      <c r="L66" t="inlineStr">
        <is>
          <t>T5-B0</t>
        </is>
      </c>
      <c r="M66" t="inlineStr">
        <is>
          <t>Không</t>
        </is>
      </c>
      <c r="N66" t="n">
        <v>51</v>
      </c>
      <c r="O66" t="inlineStr">
        <is>
          <t>T6-B1</t>
        </is>
      </c>
      <c r="P66" t="inlineStr">
        <is>
          <t>Không</t>
        </is>
      </c>
    </row>
    <row r="67">
      <c r="A67" t="n">
        <v>66</v>
      </c>
      <c r="B67" t="inlineStr">
        <is>
          <t>Thứ tư ngày 11-03-2026</t>
        </is>
      </c>
      <c r="C67" t="n">
        <v>30368</v>
      </c>
      <c r="D67" t="n">
        <v>68</v>
      </c>
      <c r="E67" t="n">
        <v>97</v>
      </c>
      <c r="F67" t="inlineStr">
        <is>
          <t>T6-B1</t>
        </is>
      </c>
      <c r="G67" t="inlineStr">
        <is>
          <t>Trúng</t>
        </is>
      </c>
      <c r="H67" t="n">
        <v>71</v>
      </c>
      <c r="I67" t="inlineStr">
        <is>
          <t>T8-B3</t>
        </is>
      </c>
      <c r="J67" t="inlineStr">
        <is>
          <t>Không</t>
        </is>
      </c>
      <c r="K67" t="n">
        <v>9</v>
      </c>
      <c r="L67" t="inlineStr">
        <is>
          <t>T9-B4</t>
        </is>
      </c>
      <c r="M67" t="inlineStr">
        <is>
          <t>Không</t>
        </is>
      </c>
      <c r="N67" t="n">
        <v>43</v>
      </c>
      <c r="O67" t="inlineStr">
        <is>
          <t>T7-B2</t>
        </is>
      </c>
      <c r="P67" t="inlineStr">
        <is>
          <t>Không</t>
        </is>
      </c>
    </row>
    <row r="68">
      <c r="A68" t="n">
        <v>67</v>
      </c>
      <c r="B68" t="inlineStr">
        <is>
          <t>Thứ năm ngày 12-03-2026</t>
        </is>
      </c>
      <c r="C68" t="n">
        <v>72124</v>
      </c>
      <c r="D68" t="n">
        <v>24</v>
      </c>
      <c r="E68" t="n">
        <v>90</v>
      </c>
      <c r="F68" t="inlineStr">
        <is>
          <t>T9-B4</t>
        </is>
      </c>
      <c r="G68" t="inlineStr">
        <is>
          <t>Trúng</t>
        </is>
      </c>
      <c r="H68" t="n">
        <v>8</v>
      </c>
      <c r="I68" t="inlineStr">
        <is>
          <t>T8-B3</t>
        </is>
      </c>
      <c r="J68" t="inlineStr">
        <is>
          <t>Không</t>
        </is>
      </c>
      <c r="K68" t="n">
        <v>64</v>
      </c>
      <c r="L68" t="inlineStr">
        <is>
          <t>T0-B5</t>
        </is>
      </c>
      <c r="M68" t="inlineStr">
        <is>
          <t>Không</t>
        </is>
      </c>
      <c r="N68" t="n">
        <v>59</v>
      </c>
      <c r="O68" t="inlineStr">
        <is>
          <t>T4-B9</t>
        </is>
      </c>
      <c r="P68" t="inlineStr">
        <is>
          <t>Trúng</t>
        </is>
      </c>
    </row>
    <row r="69">
      <c r="A69" t="n">
        <v>68</v>
      </c>
      <c r="B69" t="inlineStr">
        <is>
          <t>Thứ sáu ngày 13-03-2026</t>
        </is>
      </c>
      <c r="C69" t="n">
        <v>86759</v>
      </c>
      <c r="D69" t="n">
        <v>59</v>
      </c>
      <c r="E69" t="n">
        <v>88</v>
      </c>
      <c r="F69" t="inlineStr">
        <is>
          <t>T6-B1</t>
        </is>
      </c>
      <c r="G69" t="inlineStr">
        <is>
          <t>Không</t>
        </is>
      </c>
      <c r="H69" t="n">
        <v>90</v>
      </c>
      <c r="I69" t="inlineStr">
        <is>
          <t>T9-B4</t>
        </is>
      </c>
      <c r="J69" t="inlineStr">
        <is>
          <t>Không</t>
        </is>
      </c>
      <c r="K69" t="n">
        <v>10</v>
      </c>
      <c r="L69" t="inlineStr">
        <is>
          <t>T1-B6</t>
        </is>
      </c>
      <c r="M69" t="inlineStr">
        <is>
          <t>Không</t>
        </is>
      </c>
      <c r="N69" t="n">
        <v>65</v>
      </c>
      <c r="O69" t="inlineStr">
        <is>
          <t>T1-B6</t>
        </is>
      </c>
      <c r="P69" t="inlineStr">
        <is>
          <t>Không</t>
        </is>
      </c>
    </row>
    <row r="70">
      <c r="A70" t="n">
        <v>69</v>
      </c>
      <c r="B70" t="inlineStr">
        <is>
          <t>Thứ bảy ngày 14-03-2026</t>
        </is>
      </c>
      <c r="C70" t="n">
        <v>56848</v>
      </c>
      <c r="D70" t="n">
        <v>48</v>
      </c>
      <c r="E70" t="n">
        <v>52</v>
      </c>
      <c r="F70" t="inlineStr">
        <is>
          <t>T7-B2</t>
        </is>
      </c>
      <c r="G70" t="inlineStr">
        <is>
          <t>Trúng</t>
        </is>
      </c>
      <c r="H70" t="n">
        <v>55</v>
      </c>
      <c r="I70" t="inlineStr">
        <is>
          <t>T0-B5</t>
        </is>
      </c>
      <c r="J70" t="inlineStr">
        <is>
          <t>Không</t>
        </is>
      </c>
      <c r="K70" t="n">
        <v>92</v>
      </c>
      <c r="L70" t="inlineStr">
        <is>
          <t>T1-B6</t>
        </is>
      </c>
      <c r="M70" t="inlineStr">
        <is>
          <t>Không</t>
        </is>
      </c>
      <c r="N70" t="n">
        <v>91</v>
      </c>
      <c r="O70" t="inlineStr">
        <is>
          <t>T0-B5</t>
        </is>
      </c>
      <c r="P70" t="inlineStr">
        <is>
          <t>Không</t>
        </is>
      </c>
    </row>
    <row r="71">
      <c r="A71" t="n">
        <v>70</v>
      </c>
      <c r="B71" t="inlineStr">
        <is>
          <t>Chủ nhật ngày 15-03-2026</t>
        </is>
      </c>
      <c r="C71" t="n">
        <v>1770</v>
      </c>
      <c r="D71" t="n">
        <v>70</v>
      </c>
      <c r="E71" t="n">
        <v>68</v>
      </c>
      <c r="F71" t="inlineStr">
        <is>
          <t>T4-B9</t>
        </is>
      </c>
      <c r="G71" t="inlineStr">
        <is>
          <t>Không</t>
        </is>
      </c>
      <c r="H71" t="n">
        <v>84</v>
      </c>
      <c r="I71" t="inlineStr">
        <is>
          <t>T2-B7</t>
        </is>
      </c>
      <c r="J71" t="inlineStr">
        <is>
          <t>Trúng</t>
        </is>
      </c>
      <c r="K71" t="n">
        <v>38</v>
      </c>
      <c r="L71" t="inlineStr">
        <is>
          <t>T1-B6</t>
        </is>
      </c>
      <c r="M71" t="inlineStr">
        <is>
          <t>Không</t>
        </is>
      </c>
      <c r="N71" t="n">
        <v>76</v>
      </c>
      <c r="O71" t="inlineStr">
        <is>
          <t>T3-B8</t>
        </is>
      </c>
      <c r="P71" t="inlineStr">
        <is>
          <t>Không</t>
        </is>
      </c>
    </row>
    <row r="72">
      <c r="A72" t="n">
        <v>71</v>
      </c>
      <c r="B72" t="inlineStr">
        <is>
          <t>Thứ hai ngày 16-03-2026</t>
        </is>
      </c>
      <c r="C72" t="n">
        <v>77552</v>
      </c>
      <c r="D72" t="n">
        <v>52</v>
      </c>
      <c r="E72" t="n">
        <v>47</v>
      </c>
      <c r="F72" t="inlineStr">
        <is>
          <t>T1-B6</t>
        </is>
      </c>
      <c r="G72" t="inlineStr">
        <is>
          <t>Không</t>
        </is>
      </c>
      <c r="H72" t="n">
        <v>50</v>
      </c>
      <c r="I72" t="inlineStr">
        <is>
          <t>T5-B0</t>
        </is>
      </c>
      <c r="J72" t="inlineStr">
        <is>
          <t>Trúng</t>
        </is>
      </c>
      <c r="K72" t="n">
        <v>39</v>
      </c>
      <c r="L72" t="inlineStr">
        <is>
          <t>T2-B7</t>
        </is>
      </c>
      <c r="M72" t="inlineStr">
        <is>
          <t>Không</t>
        </is>
      </c>
      <c r="N72" t="n">
        <v>28</v>
      </c>
      <c r="O72" t="inlineStr">
        <is>
          <t>T0-B5</t>
        </is>
      </c>
      <c r="P72" t="inlineStr">
        <is>
          <t>Trúng</t>
        </is>
      </c>
    </row>
    <row r="73">
      <c r="A73" t="n">
        <v>72</v>
      </c>
      <c r="B73" t="inlineStr">
        <is>
          <t>Thứ ba ngày 17-03-2026</t>
        </is>
      </c>
      <c r="C73" t="n">
        <v>7969</v>
      </c>
      <c r="D73" t="n">
        <v>69</v>
      </c>
      <c r="E73" t="n">
        <v>90</v>
      </c>
      <c r="F73" t="inlineStr">
        <is>
          <t>T9-B4</t>
        </is>
      </c>
      <c r="G73" t="inlineStr">
        <is>
          <t>Không</t>
        </is>
      </c>
      <c r="H73" t="n">
        <v>22</v>
      </c>
      <c r="I73" t="inlineStr">
        <is>
          <t>T4-B9</t>
        </is>
      </c>
      <c r="J73" t="inlineStr">
        <is>
          <t>Không</t>
        </is>
      </c>
      <c r="K73" t="n">
        <v>75</v>
      </c>
      <c r="L73" t="inlineStr">
        <is>
          <t>T2-B7</t>
        </is>
      </c>
      <c r="M73" t="inlineStr">
        <is>
          <t>Không</t>
        </is>
      </c>
      <c r="N73" t="n">
        <v>93</v>
      </c>
      <c r="O73" t="inlineStr">
        <is>
          <t>T2-B7</t>
        </is>
      </c>
      <c r="P73" t="inlineStr">
        <is>
          <t>Không</t>
        </is>
      </c>
    </row>
    <row r="74">
      <c r="A74" t="n">
        <v>73</v>
      </c>
      <c r="B74" t="inlineStr">
        <is>
          <t>Thứ tư ngày 18-03-2026</t>
        </is>
      </c>
      <c r="C74" t="n">
        <v>25287</v>
      </c>
      <c r="D74" t="n">
        <v>87</v>
      </c>
      <c r="E74" t="n">
        <v>57</v>
      </c>
      <c r="F74" t="inlineStr">
        <is>
          <t>T2-B7</t>
        </is>
      </c>
      <c r="G74" t="inlineStr">
        <is>
          <t>Không</t>
        </is>
      </c>
      <c r="H74" t="n">
        <v>16</v>
      </c>
      <c r="I74" t="inlineStr">
        <is>
          <t>T7-B2</t>
        </is>
      </c>
      <c r="J74" t="inlineStr">
        <is>
          <t>Không</t>
        </is>
      </c>
      <c r="K74" t="n">
        <v>30</v>
      </c>
      <c r="L74" t="inlineStr">
        <is>
          <t>T3-B8</t>
        </is>
      </c>
      <c r="M74" t="inlineStr">
        <is>
          <t>Không</t>
        </is>
      </c>
      <c r="N74" t="n">
        <v>29</v>
      </c>
      <c r="O74" t="inlineStr">
        <is>
          <t>T1-B6</t>
        </is>
      </c>
      <c r="P74" t="inlineStr">
        <is>
          <t>Không</t>
        </is>
      </c>
    </row>
    <row r="75">
      <c r="A75" t="n">
        <v>74</v>
      </c>
      <c r="B75" t="inlineStr">
        <is>
          <t>Thứ năm ngày 19-03-2026</t>
        </is>
      </c>
      <c r="C75" t="n">
        <v>75495</v>
      </c>
      <c r="D75" t="n">
        <v>95</v>
      </c>
      <c r="E75" t="n">
        <v>56</v>
      </c>
      <c r="F75" t="inlineStr">
        <is>
          <t>T1-B6</t>
        </is>
      </c>
      <c r="G75" t="inlineStr">
        <is>
          <t>Trúng</t>
        </is>
      </c>
      <c r="H75" t="n">
        <v>52</v>
      </c>
      <c r="I75" t="inlineStr">
        <is>
          <t>T7-B2</t>
        </is>
      </c>
      <c r="J75" t="inlineStr">
        <is>
          <t>Không</t>
        </is>
      </c>
      <c r="K75" t="n">
        <v>6</v>
      </c>
      <c r="L75" t="inlineStr">
        <is>
          <t>T6-B1</t>
        </is>
      </c>
      <c r="M75" t="inlineStr">
        <is>
          <t>Trúng</t>
        </is>
      </c>
      <c r="N75" t="n">
        <v>41</v>
      </c>
      <c r="O75" t="inlineStr">
        <is>
          <t>T5-B0</t>
        </is>
      </c>
      <c r="P75" t="inlineStr">
        <is>
          <t>Không</t>
        </is>
      </c>
    </row>
    <row r="76">
      <c r="A76" t="n">
        <v>75</v>
      </c>
      <c r="B76" t="inlineStr">
        <is>
          <t>Thứ sáu ngày 20-03-2026</t>
        </is>
      </c>
      <c r="C76" t="n">
        <v>81124</v>
      </c>
      <c r="D76" t="n">
        <v>24</v>
      </c>
      <c r="E76" t="n">
        <v>57</v>
      </c>
      <c r="F76" t="inlineStr">
        <is>
          <t>T2-B7</t>
        </is>
      </c>
      <c r="G76" t="inlineStr">
        <is>
          <t>Không</t>
        </is>
      </c>
      <c r="H76" t="n">
        <v>44</v>
      </c>
      <c r="I76" t="inlineStr">
        <is>
          <t>T8-B3</t>
        </is>
      </c>
      <c r="J76" t="inlineStr">
        <is>
          <t>Trúng</t>
        </is>
      </c>
      <c r="K76" t="n">
        <v>80</v>
      </c>
      <c r="L76" t="inlineStr">
        <is>
          <t>T8-B3</t>
        </is>
      </c>
      <c r="M76" t="inlineStr">
        <is>
          <t>Trúng</t>
        </is>
      </c>
      <c r="N76" t="n">
        <v>32</v>
      </c>
      <c r="O76" t="inlineStr">
        <is>
          <t>T5-B0</t>
        </is>
      </c>
      <c r="P76" t="inlineStr">
        <is>
          <t>Không</t>
        </is>
      </c>
    </row>
    <row r="77">
      <c r="A77" t="n">
        <v>76</v>
      </c>
      <c r="B77" t="inlineStr">
        <is>
          <t>Thứ bảy ngày 21-03-2026</t>
        </is>
      </c>
      <c r="C77" t="n">
        <v>88594</v>
      </c>
      <c r="D77" t="n">
        <v>94</v>
      </c>
      <c r="E77" t="n">
        <v>92</v>
      </c>
      <c r="F77" t="inlineStr">
        <is>
          <t>T1-B6</t>
        </is>
      </c>
      <c r="G77" t="inlineStr">
        <is>
          <t>Không</t>
        </is>
      </c>
      <c r="H77" t="n">
        <v>26</v>
      </c>
      <c r="I77" t="inlineStr">
        <is>
          <t>T8-B3</t>
        </is>
      </c>
      <c r="J77" t="inlineStr">
        <is>
          <t>Không</t>
        </is>
      </c>
      <c r="K77" t="n">
        <v>43</v>
      </c>
      <c r="L77" t="inlineStr">
        <is>
          <t>T7-B2</t>
        </is>
      </c>
      <c r="M77" t="inlineStr">
        <is>
          <t>Không</t>
        </is>
      </c>
      <c r="N77" t="n">
        <v>5</v>
      </c>
      <c r="O77" t="inlineStr">
        <is>
          <t>T5-B0</t>
        </is>
      </c>
      <c r="P77" t="inlineStr">
        <is>
          <t>Trúng</t>
        </is>
      </c>
    </row>
    <row r="78">
      <c r="A78" t="n">
        <v>77</v>
      </c>
      <c r="B78" t="inlineStr">
        <is>
          <t>Chủ nhật ngày 22-03-2026</t>
        </is>
      </c>
      <c r="C78" t="n">
        <v>58646</v>
      </c>
      <c r="D78" t="n">
        <v>46</v>
      </c>
      <c r="E78" t="n">
        <v>80</v>
      </c>
      <c r="F78" t="inlineStr">
        <is>
          <t>T8-B3</t>
        </is>
      </c>
      <c r="G78" t="inlineStr">
        <is>
          <t>Không</t>
        </is>
      </c>
      <c r="H78" t="n">
        <v>11</v>
      </c>
      <c r="I78" t="inlineStr">
        <is>
          <t>T2-B7</t>
        </is>
      </c>
      <c r="J78" t="inlineStr">
        <is>
          <t>Không</t>
        </is>
      </c>
      <c r="K78" t="n">
        <v>24</v>
      </c>
      <c r="L78" t="inlineStr">
        <is>
          <t>T6-B1</t>
        </is>
      </c>
      <c r="M78" t="inlineStr">
        <is>
          <t>Không</t>
        </is>
      </c>
      <c r="N78" t="n">
        <v>39</v>
      </c>
      <c r="O78" t="inlineStr">
        <is>
          <t>T2-B7</t>
        </is>
      </c>
      <c r="P78" t="inlineStr">
        <is>
          <t>Không</t>
        </is>
      </c>
    </row>
    <row r="79">
      <c r="A79" t="n">
        <v>78</v>
      </c>
      <c r="B79" t="inlineStr">
        <is>
          <t>Thứ hai ngày 23-03-2026</t>
        </is>
      </c>
      <c r="C79" t="n">
        <v>77514</v>
      </c>
      <c r="D79" t="n">
        <v>14</v>
      </c>
      <c r="E79" t="n">
        <v>89</v>
      </c>
      <c r="F79" t="inlineStr">
        <is>
          <t>T7-B2</t>
        </is>
      </c>
      <c r="G79" t="inlineStr">
        <is>
          <t>Không</t>
        </is>
      </c>
      <c r="H79" t="n">
        <v>44</v>
      </c>
      <c r="I79" t="inlineStr">
        <is>
          <t>T8-B3</t>
        </is>
      </c>
      <c r="J79" t="inlineStr">
        <is>
          <t>Không</t>
        </is>
      </c>
      <c r="K79" t="n">
        <v>29</v>
      </c>
      <c r="L79" t="inlineStr">
        <is>
          <t>T1-B6</t>
        </is>
      </c>
      <c r="M79" t="inlineStr">
        <is>
          <t>Trúng</t>
        </is>
      </c>
      <c r="N79" t="n">
        <v>28</v>
      </c>
      <c r="O79" t="inlineStr">
        <is>
          <t>T0-B5</t>
        </is>
      </c>
      <c r="P79" t="inlineStr">
        <is>
          <t>Không</t>
        </is>
      </c>
    </row>
    <row r="80">
      <c r="A80" t="n">
        <v>79</v>
      </c>
      <c r="B80" t="inlineStr">
        <is>
          <t>Thứ ba ngày 24-03-2026</t>
        </is>
      </c>
      <c r="C80" t="n">
        <v>3829</v>
      </c>
      <c r="D80" t="n">
        <v>29</v>
      </c>
      <c r="E80" t="n">
        <v>7</v>
      </c>
      <c r="F80" t="inlineStr">
        <is>
          <t>T7-B2</t>
        </is>
      </c>
      <c r="G80" t="inlineStr">
        <is>
          <t>Không</t>
        </is>
      </c>
      <c r="H80" t="n">
        <v>96</v>
      </c>
      <c r="I80" t="inlineStr">
        <is>
          <t>T5-B0</t>
        </is>
      </c>
      <c r="J80" t="inlineStr">
        <is>
          <t>Không</t>
        </is>
      </c>
      <c r="K80" t="n">
        <v>47</v>
      </c>
      <c r="L80" t="inlineStr">
        <is>
          <t>T1-B6</t>
        </is>
      </c>
      <c r="M80" t="inlineStr">
        <is>
          <t>Trúng</t>
        </is>
      </c>
      <c r="N80" t="n">
        <v>40</v>
      </c>
      <c r="O80" t="inlineStr">
        <is>
          <t>T4-B9</t>
        </is>
      </c>
      <c r="P80" t="inlineStr">
        <is>
          <t>Không</t>
        </is>
      </c>
    </row>
    <row r="81">
      <c r="A81" t="n">
        <v>80</v>
      </c>
      <c r="B81" t="inlineStr">
        <is>
          <t>Thứ tư ngày 25-03-2026</t>
        </is>
      </c>
      <c r="C81" t="n">
        <v>53988</v>
      </c>
      <c r="D81" t="n">
        <v>88</v>
      </c>
      <c r="E81" t="n">
        <v>24</v>
      </c>
      <c r="F81" t="inlineStr">
        <is>
          <t>T6-B1</t>
        </is>
      </c>
      <c r="G81" t="inlineStr">
        <is>
          <t>Không</t>
        </is>
      </c>
      <c r="H81" t="n">
        <v>74</v>
      </c>
      <c r="I81" t="inlineStr">
        <is>
          <t>T1-B6</t>
        </is>
      </c>
      <c r="J81" t="inlineStr">
        <is>
          <t>Không</t>
        </is>
      </c>
      <c r="K81" t="n">
        <v>0</v>
      </c>
      <c r="L81" t="inlineStr">
        <is>
          <t>T0-B5</t>
        </is>
      </c>
      <c r="M81" t="inlineStr">
        <is>
          <t>Không</t>
        </is>
      </c>
      <c r="N81" t="n">
        <v>95</v>
      </c>
      <c r="O81" t="inlineStr">
        <is>
          <t>T4-B9</t>
        </is>
      </c>
      <c r="P81" t="inlineStr">
        <is>
          <t>Không</t>
        </is>
      </c>
    </row>
    <row r="82">
      <c r="A82" t="n">
        <v>81</v>
      </c>
      <c r="B82" t="inlineStr">
        <is>
          <t>Thứ năm ngày 26-03-2026</t>
        </is>
      </c>
      <c r="C82" t="n">
        <v>44693</v>
      </c>
      <c r="D82" t="n">
        <v>93</v>
      </c>
      <c r="E82" t="n">
        <v>11</v>
      </c>
      <c r="F82" t="inlineStr">
        <is>
          <t>T2-B7</t>
        </is>
      </c>
      <c r="G82" t="inlineStr">
        <is>
          <t>Không</t>
        </is>
      </c>
      <c r="H82" t="n">
        <v>95</v>
      </c>
      <c r="I82" t="inlineStr">
        <is>
          <t>T4-B9</t>
        </is>
      </c>
      <c r="J82" t="inlineStr">
        <is>
          <t>Không</t>
        </is>
      </c>
      <c r="K82" t="n">
        <v>82</v>
      </c>
      <c r="L82" t="inlineStr">
        <is>
          <t>T0-B5</t>
        </is>
      </c>
      <c r="M82" t="inlineStr">
        <is>
          <t>Trúng</t>
        </is>
      </c>
      <c r="N82" t="n">
        <v>49</v>
      </c>
      <c r="O82" t="inlineStr">
        <is>
          <t>T3-B8</t>
        </is>
      </c>
      <c r="P82" t="inlineStr">
        <is>
          <t>Không</t>
        </is>
      </c>
    </row>
    <row r="83">
      <c r="A83" t="n">
        <v>82</v>
      </c>
      <c r="B83" t="inlineStr">
        <is>
          <t>Thứ sáu ngày 27-03-2026</t>
        </is>
      </c>
      <c r="C83" t="n">
        <v>61332</v>
      </c>
      <c r="D83" t="n">
        <v>32</v>
      </c>
      <c r="E83" t="n">
        <v>16</v>
      </c>
      <c r="F83" t="inlineStr">
        <is>
          <t>T7-B2</t>
        </is>
      </c>
      <c r="G83" t="inlineStr">
        <is>
          <t>Không</t>
        </is>
      </c>
      <c r="H83" t="n">
        <v>10</v>
      </c>
      <c r="I83" t="inlineStr">
        <is>
          <t>T1-B6</t>
        </is>
      </c>
      <c r="J83" t="inlineStr">
        <is>
          <t>Không</t>
        </is>
      </c>
      <c r="K83" t="n">
        <v>4</v>
      </c>
      <c r="L83" t="inlineStr">
        <is>
          <t>T4-B9</t>
        </is>
      </c>
      <c r="M83" t="inlineStr">
        <is>
          <t>Trúng</t>
        </is>
      </c>
      <c r="N83" t="n">
        <v>65</v>
      </c>
      <c r="O83" t="inlineStr">
        <is>
          <t>T1-B6</t>
        </is>
      </c>
      <c r="P83" t="inlineStr">
        <is>
          <t>Không</t>
        </is>
      </c>
    </row>
    <row r="84">
      <c r="A84" t="n">
        <v>83</v>
      </c>
      <c r="B84" t="inlineStr">
        <is>
          <t>Thứ bảy ngày 28-03-2026</t>
        </is>
      </c>
      <c r="C84" t="n">
        <v>96422</v>
      </c>
      <c r="D84" t="n">
        <v>22</v>
      </c>
      <c r="E84" t="n">
        <v>9</v>
      </c>
      <c r="F84" t="inlineStr">
        <is>
          <t>T9-B4</t>
        </is>
      </c>
      <c r="G84" t="inlineStr">
        <is>
          <t>Không</t>
        </is>
      </c>
      <c r="H84" t="n">
        <v>61</v>
      </c>
      <c r="I84" t="inlineStr">
        <is>
          <t>T7-B2</t>
        </is>
      </c>
      <c r="J84" t="inlineStr">
        <is>
          <t>Không</t>
        </is>
      </c>
      <c r="K84" t="n">
        <v>76</v>
      </c>
      <c r="L84" t="inlineStr">
        <is>
          <t>T3-B8</t>
        </is>
      </c>
      <c r="M84" t="inlineStr">
        <is>
          <t>Không</t>
        </is>
      </c>
      <c r="N84" t="n">
        <v>18</v>
      </c>
      <c r="O84" t="inlineStr">
        <is>
          <t>T9-B4</t>
        </is>
      </c>
      <c r="P84" t="inlineStr">
        <is>
          <t>Không</t>
        </is>
      </c>
    </row>
    <row r="85">
      <c r="A85" t="n">
        <v>84</v>
      </c>
      <c r="B85" t="inlineStr">
        <is>
          <t>Chủ nhật ngày 29-03-2026</t>
        </is>
      </c>
      <c r="C85" t="n">
        <v>37188</v>
      </c>
      <c r="D85" t="n">
        <v>88</v>
      </c>
      <c r="E85" t="n">
        <v>86</v>
      </c>
      <c r="F85" t="inlineStr">
        <is>
          <t>T4-B9</t>
        </is>
      </c>
      <c r="G85" t="inlineStr">
        <is>
          <t>Không</t>
        </is>
      </c>
      <c r="H85" t="n">
        <v>6</v>
      </c>
      <c r="I85" t="inlineStr">
        <is>
          <t>T6-B1</t>
        </is>
      </c>
      <c r="J85" t="inlineStr">
        <is>
          <t>Không</t>
        </is>
      </c>
      <c r="K85" t="n">
        <v>13</v>
      </c>
      <c r="L85" t="inlineStr">
        <is>
          <t>T4-B9</t>
        </is>
      </c>
      <c r="M85" t="inlineStr">
        <is>
          <t>Không</t>
        </is>
      </c>
      <c r="N85" t="n">
        <v>81</v>
      </c>
      <c r="O85" t="inlineStr">
        <is>
          <t>T9-B4</t>
        </is>
      </c>
      <c r="P85" t="inlineStr">
        <is>
          <t>Không</t>
        </is>
      </c>
    </row>
    <row r="86">
      <c r="A86" t="n">
        <v>85</v>
      </c>
      <c r="B86" t="inlineStr">
        <is>
          <t>Thứ hai ngày 30-03-2026</t>
        </is>
      </c>
      <c r="C86" t="n">
        <v>64464</v>
      </c>
      <c r="D86" t="n">
        <v>64</v>
      </c>
      <c r="E86" t="n">
        <v>20</v>
      </c>
      <c r="F86" t="inlineStr">
        <is>
          <t>T2-B7</t>
        </is>
      </c>
      <c r="G86" t="inlineStr">
        <is>
          <t>Không</t>
        </is>
      </c>
      <c r="H86" t="n">
        <v>34</v>
      </c>
      <c r="I86" t="inlineStr">
        <is>
          <t>T7-B2</t>
        </is>
      </c>
      <c r="J86" t="inlineStr">
        <is>
          <t>Không</t>
        </is>
      </c>
      <c r="K86" t="n">
        <v>7</v>
      </c>
      <c r="L86" t="inlineStr">
        <is>
          <t>T7-B2</t>
        </is>
      </c>
      <c r="M86" t="inlineStr">
        <is>
          <t>Không</t>
        </is>
      </c>
      <c r="N86" t="n">
        <v>62</v>
      </c>
      <c r="O86" t="inlineStr">
        <is>
          <t>T8-B3</t>
        </is>
      </c>
      <c r="P86" t="inlineStr">
        <is>
          <t>Không</t>
        </is>
      </c>
    </row>
    <row r="87">
      <c r="A87" t="n">
        <v>86</v>
      </c>
      <c r="B87" t="inlineStr">
        <is>
          <t>Thứ ba ngày 31-03-2026</t>
        </is>
      </c>
      <c r="C87" t="n">
        <v>11591</v>
      </c>
      <c r="D87" t="n">
        <v>91</v>
      </c>
      <c r="E87" t="n">
        <v>70</v>
      </c>
      <c r="F87" t="inlineStr">
        <is>
          <t>T7-B2</t>
        </is>
      </c>
      <c r="G87" t="inlineStr">
        <is>
          <t>Trúng</t>
        </is>
      </c>
      <c r="H87" t="n">
        <v>18</v>
      </c>
      <c r="I87" t="inlineStr">
        <is>
          <t>T9-B4</t>
        </is>
      </c>
      <c r="J87" t="inlineStr">
        <is>
          <t>Không</t>
        </is>
      </c>
      <c r="K87" t="n">
        <v>23</v>
      </c>
      <c r="L87" t="inlineStr">
        <is>
          <t>T5-B0</t>
        </is>
      </c>
      <c r="M87" t="inlineStr">
        <is>
          <t>Không</t>
        </is>
      </c>
      <c r="N87" t="n">
        <v>78</v>
      </c>
      <c r="O87" t="inlineStr">
        <is>
          <t>T5-B0</t>
        </is>
      </c>
      <c r="P87" t="inlineStr">
        <is>
          <t>Không</t>
        </is>
      </c>
    </row>
    <row r="88">
      <c r="A88" t="n">
        <v>87</v>
      </c>
      <c r="B88" t="inlineStr">
        <is>
          <t>Thứ tư ngày 01-04-2026</t>
        </is>
      </c>
      <c r="C88" t="n">
        <v>31666</v>
      </c>
      <c r="D88" t="n">
        <v>66</v>
      </c>
      <c r="E88" t="n">
        <v>37</v>
      </c>
      <c r="F88" t="inlineStr">
        <is>
          <t>T0-B5</t>
        </is>
      </c>
      <c r="G88" t="inlineStr">
        <is>
          <t>Không</t>
        </is>
      </c>
      <c r="H88" t="n">
        <v>16</v>
      </c>
      <c r="I88" t="inlineStr">
        <is>
          <t>T7-B2</t>
        </is>
      </c>
      <c r="J88" t="inlineStr">
        <is>
          <t>Không</t>
        </is>
      </c>
      <c r="K88" t="n">
        <v>52</v>
      </c>
      <c r="L88" t="inlineStr">
        <is>
          <t>T7-B2</t>
        </is>
      </c>
      <c r="M88" t="inlineStr">
        <is>
          <t>Không</t>
        </is>
      </c>
      <c r="N88" t="n">
        <v>20</v>
      </c>
      <c r="O88" t="inlineStr">
        <is>
          <t>T2-B7</t>
        </is>
      </c>
      <c r="P88" t="inlineStr">
        <is>
          <t>Không</t>
        </is>
      </c>
    </row>
    <row r="89">
      <c r="A89" t="n">
        <v>88</v>
      </c>
      <c r="B89" t="inlineStr">
        <is>
          <t>Thứ năm ngày 02-04-2026</t>
        </is>
      </c>
      <c r="C89" t="n">
        <v>91267</v>
      </c>
      <c r="D89" t="n">
        <v>67</v>
      </c>
      <c r="E89" t="n">
        <v>39</v>
      </c>
      <c r="F89" t="inlineStr">
        <is>
          <t>T2-B7</t>
        </is>
      </c>
      <c r="G89" t="inlineStr">
        <is>
          <t>Không</t>
        </is>
      </c>
      <c r="H89" t="n">
        <v>95</v>
      </c>
      <c r="I89" t="inlineStr">
        <is>
          <t>T4-B9</t>
        </is>
      </c>
      <c r="J89" t="inlineStr">
        <is>
          <t>Không</t>
        </is>
      </c>
      <c r="K89" t="n">
        <v>40</v>
      </c>
      <c r="L89" t="inlineStr">
        <is>
          <t>T4-B9</t>
        </is>
      </c>
      <c r="M89" t="inlineStr">
        <is>
          <t>Không</t>
        </is>
      </c>
      <c r="N89" t="n">
        <v>93</v>
      </c>
      <c r="O89" t="inlineStr">
        <is>
          <t>T2-B7</t>
        </is>
      </c>
      <c r="P89" t="inlineStr">
        <is>
          <t>Không</t>
        </is>
      </c>
    </row>
    <row r="90">
      <c r="A90" t="n">
        <v>89</v>
      </c>
      <c r="B90" t="inlineStr">
        <is>
          <t>Thứ sáu ngày 03-04-2026</t>
        </is>
      </c>
      <c r="C90" t="n">
        <v>12944</v>
      </c>
      <c r="D90" t="n">
        <v>44</v>
      </c>
      <c r="E90" t="n">
        <v>86</v>
      </c>
      <c r="F90" t="inlineStr">
        <is>
          <t>T4-B9</t>
        </is>
      </c>
      <c r="G90" t="inlineStr">
        <is>
          <t>Không</t>
        </is>
      </c>
      <c r="H90" t="n">
        <v>15</v>
      </c>
      <c r="I90" t="inlineStr">
        <is>
          <t>T6-B1</t>
        </is>
      </c>
      <c r="J90" t="inlineStr">
        <is>
          <t>Không</t>
        </is>
      </c>
      <c r="K90" t="n">
        <v>29</v>
      </c>
      <c r="L90" t="inlineStr">
        <is>
          <t>T1-B6</t>
        </is>
      </c>
      <c r="M90" t="inlineStr">
        <is>
          <t>Không</t>
        </is>
      </c>
      <c r="N90" t="n">
        <v>54</v>
      </c>
      <c r="O90" t="inlineStr">
        <is>
          <t>T9-B4</t>
        </is>
      </c>
      <c r="P90" t="inlineStr">
        <is>
          <t>Không</t>
        </is>
      </c>
    </row>
    <row r="91">
      <c r="A91" t="n">
        <v>90</v>
      </c>
      <c r="B91" t="inlineStr">
        <is>
          <t>Thứ bảy ngày 04-04-2026</t>
        </is>
      </c>
      <c r="C91" t="n">
        <v>29737</v>
      </c>
      <c r="D91" t="n">
        <v>37</v>
      </c>
      <c r="E91" t="n">
        <v>59</v>
      </c>
      <c r="F91" t="inlineStr">
        <is>
          <t>T4-B9</t>
        </is>
      </c>
      <c r="G91" t="inlineStr">
        <is>
          <t>Không</t>
        </is>
      </c>
      <c r="H91" t="n">
        <v>48</v>
      </c>
      <c r="I91" t="inlineStr">
        <is>
          <t>T2-B7</t>
        </is>
      </c>
      <c r="J91" t="inlineStr">
        <is>
          <t>Không</t>
        </is>
      </c>
      <c r="K91" t="n">
        <v>40</v>
      </c>
      <c r="L91" t="inlineStr">
        <is>
          <t>T4-B9</t>
        </is>
      </c>
      <c r="M91" t="inlineStr">
        <is>
          <t>Không</t>
        </is>
      </c>
      <c r="N91" t="n">
        <v>41</v>
      </c>
      <c r="O91" t="inlineStr">
        <is>
          <t>T5-B0</t>
        </is>
      </c>
      <c r="P91" t="inlineStr">
        <is>
          <t>Trúng</t>
        </is>
      </c>
    </row>
    <row r="92">
      <c r="A92" t="n">
        <v>91</v>
      </c>
      <c r="B92" t="inlineStr">
        <is>
          <t>Chủ nhật ngày 05-04-2026</t>
        </is>
      </c>
      <c r="C92" t="n">
        <v>2855</v>
      </c>
      <c r="D92" t="n">
        <v>55</v>
      </c>
      <c r="E92" t="n">
        <v>41</v>
      </c>
      <c r="F92" t="inlineStr">
        <is>
          <t>T5-B0</t>
        </is>
      </c>
      <c r="G92" t="inlineStr">
        <is>
          <t>Không</t>
        </is>
      </c>
      <c r="H92" t="n">
        <v>61</v>
      </c>
      <c r="I92" t="inlineStr">
        <is>
          <t>T7-B2</t>
        </is>
      </c>
      <c r="J92" t="inlineStr">
        <is>
          <t>Không</t>
        </is>
      </c>
      <c r="K92" t="n">
        <v>73</v>
      </c>
      <c r="L92" t="inlineStr">
        <is>
          <t>T0-B5</t>
        </is>
      </c>
      <c r="M92" t="inlineStr">
        <is>
          <t>Không</t>
        </is>
      </c>
      <c r="N92" t="n">
        <v>89</v>
      </c>
      <c r="O92" t="inlineStr">
        <is>
          <t>T7-B2</t>
        </is>
      </c>
      <c r="P92" t="inlineStr">
        <is>
          <t>Không</t>
        </is>
      </c>
    </row>
    <row r="93">
      <c r="A93" t="n">
        <v>92</v>
      </c>
      <c r="B93" t="inlineStr">
        <is>
          <t>Thứ hai ngày 06-04-2026</t>
        </is>
      </c>
      <c r="C93" t="n">
        <v>76406</v>
      </c>
      <c r="D93" t="n">
        <v>6</v>
      </c>
      <c r="E93" t="n">
        <v>65</v>
      </c>
      <c r="F93" t="inlineStr">
        <is>
          <t>T1-B6</t>
        </is>
      </c>
      <c r="G93" t="inlineStr">
        <is>
          <t>Không</t>
        </is>
      </c>
      <c r="H93" t="n">
        <v>33</v>
      </c>
      <c r="I93" t="inlineStr">
        <is>
          <t>T6-B1</t>
        </is>
      </c>
      <c r="J93" t="inlineStr">
        <is>
          <t>Không</t>
        </is>
      </c>
      <c r="K93" t="n">
        <v>91</v>
      </c>
      <c r="L93" t="inlineStr">
        <is>
          <t>T0-B5</t>
        </is>
      </c>
      <c r="M93" t="inlineStr">
        <is>
          <t>Trúng</t>
        </is>
      </c>
      <c r="N93" t="n">
        <v>26</v>
      </c>
      <c r="O93" t="inlineStr">
        <is>
          <t>T8-B3</t>
        </is>
      </c>
      <c r="P93" t="inlineStr">
        <is>
          <t>Không</t>
        </is>
      </c>
    </row>
    <row r="94">
      <c r="A94" t="n">
        <v>93</v>
      </c>
      <c r="B94" t="inlineStr">
        <is>
          <t>Thứ ba ngày 07-04-2026</t>
        </is>
      </c>
      <c r="C94" t="n">
        <v>2382</v>
      </c>
      <c r="D94" t="n">
        <v>82</v>
      </c>
      <c r="E94" t="n">
        <v>85</v>
      </c>
      <c r="F94" t="inlineStr">
        <is>
          <t>T3-B8</t>
        </is>
      </c>
      <c r="G94" t="inlineStr">
        <is>
          <t>Không</t>
        </is>
      </c>
      <c r="H94" t="n">
        <v>72</v>
      </c>
      <c r="I94" t="inlineStr">
        <is>
          <t>T9-B4</t>
        </is>
      </c>
      <c r="J94" t="inlineStr">
        <is>
          <t>Không</t>
        </is>
      </c>
      <c r="K94" t="n">
        <v>10</v>
      </c>
      <c r="L94" t="inlineStr">
        <is>
          <t>T1-B6</t>
        </is>
      </c>
      <c r="M94" t="inlineStr">
        <is>
          <t>Không</t>
        </is>
      </c>
      <c r="N94" t="n">
        <v>77</v>
      </c>
      <c r="O94" t="inlineStr">
        <is>
          <t>T4-B9</t>
        </is>
      </c>
      <c r="P94" t="inlineStr">
        <is>
          <t>Không</t>
        </is>
      </c>
    </row>
    <row r="95">
      <c r="A95" t="n">
        <v>94</v>
      </c>
      <c r="B95" t="inlineStr">
        <is>
          <t>Thứ tư ngày 08-04-2026</t>
        </is>
      </c>
      <c r="C95" t="n">
        <v>27450</v>
      </c>
      <c r="D95" t="n">
        <v>50</v>
      </c>
      <c r="E95" t="n">
        <v>60</v>
      </c>
      <c r="F95" t="inlineStr">
        <is>
          <t>T6-B1</t>
        </is>
      </c>
      <c r="G95" t="inlineStr">
        <is>
          <t>Không</t>
        </is>
      </c>
      <c r="H95" t="n">
        <v>94</v>
      </c>
      <c r="I95" t="inlineStr">
        <is>
          <t>T3-B8</t>
        </is>
      </c>
      <c r="J95" t="inlineStr">
        <is>
          <t>Không</t>
        </is>
      </c>
      <c r="K95" t="n">
        <v>0</v>
      </c>
      <c r="L95" t="inlineStr">
        <is>
          <t>T0-B5</t>
        </is>
      </c>
      <c r="M95" t="inlineStr">
        <is>
          <t>Không</t>
        </is>
      </c>
      <c r="N95" t="n">
        <v>26</v>
      </c>
      <c r="O95" t="inlineStr">
        <is>
          <t>T8-B3</t>
        </is>
      </c>
      <c r="P95" t="inlineStr">
        <is>
          <t>Không</t>
        </is>
      </c>
    </row>
    <row r="96">
      <c r="A96" t="n">
        <v>95</v>
      </c>
      <c r="B96" t="inlineStr">
        <is>
          <t>Thứ năm ngày 09-04-2026</t>
        </is>
      </c>
      <c r="C96" t="n">
        <v>45625</v>
      </c>
      <c r="D96" t="n">
        <v>25</v>
      </c>
      <c r="E96" t="n">
        <v>32</v>
      </c>
      <c r="F96" t="inlineStr">
        <is>
          <t>T5-B0</t>
        </is>
      </c>
      <c r="G96" t="inlineStr">
        <is>
          <t>Không</t>
        </is>
      </c>
      <c r="H96" t="n">
        <v>41</v>
      </c>
      <c r="I96" t="inlineStr">
        <is>
          <t>T5-B0</t>
        </is>
      </c>
      <c r="J96" t="inlineStr">
        <is>
          <t>Không</t>
        </is>
      </c>
      <c r="K96" t="n">
        <v>72</v>
      </c>
      <c r="L96" t="inlineStr">
        <is>
          <t>T9-B4</t>
        </is>
      </c>
      <c r="M96" t="inlineStr">
        <is>
          <t>Không</t>
        </is>
      </c>
      <c r="N96" t="n">
        <v>84</v>
      </c>
      <c r="O96" t="inlineStr">
        <is>
          <t>T2-B7</t>
        </is>
      </c>
      <c r="P96" t="inlineStr">
        <is>
          <t>Trúng</t>
        </is>
      </c>
    </row>
    <row r="97">
      <c r="A97" t="n">
        <v>96</v>
      </c>
      <c r="B97" t="inlineStr">
        <is>
          <t>Thứ sáu ngày 10-04-2026</t>
        </is>
      </c>
      <c r="C97" t="n">
        <v>46120</v>
      </c>
      <c r="D97" t="n">
        <v>20</v>
      </c>
      <c r="E97" t="n">
        <v>7</v>
      </c>
      <c r="F97" t="inlineStr">
        <is>
          <t>T7-B2</t>
        </is>
      </c>
      <c r="G97" t="inlineStr">
        <is>
          <t>Không</t>
        </is>
      </c>
      <c r="H97" t="n">
        <v>37</v>
      </c>
      <c r="I97" t="inlineStr">
        <is>
          <t>T0-B5</t>
        </is>
      </c>
      <c r="J97" t="inlineStr">
        <is>
          <t>Không</t>
        </is>
      </c>
      <c r="K97" t="n">
        <v>42</v>
      </c>
      <c r="L97" t="inlineStr">
        <is>
          <t>T6-B1</t>
        </is>
      </c>
      <c r="M97" t="inlineStr">
        <is>
          <t>Không</t>
        </is>
      </c>
      <c r="N97" t="n">
        <v>79</v>
      </c>
      <c r="O97" t="inlineStr">
        <is>
          <t>T6-B1</t>
        </is>
      </c>
      <c r="P97" t="inlineStr">
        <is>
          <t>Không</t>
        </is>
      </c>
    </row>
    <row r="98">
      <c r="A98" t="n">
        <v>97</v>
      </c>
      <c r="B98" t="inlineStr">
        <is>
          <t>Thứ bảy ngày 11-04-2026</t>
        </is>
      </c>
      <c r="C98" t="n">
        <v>24204</v>
      </c>
      <c r="D98" t="n">
        <v>4</v>
      </c>
      <c r="E98" t="n">
        <v>57</v>
      </c>
      <c r="F98" t="inlineStr">
        <is>
          <t>T2-B7</t>
        </is>
      </c>
      <c r="G98" t="inlineStr">
        <is>
          <t>Không</t>
        </is>
      </c>
      <c r="H98" t="n">
        <v>71</v>
      </c>
      <c r="I98" t="inlineStr">
        <is>
          <t>T8-B3</t>
        </is>
      </c>
      <c r="J98" t="inlineStr">
        <is>
          <t>Không</t>
        </is>
      </c>
      <c r="K98" t="n">
        <v>16</v>
      </c>
      <c r="L98" t="inlineStr">
        <is>
          <t>T7-B2</t>
        </is>
      </c>
      <c r="M98" t="inlineStr">
        <is>
          <t>Không</t>
        </is>
      </c>
      <c r="N98" t="n">
        <v>80</v>
      </c>
      <c r="O98" t="inlineStr">
        <is>
          <t>T8-B3</t>
        </is>
      </c>
      <c r="P98" t="inlineStr">
        <is>
          <t>Không</t>
        </is>
      </c>
    </row>
    <row r="99">
      <c r="A99" t="n">
        <v>98</v>
      </c>
      <c r="B99" t="inlineStr">
        <is>
          <t>Chủ nhật ngày 12-04-2026</t>
        </is>
      </c>
      <c r="C99" t="n">
        <v>12000</v>
      </c>
      <c r="D99" t="n">
        <v>0</v>
      </c>
      <c r="E99" t="n">
        <v>95</v>
      </c>
      <c r="F99" t="inlineStr">
        <is>
          <t>T4-B9</t>
        </is>
      </c>
      <c r="G99" t="inlineStr">
        <is>
          <t>Không</t>
        </is>
      </c>
      <c r="H99" t="n">
        <v>68</v>
      </c>
      <c r="I99" t="inlineStr">
        <is>
          <t>T4-B9</t>
        </is>
      </c>
      <c r="J99" t="inlineStr">
        <is>
          <t>Không</t>
        </is>
      </c>
      <c r="K99" t="n">
        <v>77</v>
      </c>
      <c r="L99" t="inlineStr">
        <is>
          <t>T4-B9</t>
        </is>
      </c>
      <c r="M99" t="inlineStr">
        <is>
          <t>Không</t>
        </is>
      </c>
      <c r="N99" t="n">
        <v>25</v>
      </c>
      <c r="O99" t="inlineStr">
        <is>
          <t>T7-B2</t>
        </is>
      </c>
      <c r="P99" t="inlineStr">
        <is>
          <t>Không</t>
        </is>
      </c>
    </row>
    <row r="100">
      <c r="A100" t="n">
        <v>99</v>
      </c>
      <c r="B100" t="inlineStr">
        <is>
          <t>Thứ hai ngày 13-04-2026</t>
        </is>
      </c>
      <c r="C100" t="n">
        <v>22738</v>
      </c>
      <c r="D100" t="n">
        <v>38</v>
      </c>
      <c r="E100" t="n">
        <v>20</v>
      </c>
      <c r="F100" t="inlineStr">
        <is>
          <t>T2-B7</t>
        </is>
      </c>
      <c r="G100" t="inlineStr">
        <is>
          <t>Không</t>
        </is>
      </c>
      <c r="H100" t="n">
        <v>19</v>
      </c>
      <c r="I100" t="inlineStr">
        <is>
          <t>T0-B5</t>
        </is>
      </c>
      <c r="J100" t="inlineStr">
        <is>
          <t>Không</t>
        </is>
      </c>
      <c r="K100" t="n">
        <v>10</v>
      </c>
      <c r="L100" t="inlineStr">
        <is>
          <t>T1-B6</t>
        </is>
      </c>
      <c r="M100" t="inlineStr">
        <is>
          <t>Không</t>
        </is>
      </c>
      <c r="N100" t="n">
        <v>2</v>
      </c>
      <c r="O100" t="inlineStr">
        <is>
          <t>T2-B7</t>
        </is>
      </c>
      <c r="P100" t="inlineStr">
        <is>
          <t>Không</t>
        </is>
      </c>
    </row>
    <row r="101">
      <c r="A101" t="n">
        <v>100</v>
      </c>
      <c r="B101" t="inlineStr">
        <is>
          <t>Thứ ba ngày 14-04-2026</t>
        </is>
      </c>
      <c r="C101" t="n">
        <v>92763</v>
      </c>
      <c r="D101" t="n">
        <v>63</v>
      </c>
      <c r="E101" t="n">
        <v>26</v>
      </c>
      <c r="F101" t="inlineStr">
        <is>
          <t>T8-B3</t>
        </is>
      </c>
      <c r="G101" t="inlineStr">
        <is>
          <t>Không</t>
        </is>
      </c>
      <c r="H101" t="n">
        <v>57</v>
      </c>
      <c r="I101" t="inlineStr">
        <is>
          <t>T2-B7</t>
        </is>
      </c>
      <c r="J101" t="inlineStr">
        <is>
          <t>Không</t>
        </is>
      </c>
      <c r="K101" t="n">
        <v>13</v>
      </c>
      <c r="L101" t="inlineStr">
        <is>
          <t>T4-B9</t>
        </is>
      </c>
      <c r="M101" t="inlineStr">
        <is>
          <t>Không</t>
        </is>
      </c>
      <c r="N101" t="n">
        <v>22</v>
      </c>
      <c r="O101" t="inlineStr">
        <is>
          <t>T4-B9</t>
        </is>
      </c>
      <c r="P101" t="inlineStr">
        <is>
          <t>Không</t>
        </is>
      </c>
    </row>
    <row r="102">
      <c r="A102" t="n">
        <v>101</v>
      </c>
      <c r="B102" t="inlineStr">
        <is>
          <t>Thứ tư ngày 15-04-2026</t>
        </is>
      </c>
      <c r="C102" t="n">
        <v>3714</v>
      </c>
      <c r="D102" t="n">
        <v>14</v>
      </c>
      <c r="E102" t="n">
        <v>65</v>
      </c>
      <c r="F102" t="inlineStr">
        <is>
          <t>T1-B6</t>
        </is>
      </c>
      <c r="G102" t="inlineStr">
        <is>
          <t>Không</t>
        </is>
      </c>
      <c r="H102" t="n">
        <v>59</v>
      </c>
      <c r="I102" t="inlineStr">
        <is>
          <t>T4-B9</t>
        </is>
      </c>
      <c r="J102" t="inlineStr">
        <is>
          <t>Không</t>
        </is>
      </c>
      <c r="K102" t="n">
        <v>88</v>
      </c>
      <c r="L102" t="inlineStr">
        <is>
          <t>T6-B1</t>
        </is>
      </c>
      <c r="M102" t="inlineStr">
        <is>
          <t>Không</t>
        </is>
      </c>
      <c r="N102" t="n">
        <v>93</v>
      </c>
      <c r="O102" t="inlineStr">
        <is>
          <t>T2-B7</t>
        </is>
      </c>
      <c r="P102" t="inlineStr">
        <is>
          <t>Không</t>
        </is>
      </c>
    </row>
    <row r="103">
      <c r="A103" t="n">
        <v>102</v>
      </c>
      <c r="B103" t="inlineStr">
        <is>
          <t>Thứ năm ngày 16-04-2026</t>
        </is>
      </c>
      <c r="C103" t="n">
        <v>35035</v>
      </c>
      <c r="D103" t="n">
        <v>35</v>
      </c>
      <c r="E103" t="n">
        <v>69</v>
      </c>
      <c r="F103" t="inlineStr">
        <is>
          <t>T5-B0</t>
        </is>
      </c>
      <c r="G103" t="inlineStr">
        <is>
          <t>Trúng</t>
        </is>
      </c>
      <c r="H103" t="n">
        <v>18</v>
      </c>
      <c r="I103" t="inlineStr">
        <is>
          <t>T9-B4</t>
        </is>
      </c>
      <c r="J103" t="inlineStr">
        <is>
          <t>Không</t>
        </is>
      </c>
      <c r="K103" t="n">
        <v>33</v>
      </c>
      <c r="L103" t="inlineStr">
        <is>
          <t>T6-B1</t>
        </is>
      </c>
      <c r="M103" t="inlineStr">
        <is>
          <t>Không</t>
        </is>
      </c>
      <c r="N103" t="n">
        <v>87</v>
      </c>
      <c r="O103" t="inlineStr">
        <is>
          <t>T5-B0</t>
        </is>
      </c>
      <c r="P103" t="inlineStr">
        <is>
          <t>Trúng</t>
        </is>
      </c>
    </row>
    <row r="104">
      <c r="A104" t="n">
        <v>103</v>
      </c>
      <c r="B104" t="inlineStr">
        <is>
          <t>Thứ sáu ngày 17-04-2026</t>
        </is>
      </c>
      <c r="C104" t="n">
        <v>38455</v>
      </c>
      <c r="D104" t="n">
        <v>55</v>
      </c>
      <c r="E104" t="n">
        <v>30</v>
      </c>
      <c r="F104" t="inlineStr">
        <is>
          <t>T3-B8</t>
        </is>
      </c>
      <c r="G104" t="inlineStr">
        <is>
          <t>Không</t>
        </is>
      </c>
      <c r="H104" t="n">
        <v>27</v>
      </c>
      <c r="I104" t="inlineStr">
        <is>
          <t>T9-B4</t>
        </is>
      </c>
      <c r="J104" t="inlineStr">
        <is>
          <t>Không</t>
        </is>
      </c>
      <c r="K104" t="n">
        <v>13</v>
      </c>
      <c r="L104" t="inlineStr">
        <is>
          <t>T4-B9</t>
        </is>
      </c>
      <c r="M104" t="inlineStr">
        <is>
          <t>Không</t>
        </is>
      </c>
      <c r="N104" t="n">
        <v>77</v>
      </c>
      <c r="O104" t="inlineStr">
        <is>
          <t>T4-B9</t>
        </is>
      </c>
      <c r="P104" t="inlineStr">
        <is>
          <t>Không</t>
        </is>
      </c>
    </row>
    <row r="105">
      <c r="A105" t="n">
        <v>104</v>
      </c>
      <c r="B105" t="inlineStr">
        <is>
          <t>Thứ bảy ngày 18-04-2026</t>
        </is>
      </c>
      <c r="C105" t="n">
        <v>17243</v>
      </c>
      <c r="D105" t="n">
        <v>43</v>
      </c>
      <c r="E105" t="n">
        <v>95</v>
      </c>
      <c r="F105" t="inlineStr">
        <is>
          <t>T4-B9</t>
        </is>
      </c>
      <c r="G105" t="inlineStr">
        <is>
          <t>Không</t>
        </is>
      </c>
      <c r="H105" t="n">
        <v>74</v>
      </c>
      <c r="I105" t="inlineStr">
        <is>
          <t>T1-B6</t>
        </is>
      </c>
      <c r="J105" t="inlineStr">
        <is>
          <t>Không</t>
        </is>
      </c>
      <c r="K105" t="n">
        <v>59</v>
      </c>
      <c r="L105" t="inlineStr">
        <is>
          <t>T4-B9</t>
        </is>
      </c>
      <c r="M105" t="inlineStr">
        <is>
          <t>Không</t>
        </is>
      </c>
      <c r="N105" t="n">
        <v>53</v>
      </c>
      <c r="O105" t="inlineStr">
        <is>
          <t>T8-B3</t>
        </is>
      </c>
      <c r="P105" t="inlineStr">
        <is>
          <t>Không</t>
        </is>
      </c>
    </row>
    <row r="106">
      <c r="A106" t="n">
        <v>105</v>
      </c>
      <c r="B106" t="inlineStr">
        <is>
          <t>Chủ nhật ngày 19-04-2026</t>
        </is>
      </c>
      <c r="C106" t="n">
        <v>93725</v>
      </c>
      <c r="D106" t="n">
        <v>25</v>
      </c>
      <c r="E106" t="n">
        <v>82</v>
      </c>
      <c r="F106" t="inlineStr">
        <is>
          <t>T0-B5</t>
        </is>
      </c>
      <c r="G106" t="inlineStr">
        <is>
          <t>Không</t>
        </is>
      </c>
      <c r="H106" t="n">
        <v>87</v>
      </c>
      <c r="I106" t="inlineStr">
        <is>
          <t>T5-B0</t>
        </is>
      </c>
      <c r="J106" t="inlineStr">
        <is>
          <t>Không</t>
        </is>
      </c>
      <c r="K106" t="n">
        <v>8</v>
      </c>
      <c r="L106" t="inlineStr">
        <is>
          <t>T8-B3</t>
        </is>
      </c>
      <c r="M106" t="inlineStr">
        <is>
          <t>Không</t>
        </is>
      </c>
      <c r="N106" t="n">
        <v>16</v>
      </c>
      <c r="O106" t="inlineStr">
        <is>
          <t>T7-B2</t>
        </is>
      </c>
      <c r="P106" t="inlineStr">
        <is>
          <t>Không</t>
        </is>
      </c>
    </row>
    <row r="107">
      <c r="A107" t="n">
        <v>106</v>
      </c>
      <c r="B107" t="inlineStr">
        <is>
          <t>Thứ hai ngày 20-04-2026</t>
        </is>
      </c>
      <c r="C107" t="n">
        <v>74197</v>
      </c>
      <c r="D107" t="n">
        <v>97</v>
      </c>
      <c r="E107" t="n">
        <v>34</v>
      </c>
      <c r="F107" t="inlineStr">
        <is>
          <t>T7-B2</t>
        </is>
      </c>
      <c r="G107" t="inlineStr">
        <is>
          <t>Không</t>
        </is>
      </c>
      <c r="H107" t="n">
        <v>6</v>
      </c>
      <c r="I107" t="inlineStr">
        <is>
          <t>T6-B1</t>
        </is>
      </c>
      <c r="J107" t="inlineStr">
        <is>
          <t>Không</t>
        </is>
      </c>
      <c r="K107" t="n">
        <v>47</v>
      </c>
      <c r="L107" t="inlineStr">
        <is>
          <t>T1-B6</t>
        </is>
      </c>
      <c r="M107" t="inlineStr">
        <is>
          <t>Không</t>
        </is>
      </c>
      <c r="N107" t="n">
        <v>39</v>
      </c>
      <c r="O107" t="inlineStr">
        <is>
          <t>T2-B7</t>
        </is>
      </c>
      <c r="P107" t="inlineStr">
        <is>
          <t>Không</t>
        </is>
      </c>
    </row>
    <row r="108">
      <c r="A108" t="n">
        <v>107</v>
      </c>
      <c r="B108" t="inlineStr">
        <is>
          <t>Thứ ba ngày 21-04-2026</t>
        </is>
      </c>
      <c r="C108" t="n">
        <v>48076</v>
      </c>
      <c r="D108" t="n">
        <v>76</v>
      </c>
      <c r="E108" t="n">
        <v>9</v>
      </c>
      <c r="F108" t="inlineStr">
        <is>
          <t>T9-B4</t>
        </is>
      </c>
      <c r="G108" t="inlineStr">
        <is>
          <t>Không</t>
        </is>
      </c>
      <c r="H108" t="n">
        <v>13</v>
      </c>
      <c r="I108" t="inlineStr">
        <is>
          <t>T4-B9</t>
        </is>
      </c>
      <c r="J108" t="inlineStr">
        <is>
          <t>Không</t>
        </is>
      </c>
      <c r="K108" t="n">
        <v>22</v>
      </c>
      <c r="L108" t="inlineStr">
        <is>
          <t>T4-B9</t>
        </is>
      </c>
      <c r="M108" t="inlineStr">
        <is>
          <t>Không</t>
        </is>
      </c>
      <c r="N108" t="n">
        <v>95</v>
      </c>
      <c r="O108" t="inlineStr">
        <is>
          <t>T4-B9</t>
        </is>
      </c>
      <c r="P108" t="inlineStr">
        <is>
          <t>Không</t>
        </is>
      </c>
    </row>
    <row r="109">
      <c r="A109" t="n">
        <v>108</v>
      </c>
      <c r="B109" t="inlineStr">
        <is>
          <t>Thứ tư ngày 22-04-2026</t>
        </is>
      </c>
      <c r="C109" t="n">
        <v>36948</v>
      </c>
      <c r="D109" t="n">
        <v>48</v>
      </c>
      <c r="E109" t="n">
        <v>52</v>
      </c>
      <c r="F109" t="inlineStr">
        <is>
          <t>T7-B2</t>
        </is>
      </c>
      <c r="G109" t="inlineStr">
        <is>
          <t>Trúng</t>
        </is>
      </c>
      <c r="H109" t="n">
        <v>64</v>
      </c>
      <c r="I109" t="inlineStr">
        <is>
          <t>T0-B5</t>
        </is>
      </c>
      <c r="J109" t="inlineStr">
        <is>
          <t>Không</t>
        </is>
      </c>
      <c r="K109" t="n">
        <v>72</v>
      </c>
      <c r="L109" t="inlineStr">
        <is>
          <t>T9-B4</t>
        </is>
      </c>
      <c r="M109" t="inlineStr">
        <is>
          <t>Không</t>
        </is>
      </c>
      <c r="N109" t="n">
        <v>79</v>
      </c>
      <c r="O109" t="inlineStr">
        <is>
          <t>T6-B1</t>
        </is>
      </c>
      <c r="P109" t="inlineStr">
        <is>
          <t>Không</t>
        </is>
      </c>
    </row>
    <row r="110">
      <c r="A110" t="n">
        <v>109</v>
      </c>
      <c r="B110" t="inlineStr">
        <is>
          <t>Thứ năm ngày 23-04-2026</t>
        </is>
      </c>
      <c r="C110" t="n">
        <v>66239</v>
      </c>
      <c r="D110" t="n">
        <v>39</v>
      </c>
      <c r="E110" t="n">
        <v>22</v>
      </c>
      <c r="F110" t="inlineStr">
        <is>
          <t>T4-B9</t>
        </is>
      </c>
      <c r="G110" t="inlineStr">
        <is>
          <t>Không</t>
        </is>
      </c>
      <c r="H110" t="n">
        <v>63</v>
      </c>
      <c r="I110" t="inlineStr">
        <is>
          <t>T9-B4</t>
        </is>
      </c>
      <c r="J110" t="inlineStr">
        <is>
          <t>Không</t>
        </is>
      </c>
      <c r="K110" t="n">
        <v>99</v>
      </c>
      <c r="L110" t="inlineStr">
        <is>
          <t>T8-B3</t>
        </is>
      </c>
      <c r="M110" t="inlineStr">
        <is>
          <t>Trúng</t>
        </is>
      </c>
      <c r="N110" t="n">
        <v>57</v>
      </c>
      <c r="O110" t="inlineStr">
        <is>
          <t>T2-B7</t>
        </is>
      </c>
      <c r="P110" t="inlineStr">
        <is>
          <t>Không</t>
        </is>
      </c>
    </row>
    <row r="111">
      <c r="A111" t="n">
        <v>110</v>
      </c>
      <c r="B111" t="inlineStr">
        <is>
          <t>Thứ sáu ngày 24-04-2026</t>
        </is>
      </c>
      <c r="C111" t="n">
        <v>9876</v>
      </c>
      <c r="D111" t="n">
        <v>76</v>
      </c>
      <c r="E111" t="n">
        <v>5</v>
      </c>
      <c r="F111" t="inlineStr">
        <is>
          <t>T5-B0</t>
        </is>
      </c>
      <c r="G111" t="inlineStr">
        <is>
          <t>Không</t>
        </is>
      </c>
      <c r="H111" t="n">
        <v>84</v>
      </c>
      <c r="I111" t="inlineStr">
        <is>
          <t>T2-B7</t>
        </is>
      </c>
      <c r="J111" t="inlineStr">
        <is>
          <t>Không</t>
        </is>
      </c>
      <c r="K111" t="n">
        <v>11</v>
      </c>
      <c r="L111" t="inlineStr">
        <is>
          <t>T2-B7</t>
        </is>
      </c>
      <c r="M111" t="inlineStr">
        <is>
          <t>Không</t>
        </is>
      </c>
      <c r="N111" t="n">
        <v>14</v>
      </c>
      <c r="O111" t="inlineStr">
        <is>
          <t>T5-B0</t>
        </is>
      </c>
      <c r="P111" t="inlineStr">
        <is>
          <t>Không</t>
        </is>
      </c>
    </row>
    <row r="112">
      <c r="A112" t="n">
        <v>111</v>
      </c>
      <c r="B112" t="inlineStr">
        <is>
          <t>Thứ bảy ngày 25-04-2026</t>
        </is>
      </c>
      <c r="C112" t="n">
        <v>8717</v>
      </c>
      <c r="D112" t="n">
        <v>17</v>
      </c>
      <c r="E112" t="n">
        <v>27</v>
      </c>
      <c r="F112" t="inlineStr">
        <is>
          <t>T9-B4</t>
        </is>
      </c>
      <c r="G112" t="inlineStr">
        <is>
          <t>Không</t>
        </is>
      </c>
      <c r="H112" t="n">
        <v>99</v>
      </c>
      <c r="I112" t="inlineStr">
        <is>
          <t>T8-B3</t>
        </is>
      </c>
      <c r="J112" t="inlineStr">
        <is>
          <t>Không</t>
        </is>
      </c>
      <c r="K112" t="n">
        <v>57</v>
      </c>
      <c r="L112" t="inlineStr">
        <is>
          <t>T2-B7</t>
        </is>
      </c>
      <c r="M112" t="inlineStr">
        <is>
          <t>Không</t>
        </is>
      </c>
      <c r="N112" t="n">
        <v>39</v>
      </c>
      <c r="O112" t="inlineStr">
        <is>
          <t>T2-B7</t>
        </is>
      </c>
      <c r="P112" t="inlineStr">
        <is>
          <t>Không</t>
        </is>
      </c>
    </row>
    <row r="113">
      <c r="A113" t="n">
        <v>112</v>
      </c>
      <c r="B113" t="inlineStr">
        <is>
          <t>Chủ nhật ngày 26-04-2026</t>
        </is>
      </c>
      <c r="C113" t="n">
        <v>38228</v>
      </c>
      <c r="D113" t="n">
        <v>28</v>
      </c>
      <c r="E113" t="n">
        <v>30</v>
      </c>
      <c r="F113" t="inlineStr">
        <is>
          <t>T3-B8</t>
        </is>
      </c>
      <c r="G113" t="inlineStr">
        <is>
          <t>Không</t>
        </is>
      </c>
      <c r="H113" t="n">
        <v>86</v>
      </c>
      <c r="I113" t="inlineStr">
        <is>
          <t>T4-B9</t>
        </is>
      </c>
      <c r="J113" t="inlineStr">
        <is>
          <t>Trúng</t>
        </is>
      </c>
      <c r="K113" t="n">
        <v>5</v>
      </c>
      <c r="L113" t="inlineStr">
        <is>
          <t>T5-B0</t>
        </is>
      </c>
      <c r="M113" t="inlineStr">
        <is>
          <t>Không</t>
        </is>
      </c>
      <c r="N113" t="n">
        <v>77</v>
      </c>
      <c r="O113" t="inlineStr">
        <is>
          <t>T4-B9</t>
        </is>
      </c>
      <c r="P113" t="inlineStr">
        <is>
          <t>Trúng</t>
        </is>
      </c>
    </row>
    <row r="114">
      <c r="A114" t="n">
        <v>113</v>
      </c>
      <c r="B114" t="inlineStr">
        <is>
          <t>Thứ hai ngày 27-04-2026</t>
        </is>
      </c>
      <c r="C114" t="n">
        <v>10059</v>
      </c>
      <c r="D114" t="n">
        <v>59</v>
      </c>
      <c r="E114" t="n">
        <v>34</v>
      </c>
      <c r="F114" t="inlineStr">
        <is>
          <t>T7-B2</t>
        </is>
      </c>
      <c r="G114" t="inlineStr">
        <is>
          <t>Không</t>
        </is>
      </c>
      <c r="H114" t="n">
        <v>46</v>
      </c>
      <c r="I114" t="inlineStr">
        <is>
          <t>T0-B5</t>
        </is>
      </c>
      <c r="J114" t="inlineStr">
        <is>
          <t>Không</t>
        </is>
      </c>
      <c r="K114" t="n">
        <v>28</v>
      </c>
      <c r="L114" t="inlineStr">
        <is>
          <t>T0-B5</t>
        </is>
      </c>
      <c r="M114" t="inlineStr">
        <is>
          <t>Không</t>
        </is>
      </c>
      <c r="N114" t="n">
        <v>71</v>
      </c>
      <c r="O114" t="inlineStr">
        <is>
          <t>T8-B3</t>
        </is>
      </c>
      <c r="P114" t="inlineStr">
        <is>
          <t>Không</t>
        </is>
      </c>
    </row>
    <row r="115">
      <c r="A115" t="n">
        <v>114</v>
      </c>
      <c r="B115" t="inlineStr">
        <is>
          <t>Thứ ba ngày 28-04-2026</t>
        </is>
      </c>
      <c r="C115" t="n">
        <v>45254</v>
      </c>
      <c r="D115" t="n">
        <v>54</v>
      </c>
      <c r="E115" t="n">
        <v>4</v>
      </c>
      <c r="F115" t="inlineStr">
        <is>
          <t>T4-B9</t>
        </is>
      </c>
      <c r="G115" t="inlineStr">
        <is>
          <t>Không</t>
        </is>
      </c>
      <c r="H115" t="n">
        <v>82</v>
      </c>
      <c r="I115" t="inlineStr">
        <is>
          <t>T0-B5</t>
        </is>
      </c>
      <c r="J115" t="inlineStr">
        <is>
          <t>Trúng</t>
        </is>
      </c>
      <c r="K115" t="n">
        <v>91</v>
      </c>
      <c r="L115" t="inlineStr">
        <is>
          <t>T0-B5</t>
        </is>
      </c>
      <c r="M115" t="inlineStr">
        <is>
          <t>Trúng</t>
        </is>
      </c>
      <c r="N115" t="n">
        <v>30</v>
      </c>
      <c r="O115" t="inlineStr">
        <is>
          <t>T3-B8</t>
        </is>
      </c>
      <c r="P115" t="inlineStr">
        <is>
          <t>Không</t>
        </is>
      </c>
    </row>
    <row r="116">
      <c r="A116" t="n">
        <v>115</v>
      </c>
      <c r="B116" t="inlineStr">
        <is>
          <t>Thứ tư ngày 29-04-2026</t>
        </is>
      </c>
      <c r="C116" t="n">
        <v>86569</v>
      </c>
      <c r="D116" t="n">
        <v>69</v>
      </c>
      <c r="E116" t="n">
        <v>72</v>
      </c>
      <c r="F116" t="inlineStr">
        <is>
          <t>T9-B4</t>
        </is>
      </c>
      <c r="G116" t="inlineStr">
        <is>
          <t>Không</t>
        </is>
      </c>
      <c r="H116" t="n">
        <v>46</v>
      </c>
      <c r="I116" t="inlineStr">
        <is>
          <t>T0-B5</t>
        </is>
      </c>
      <c r="J116" t="inlineStr">
        <is>
          <t>Không</t>
        </is>
      </c>
      <c r="K116" t="n">
        <v>69</v>
      </c>
      <c r="L116" t="inlineStr">
        <is>
          <t>T5-B0</t>
        </is>
      </c>
      <c r="M116" t="inlineStr">
        <is>
          <t>Không</t>
        </is>
      </c>
      <c r="N116" t="n">
        <v>18</v>
      </c>
      <c r="O116" t="inlineStr">
        <is>
          <t>T9-B4</t>
        </is>
      </c>
      <c r="P116" t="inlineStr">
        <is>
          <t>Không</t>
        </is>
      </c>
    </row>
    <row r="117">
      <c r="A117" t="n">
        <v>116</v>
      </c>
      <c r="B117" t="inlineStr">
        <is>
          <t>Thứ năm ngày 30-04-2026</t>
        </is>
      </c>
      <c r="C117" t="n">
        <v>82075</v>
      </c>
      <c r="D117" t="n">
        <v>75</v>
      </c>
      <c r="E117" t="n">
        <v>30</v>
      </c>
      <c r="F117" t="inlineStr">
        <is>
          <t>T3-B8</t>
        </is>
      </c>
      <c r="G117" t="inlineStr">
        <is>
          <t>Không</t>
        </is>
      </c>
      <c r="H117" t="n">
        <v>19</v>
      </c>
      <c r="I117" t="inlineStr">
        <is>
          <t>T0-B5</t>
        </is>
      </c>
      <c r="J117" t="inlineStr">
        <is>
          <t>Trúng</t>
        </is>
      </c>
      <c r="K117" t="n">
        <v>98</v>
      </c>
      <c r="L117" t="inlineStr">
        <is>
          <t>T7-B2</t>
        </is>
      </c>
      <c r="M117" t="inlineStr">
        <is>
          <t>Không</t>
        </is>
      </c>
      <c r="N117" t="n">
        <v>74</v>
      </c>
      <c r="O117" t="inlineStr">
        <is>
          <t>T1-B6</t>
        </is>
      </c>
      <c r="P117" t="inlineStr">
        <is>
          <t>Không</t>
        </is>
      </c>
    </row>
    <row r="118">
      <c r="A118" t="n">
        <v>117</v>
      </c>
      <c r="B118" t="inlineStr">
        <is>
          <t>Thứ sáu ngày 01-05-2026</t>
        </is>
      </c>
      <c r="C118" t="n">
        <v>96637</v>
      </c>
      <c r="D118" t="n">
        <v>37</v>
      </c>
      <c r="E118" t="n">
        <v>48</v>
      </c>
      <c r="F118" t="inlineStr">
        <is>
          <t>T2-B7</t>
        </is>
      </c>
      <c r="G118" t="inlineStr">
        <is>
          <t>Không</t>
        </is>
      </c>
      <c r="H118" t="n">
        <v>39</v>
      </c>
      <c r="I118" t="inlineStr">
        <is>
          <t>T2-B7</t>
        </is>
      </c>
      <c r="J118" t="inlineStr">
        <is>
          <t>Không</t>
        </is>
      </c>
      <c r="K118" t="n">
        <v>79</v>
      </c>
      <c r="L118" t="inlineStr">
        <is>
          <t>T6-B1</t>
        </is>
      </c>
      <c r="M118" t="inlineStr">
        <is>
          <t>Không</t>
        </is>
      </c>
      <c r="N118" t="n">
        <v>46</v>
      </c>
      <c r="O118" t="inlineStr">
        <is>
          <t>T0-B5</t>
        </is>
      </c>
      <c r="P118" t="inlineStr">
        <is>
          <t>Trúng</t>
        </is>
      </c>
    </row>
    <row r="119">
      <c r="A119" t="n">
        <v>118</v>
      </c>
      <c r="B119" t="inlineStr">
        <is>
          <t>Thứ bảy ngày 02-05-2026</t>
        </is>
      </c>
      <c r="C119" t="n">
        <v>16132</v>
      </c>
      <c r="D119" t="n">
        <v>32</v>
      </c>
      <c r="E119" t="n">
        <v>41</v>
      </c>
      <c r="F119" t="inlineStr">
        <is>
          <t>T5-B0</t>
        </is>
      </c>
      <c r="G119" t="inlineStr">
        <is>
          <t>Trúng</t>
        </is>
      </c>
      <c r="H119" t="n">
        <v>14</v>
      </c>
      <c r="I119" t="inlineStr">
        <is>
          <t>T5-B0</t>
        </is>
      </c>
      <c r="J119" t="inlineStr">
        <is>
          <t>Trúng</t>
        </is>
      </c>
      <c r="K119" t="n">
        <v>62</v>
      </c>
      <c r="L119" t="inlineStr">
        <is>
          <t>T8-B3</t>
        </is>
      </c>
      <c r="M119" t="inlineStr">
        <is>
          <t>Không</t>
        </is>
      </c>
      <c r="N119" t="n">
        <v>87</v>
      </c>
      <c r="O119" t="inlineStr">
        <is>
          <t>T5-B0</t>
        </is>
      </c>
      <c r="P119" t="inlineStr">
        <is>
          <t>Trúng</t>
        </is>
      </c>
    </row>
    <row r="120">
      <c r="A120" t="n">
        <v>119</v>
      </c>
      <c r="B120" t="inlineStr">
        <is>
          <t>Chủ nhật ngày 03-05-2026</t>
        </is>
      </c>
      <c r="C120" t="n">
        <v>32964</v>
      </c>
      <c r="D120" t="n">
        <v>64</v>
      </c>
      <c r="E120" t="n">
        <v>68</v>
      </c>
      <c r="F120" t="inlineStr">
        <is>
          <t>T4-B9</t>
        </is>
      </c>
      <c r="G120" t="inlineStr">
        <is>
          <t>Không</t>
        </is>
      </c>
      <c r="H120" t="n">
        <v>88</v>
      </c>
      <c r="I120" t="inlineStr">
        <is>
          <t>T6-B1</t>
        </is>
      </c>
      <c r="J120" t="inlineStr">
        <is>
          <t>Trúng</t>
        </is>
      </c>
      <c r="K120" t="n">
        <v>24</v>
      </c>
      <c r="L120" t="inlineStr">
        <is>
          <t>T6-B1</t>
        </is>
      </c>
      <c r="M120" t="inlineStr">
        <is>
          <t>Trúng</t>
        </is>
      </c>
      <c r="N120" t="n">
        <v>59</v>
      </c>
      <c r="O120" t="inlineStr">
        <is>
          <t>T4-B9</t>
        </is>
      </c>
      <c r="P120" t="inlineStr">
        <is>
          <t>Không</t>
        </is>
      </c>
    </row>
    <row r="121">
      <c r="A121" t="n">
        <v>120</v>
      </c>
      <c r="B121" t="inlineStr">
        <is>
          <t>Thứ hai ngày 04-05-2026</t>
        </is>
      </c>
      <c r="C121" t="n">
        <v>11251</v>
      </c>
      <c r="D121" t="n">
        <v>51</v>
      </c>
      <c r="E121" t="n">
        <v>15</v>
      </c>
      <c r="F121" t="inlineStr">
        <is>
          <t>T6-B1</t>
        </is>
      </c>
      <c r="G121" t="inlineStr">
        <is>
          <t>Không</t>
        </is>
      </c>
      <c r="H121" t="n">
        <v>69</v>
      </c>
      <c r="I121" t="inlineStr">
        <is>
          <t>T5-B0</t>
        </is>
      </c>
      <c r="J121" t="inlineStr">
        <is>
          <t>Không</t>
        </is>
      </c>
      <c r="K121" t="n">
        <v>63</v>
      </c>
      <c r="L121" t="inlineStr">
        <is>
          <t>T9-B4</t>
        </is>
      </c>
      <c r="M121" t="inlineStr">
        <is>
          <t>Không</t>
        </is>
      </c>
      <c r="N121" t="n">
        <v>67</v>
      </c>
      <c r="O121" t="inlineStr">
        <is>
          <t>T3-B8</t>
        </is>
      </c>
      <c r="P121" t="inlineStr">
        <is>
          <t>Trúng</t>
        </is>
      </c>
    </row>
    <row r="122">
      <c r="A122" t="n">
        <v>121</v>
      </c>
      <c r="B122" t="inlineStr">
        <is>
          <t>Thứ ba ngày 05-05-2026</t>
        </is>
      </c>
      <c r="C122" t="n">
        <v>22512</v>
      </c>
      <c r="D122" t="n">
        <v>12</v>
      </c>
      <c r="E122" t="n">
        <v>37</v>
      </c>
      <c r="F122" t="inlineStr">
        <is>
          <t>T0-B5</t>
        </is>
      </c>
      <c r="G122" t="inlineStr">
        <is>
          <t>Trúng</t>
        </is>
      </c>
      <c r="H122" t="n">
        <v>44</v>
      </c>
      <c r="I122" t="inlineStr">
        <is>
          <t>T8-B3</t>
        </is>
      </c>
      <c r="J122" t="inlineStr">
        <is>
          <t>Không</t>
        </is>
      </c>
      <c r="K122" t="n">
        <v>31</v>
      </c>
      <c r="L122" t="inlineStr">
        <is>
          <t>T4-B9</t>
        </is>
      </c>
      <c r="M122" t="inlineStr">
        <is>
          <t>Không</t>
        </is>
      </c>
      <c r="N122" t="n">
        <v>50</v>
      </c>
      <c r="O122" t="inlineStr">
        <is>
          <t>T5-B0</t>
        </is>
      </c>
      <c r="P122" t="inlineStr">
        <is>
          <t>Trúng</t>
        </is>
      </c>
    </row>
    <row r="123">
      <c r="A123" t="n">
        <v>122</v>
      </c>
      <c r="B123" t="inlineStr">
        <is>
          <t>Thứ tư ngày 06-05-2026</t>
        </is>
      </c>
      <c r="C123" t="n">
        <v>80241</v>
      </c>
      <c r="D123" t="n">
        <v>41</v>
      </c>
      <c r="E123" t="n">
        <v>90</v>
      </c>
      <c r="F123" t="inlineStr">
        <is>
          <t>T9-B4</t>
        </is>
      </c>
      <c r="G123" t="inlineStr">
        <is>
          <t>Trúng</t>
        </is>
      </c>
      <c r="H123" t="n">
        <v>50</v>
      </c>
      <c r="I123" t="inlineStr">
        <is>
          <t>T5-B0</t>
        </is>
      </c>
      <c r="J123" t="inlineStr">
        <is>
          <t>Không</t>
        </is>
      </c>
      <c r="K123" t="n">
        <v>6</v>
      </c>
      <c r="L123" t="inlineStr">
        <is>
          <t>T6-B1</t>
        </is>
      </c>
      <c r="M123" t="inlineStr">
        <is>
          <t>Không</t>
        </is>
      </c>
      <c r="N123" t="n">
        <v>25</v>
      </c>
      <c r="O123" t="inlineStr">
        <is>
          <t>T7-B2</t>
        </is>
      </c>
      <c r="P123" t="inlineStr">
        <is>
          <t>Không</t>
        </is>
      </c>
    </row>
    <row r="124">
      <c r="A124" t="n">
        <v>123</v>
      </c>
      <c r="B124" t="inlineStr">
        <is>
          <t>Thứ năm ngày 07-05-2026</t>
        </is>
      </c>
      <c r="C124" t="n">
        <v>14540</v>
      </c>
      <c r="D124" t="n">
        <v>40</v>
      </c>
      <c r="E124" t="n">
        <v>15</v>
      </c>
      <c r="F124" t="inlineStr">
        <is>
          <t>T6-B1</t>
        </is>
      </c>
      <c r="G124" t="inlineStr">
        <is>
          <t>Trúng</t>
        </is>
      </c>
      <c r="H124" t="n">
        <v>40</v>
      </c>
      <c r="I124" t="inlineStr">
        <is>
          <t>T4-B9</t>
        </is>
      </c>
      <c r="J124" t="inlineStr">
        <is>
          <t>Không</t>
        </is>
      </c>
      <c r="K124" t="n">
        <v>45</v>
      </c>
      <c r="L124" t="inlineStr">
        <is>
          <t>T9-B4</t>
        </is>
      </c>
      <c r="M124" t="inlineStr">
        <is>
          <t>Không</t>
        </is>
      </c>
      <c r="N124" t="n">
        <v>66</v>
      </c>
      <c r="O124" t="inlineStr">
        <is>
          <t>T2-B7</t>
        </is>
      </c>
      <c r="P124" t="inlineStr">
        <is>
          <t>Không</t>
        </is>
      </c>
    </row>
    <row r="125">
      <c r="A125" t="n">
        <v>124</v>
      </c>
      <c r="B125" t="inlineStr">
        <is>
          <t>Thứ sáu ngày 08-05-2026</t>
        </is>
      </c>
      <c r="C125" t="n">
        <v>29147</v>
      </c>
      <c r="D125" t="n">
        <v>47</v>
      </c>
      <c r="E125" t="n">
        <v>62</v>
      </c>
      <c r="F125" t="inlineStr">
        <is>
          <t>T8-B3</t>
        </is>
      </c>
      <c r="G125" t="inlineStr">
        <is>
          <t>Không</t>
        </is>
      </c>
      <c r="H125" t="n">
        <v>25</v>
      </c>
      <c r="I125" t="inlineStr">
        <is>
          <t>T7-B2</t>
        </is>
      </c>
      <c r="J125" t="inlineStr">
        <is>
          <t>Không</t>
        </is>
      </c>
      <c r="K125" t="n">
        <v>42</v>
      </c>
      <c r="L125" t="inlineStr">
        <is>
          <t>T6-B1</t>
        </is>
      </c>
      <c r="M125" t="inlineStr">
        <is>
          <t>Trúng</t>
        </is>
      </c>
      <c r="N125" t="n">
        <v>94</v>
      </c>
      <c r="O125" t="inlineStr">
        <is>
          <t>T3-B8</t>
        </is>
      </c>
      <c r="P125" t="inlineStr">
        <is>
          <t>Không</t>
        </is>
      </c>
    </row>
    <row r="126">
      <c r="A126" t="n">
        <v>125</v>
      </c>
      <c r="B126" t="inlineStr">
        <is>
          <t>Thứ bảy ngày 09-05-2026</t>
        </is>
      </c>
      <c r="C126" t="n">
        <v>26192</v>
      </c>
      <c r="D126" t="n">
        <v>92</v>
      </c>
      <c r="E126" t="n">
        <v>5</v>
      </c>
      <c r="F126" t="inlineStr">
        <is>
          <t>T5-B0</t>
        </is>
      </c>
      <c r="G126" t="inlineStr">
        <is>
          <t>Trúng</t>
        </is>
      </c>
      <c r="H126" t="n">
        <v>96</v>
      </c>
      <c r="I126" t="inlineStr">
        <is>
          <t>T5-B0</t>
        </is>
      </c>
      <c r="J126" t="inlineStr">
        <is>
          <t>Trúng</t>
        </is>
      </c>
      <c r="K126" t="n">
        <v>86</v>
      </c>
      <c r="L126" t="inlineStr">
        <is>
          <t>T4-B9</t>
        </is>
      </c>
      <c r="M126" t="inlineStr">
        <is>
          <t>Không</t>
        </is>
      </c>
      <c r="N126" t="n">
        <v>45</v>
      </c>
      <c r="O126" t="inlineStr">
        <is>
          <t>T9-B4</t>
        </is>
      </c>
      <c r="P126" t="inlineStr">
        <is>
          <t>Không</t>
        </is>
      </c>
    </row>
    <row r="127">
      <c r="A127" t="n">
        <v>126</v>
      </c>
      <c r="B127" t="inlineStr">
        <is>
          <t>Chủ nhật ngày 10-05-2026</t>
        </is>
      </c>
      <c r="C127" t="n">
        <v>76223</v>
      </c>
      <c r="D127" t="n">
        <v>23</v>
      </c>
      <c r="E127" t="n">
        <v>17</v>
      </c>
      <c r="F127" t="inlineStr">
        <is>
          <t>T8-B3</t>
        </is>
      </c>
      <c r="G127" t="inlineStr">
        <is>
          <t>Trúng</t>
        </is>
      </c>
      <c r="H127" t="n">
        <v>15</v>
      </c>
      <c r="I127" t="inlineStr">
        <is>
          <t>T6-B1</t>
        </is>
      </c>
      <c r="J127" t="inlineStr">
        <is>
          <t>Không</t>
        </is>
      </c>
      <c r="K127" t="n">
        <v>30</v>
      </c>
      <c r="L127" t="inlineStr">
        <is>
          <t>T3-B8</t>
        </is>
      </c>
      <c r="M127" t="inlineStr">
        <is>
          <t>Trúng</t>
        </is>
      </c>
      <c r="N127" t="n">
        <v>52</v>
      </c>
      <c r="O127" t="inlineStr">
        <is>
          <t>T7-B2</t>
        </is>
      </c>
      <c r="P127" t="inlineStr">
        <is>
          <t>Không</t>
        </is>
      </c>
    </row>
    <row r="128">
      <c r="A128" t="n">
        <v>127</v>
      </c>
      <c r="B128" t="inlineStr">
        <is>
          <t>Thứ hai ngày 11-05-2026</t>
        </is>
      </c>
      <c r="C128" t="n">
        <v>52117</v>
      </c>
      <c r="D128" t="n">
        <v>17</v>
      </c>
      <c r="E128" t="n">
        <v>80</v>
      </c>
      <c r="F128" t="inlineStr">
        <is>
          <t>T8-B3</t>
        </is>
      </c>
      <c r="G128" t="inlineStr">
        <is>
          <t>Không</t>
        </is>
      </c>
      <c r="H128" t="n">
        <v>18</v>
      </c>
      <c r="I128" t="inlineStr">
        <is>
          <t>T9-B4</t>
        </is>
      </c>
      <c r="J128" t="inlineStr">
        <is>
          <t>Không</t>
        </is>
      </c>
      <c r="K128" t="n">
        <v>44</v>
      </c>
      <c r="L128" t="inlineStr">
        <is>
          <t>T8-B3</t>
        </is>
      </c>
      <c r="M128" t="inlineStr">
        <is>
          <t>Không</t>
        </is>
      </c>
      <c r="N128" t="n">
        <v>56</v>
      </c>
      <c r="O128" t="inlineStr">
        <is>
          <t>T1-B6</t>
        </is>
      </c>
      <c r="P128" t="inlineStr">
        <is>
          <t>Trúng</t>
        </is>
      </c>
    </row>
    <row r="129">
      <c r="A129" t="n">
        <v>128</v>
      </c>
      <c r="B129" t="inlineStr">
        <is>
          <t>Thứ ba ngày 12-05-2026</t>
        </is>
      </c>
      <c r="C129" t="n">
        <v>52233</v>
      </c>
      <c r="D129" t="n">
        <v>33</v>
      </c>
      <c r="E129" t="n">
        <v>27</v>
      </c>
      <c r="F129" t="inlineStr">
        <is>
          <t>T9-B4</t>
        </is>
      </c>
      <c r="G129" t="inlineStr">
        <is>
          <t>Không</t>
        </is>
      </c>
      <c r="H129" t="n">
        <v>32</v>
      </c>
      <c r="I129" t="inlineStr">
        <is>
          <t>T5-B0</t>
        </is>
      </c>
      <c r="J129" t="inlineStr">
        <is>
          <t>Không</t>
        </is>
      </c>
      <c r="K129" t="n">
        <v>31</v>
      </c>
      <c r="L129" t="inlineStr">
        <is>
          <t>T4-B9</t>
        </is>
      </c>
      <c r="M129" t="inlineStr">
        <is>
          <t>Không</t>
        </is>
      </c>
      <c r="N129" t="n">
        <v>58</v>
      </c>
      <c r="O129" t="inlineStr">
        <is>
          <t>T3-B8</t>
        </is>
      </c>
      <c r="P129" t="inlineStr">
        <is>
          <t>Không</t>
        </is>
      </c>
    </row>
    <row r="130">
      <c r="A130" t="n">
        <v>129</v>
      </c>
      <c r="B130" t="inlineStr">
        <is>
          <t>Thứ tư ngày 13-05-2026</t>
        </is>
      </c>
      <c r="C130" t="n">
        <v>64138</v>
      </c>
      <c r="D130" t="n">
        <v>38</v>
      </c>
      <c r="E130" t="n">
        <v>33</v>
      </c>
      <c r="F130" t="inlineStr">
        <is>
          <t>T6-B1</t>
        </is>
      </c>
      <c r="G130" t="inlineStr">
        <is>
          <t>Không</t>
        </is>
      </c>
      <c r="H130" t="n">
        <v>90</v>
      </c>
      <c r="I130" t="inlineStr">
        <is>
          <t>T9-B4</t>
        </is>
      </c>
      <c r="J130" t="inlineStr">
        <is>
          <t>Không</t>
        </is>
      </c>
      <c r="K130" t="n">
        <v>99</v>
      </c>
      <c r="L130" t="inlineStr">
        <is>
          <t>T8-B3</t>
        </is>
      </c>
      <c r="M130" t="inlineStr">
        <is>
          <t>Không</t>
        </is>
      </c>
      <c r="N130" t="n">
        <v>83</v>
      </c>
      <c r="O130" t="inlineStr">
        <is>
          <t>T1-B6</t>
        </is>
      </c>
      <c r="P130" t="inlineStr">
        <is>
          <t>Không</t>
        </is>
      </c>
    </row>
    <row r="131">
      <c r="A131" t="n">
        <v>130</v>
      </c>
      <c r="B131" t="inlineStr">
        <is>
          <t>Thứ năm ngày 14-05-2026</t>
        </is>
      </c>
      <c r="C131" t="n">
        <v>76669</v>
      </c>
      <c r="D131" t="n">
        <v>69</v>
      </c>
      <c r="E131" t="n">
        <v>4</v>
      </c>
      <c r="F131" t="inlineStr">
        <is>
          <t>T4-B9</t>
        </is>
      </c>
      <c r="G131" t="inlineStr">
        <is>
          <t>Không</t>
        </is>
      </c>
      <c r="H131" t="n">
        <v>48</v>
      </c>
      <c r="I131" t="inlineStr">
        <is>
          <t>T2-B7</t>
        </is>
      </c>
      <c r="J131" t="inlineStr">
        <is>
          <t>Không</t>
        </is>
      </c>
      <c r="K131" t="n">
        <v>62</v>
      </c>
      <c r="L131" t="inlineStr">
        <is>
          <t>T8-B3</t>
        </is>
      </c>
      <c r="M131" t="inlineStr">
        <is>
          <t>Trúng</t>
        </is>
      </c>
      <c r="N131" t="n">
        <v>43</v>
      </c>
      <c r="O131" t="inlineStr">
        <is>
          <t>T7-B2</t>
        </is>
      </c>
      <c r="P131" t="inlineStr">
        <is>
          <t>Không</t>
        </is>
      </c>
    </row>
    <row r="132">
      <c r="A132" t="n">
        <v>131</v>
      </c>
      <c r="B132" t="inlineStr">
        <is>
          <t>Thứ sáu ngày 15-05-2026</t>
        </is>
      </c>
      <c r="C132" t="n">
        <v>67294</v>
      </c>
      <c r="D132" t="n">
        <v>94</v>
      </c>
      <c r="E132" t="n">
        <v>49</v>
      </c>
      <c r="F132" t="inlineStr">
        <is>
          <t>T3-B8</t>
        </is>
      </c>
      <c r="G132" t="inlineStr">
        <is>
          <t>Không</t>
        </is>
      </c>
      <c r="H132" t="n">
        <v>47</v>
      </c>
      <c r="I132" t="inlineStr">
        <is>
          <t>T1-B6</t>
        </is>
      </c>
      <c r="J132" t="inlineStr">
        <is>
          <t>Không</t>
        </is>
      </c>
      <c r="K132" t="n">
        <v>9</v>
      </c>
      <c r="L132" t="inlineStr">
        <is>
          <t>T9-B4</t>
        </is>
      </c>
      <c r="M132" t="inlineStr">
        <is>
          <t>Trúng</t>
        </is>
      </c>
      <c r="N132" t="n">
        <v>33</v>
      </c>
      <c r="O132" t="inlineStr">
        <is>
          <t>T6-B1</t>
        </is>
      </c>
      <c r="P132" t="inlineStr">
        <is>
          <t>Không</t>
        </is>
      </c>
    </row>
    <row r="133">
      <c r="A133" t="n">
        <v>132</v>
      </c>
      <c r="B133" t="inlineStr">
        <is>
          <t>Thứ bảy ngày 16-05-2026</t>
        </is>
      </c>
      <c r="C133" t="n">
        <v>19404</v>
      </c>
      <c r="D133" t="n">
        <v>4</v>
      </c>
      <c r="E133" t="n">
        <v>66</v>
      </c>
      <c r="F133" t="inlineStr">
        <is>
          <t>T2-B7</t>
        </is>
      </c>
      <c r="G133" t="inlineStr">
        <is>
          <t>Trúng</t>
        </is>
      </c>
      <c r="H133" t="n">
        <v>60</v>
      </c>
      <c r="I133" t="inlineStr">
        <is>
          <t>T6-B1</t>
        </is>
      </c>
      <c r="J133" t="inlineStr">
        <is>
          <t>Không</t>
        </is>
      </c>
      <c r="K133" t="n">
        <v>81</v>
      </c>
      <c r="L133" t="inlineStr">
        <is>
          <t>T9-B4</t>
        </is>
      </c>
      <c r="M133" t="inlineStr">
        <is>
          <t>Không</t>
        </is>
      </c>
      <c r="N133" t="n">
        <v>84</v>
      </c>
      <c r="O133" t="inlineStr">
        <is>
          <t>T2-B7</t>
        </is>
      </c>
      <c r="P133" t="inlineStr">
        <is>
          <t>Trúng</t>
        </is>
      </c>
    </row>
    <row r="134">
      <c r="A134" t="n">
        <v>133</v>
      </c>
      <c r="B134" t="inlineStr">
        <is>
          <t>Chủ nhật ngày 17-05-2026</t>
        </is>
      </c>
      <c r="C134" t="n">
        <v>96684</v>
      </c>
      <c r="D134" t="n">
        <v>84</v>
      </c>
      <c r="E134" t="n">
        <v>9</v>
      </c>
      <c r="F134" t="inlineStr">
        <is>
          <t>T9-B4</t>
        </is>
      </c>
      <c r="G134" t="inlineStr">
        <is>
          <t>Không</t>
        </is>
      </c>
      <c r="H134" t="n">
        <v>51</v>
      </c>
      <c r="I134" t="inlineStr">
        <is>
          <t>T6-B1</t>
        </is>
      </c>
      <c r="J134" t="inlineStr">
        <is>
          <t>Không</t>
        </is>
      </c>
      <c r="K134" t="n">
        <v>22</v>
      </c>
      <c r="L134" t="inlineStr">
        <is>
          <t>T4-B9</t>
        </is>
      </c>
      <c r="M134" t="inlineStr">
        <is>
          <t>Không</t>
        </is>
      </c>
      <c r="N134" t="n">
        <v>93</v>
      </c>
      <c r="O134" t="inlineStr">
        <is>
          <t>T2-B7</t>
        </is>
      </c>
      <c r="P134" t="inlineStr">
        <is>
          <t>Trúng</t>
        </is>
      </c>
    </row>
    <row r="135">
      <c r="A135" t="n">
        <v>134</v>
      </c>
      <c r="B135" t="inlineStr">
        <is>
          <t>Thứ hai ngày 18-05-2026</t>
        </is>
      </c>
      <c r="C135" t="n">
        <v>55361</v>
      </c>
      <c r="D135" t="n">
        <v>61</v>
      </c>
      <c r="E135" t="n">
        <v>11</v>
      </c>
      <c r="F135" t="inlineStr">
        <is>
          <t>T2-B7</t>
        </is>
      </c>
      <c r="G135" t="inlineStr">
        <is>
          <t>Không</t>
        </is>
      </c>
      <c r="H135" t="n">
        <v>49</v>
      </c>
      <c r="I135" t="inlineStr">
        <is>
          <t>T3-B8</t>
        </is>
      </c>
      <c r="J135" t="inlineStr">
        <is>
          <t>Không</t>
        </is>
      </c>
      <c r="K135" t="n">
        <v>70</v>
      </c>
      <c r="L135" t="inlineStr">
        <is>
          <t>T7-B2</t>
        </is>
      </c>
      <c r="M135" t="inlineStr">
        <is>
          <t>Không</t>
        </is>
      </c>
      <c r="N135" t="n">
        <v>55</v>
      </c>
      <c r="O135" t="inlineStr">
        <is>
          <t>T0-B5</t>
        </is>
      </c>
      <c r="P135" t="inlineStr">
        <is>
          <t>Không</t>
        </is>
      </c>
    </row>
    <row r="136">
      <c r="A136" t="n">
        <v>135</v>
      </c>
      <c r="B136" t="inlineStr">
        <is>
          <t>Thứ ba ngày 19-05-2026</t>
        </is>
      </c>
      <c r="C136" t="n">
        <v>81754</v>
      </c>
      <c r="D136" t="n">
        <v>54</v>
      </c>
      <c r="E136" t="n">
        <v>62</v>
      </c>
      <c r="F136" t="inlineStr">
        <is>
          <t>T8-B3</t>
        </is>
      </c>
      <c r="G136" t="inlineStr">
        <is>
          <t>Không</t>
        </is>
      </c>
      <c r="H136" t="n">
        <v>18</v>
      </c>
      <c r="I136" t="inlineStr">
        <is>
          <t>T9-B4</t>
        </is>
      </c>
      <c r="J136" t="inlineStr">
        <is>
          <t>Trúng</t>
        </is>
      </c>
      <c r="K136" t="n">
        <v>17</v>
      </c>
      <c r="L136" t="inlineStr">
        <is>
          <t>T8-B3</t>
        </is>
      </c>
      <c r="M136" t="inlineStr">
        <is>
          <t>Không</t>
        </is>
      </c>
      <c r="N136" t="n">
        <v>87</v>
      </c>
      <c r="O136" t="inlineStr">
        <is>
          <t>T5-B0</t>
        </is>
      </c>
      <c r="P136" t="inlineStr">
        <is>
          <t>Không</t>
        </is>
      </c>
    </row>
    <row r="137">
      <c r="A137" t="n">
        <v>136</v>
      </c>
      <c r="B137" t="inlineStr">
        <is>
          <t>Thứ tư ngày 20-05-2026</t>
        </is>
      </c>
      <c r="C137" t="n">
        <v>88568</v>
      </c>
      <c r="D137" t="n">
        <v>68</v>
      </c>
      <c r="E137" t="n">
        <v>10</v>
      </c>
      <c r="F137" t="inlineStr">
        <is>
          <t>T1-B6</t>
        </is>
      </c>
      <c r="G137" t="inlineStr">
        <is>
          <t>Không</t>
        </is>
      </c>
      <c r="H137" t="n">
        <v>52</v>
      </c>
      <c r="I137" t="inlineStr">
        <is>
          <t>T7-B2</t>
        </is>
      </c>
      <c r="J137" t="inlineStr">
        <is>
          <t>Không</t>
        </is>
      </c>
      <c r="K137" t="n">
        <v>94</v>
      </c>
      <c r="L137" t="inlineStr">
        <is>
          <t>T3-B8</t>
        </is>
      </c>
      <c r="M137" t="inlineStr">
        <is>
          <t>Trúng</t>
        </is>
      </c>
      <c r="N137" t="n">
        <v>11</v>
      </c>
      <c r="O137" t="inlineStr">
        <is>
          <t>T2-B7</t>
        </is>
      </c>
      <c r="P137" t="inlineStr">
        <is>
          <t>Không</t>
        </is>
      </c>
    </row>
    <row r="138">
      <c r="A138" t="n">
        <v>137</v>
      </c>
      <c r="B138" t="inlineStr">
        <is>
          <t>Thứ năm ngày 21-05-2026</t>
        </is>
      </c>
      <c r="C138" t="n">
        <v>72685</v>
      </c>
      <c r="D138" t="n">
        <v>85</v>
      </c>
      <c r="E138" t="n">
        <v>38</v>
      </c>
      <c r="F138" t="inlineStr">
        <is>
          <t>T1-B6</t>
        </is>
      </c>
      <c r="G138" t="inlineStr">
        <is>
          <t>Không</t>
        </is>
      </c>
      <c r="H138" t="n">
        <v>54</v>
      </c>
      <c r="I138" t="inlineStr">
        <is>
          <t>T9-B4</t>
        </is>
      </c>
      <c r="J138" t="inlineStr">
        <is>
          <t>Không</t>
        </is>
      </c>
      <c r="K138" t="n">
        <v>95</v>
      </c>
      <c r="L138" t="inlineStr">
        <is>
          <t>T4-B9</t>
        </is>
      </c>
      <c r="M138" t="inlineStr">
        <is>
          <t>Không</t>
        </is>
      </c>
      <c r="N138" t="n">
        <v>74</v>
      </c>
      <c r="O138" t="inlineStr">
        <is>
          <t>T1-B6</t>
        </is>
      </c>
      <c r="P138" t="inlineStr">
        <is>
          <t>Không</t>
        </is>
      </c>
    </row>
    <row r="139">
      <c r="A139" t="n">
        <v>138</v>
      </c>
      <c r="B139" t="inlineStr">
        <is>
          <t>Thứ sáu ngày 22-05-2026</t>
        </is>
      </c>
      <c r="C139" t="n">
        <v>72939</v>
      </c>
      <c r="D139" t="n">
        <v>39</v>
      </c>
      <c r="E139" t="n">
        <v>43</v>
      </c>
      <c r="F139" t="inlineStr">
        <is>
          <t>T7-B2</t>
        </is>
      </c>
      <c r="G139" t="inlineStr">
        <is>
          <t>Không</t>
        </is>
      </c>
      <c r="H139" t="n">
        <v>12</v>
      </c>
      <c r="I139" t="inlineStr">
        <is>
          <t>T3-B8</t>
        </is>
      </c>
      <c r="J139" t="inlineStr">
        <is>
          <t>Trúng</t>
        </is>
      </c>
      <c r="K139" t="n">
        <v>78</v>
      </c>
      <c r="L139" t="inlineStr">
        <is>
          <t>T5-B0</t>
        </is>
      </c>
      <c r="M139" t="inlineStr">
        <is>
          <t>Không</t>
        </is>
      </c>
      <c r="N139" t="n">
        <v>81</v>
      </c>
      <c r="O139" t="inlineStr">
        <is>
          <t>T9-B4</t>
        </is>
      </c>
      <c r="P139" t="inlineStr">
        <is>
          <t>Không</t>
        </is>
      </c>
    </row>
    <row r="140">
      <c r="A140" t="n">
        <v>139</v>
      </c>
      <c r="B140" t="inlineStr">
        <is>
          <t>Thứ bảy ngày 23-05-2026</t>
        </is>
      </c>
      <c r="C140" t="n">
        <v>38021</v>
      </c>
      <c r="D140" t="n">
        <v>21</v>
      </c>
      <c r="E140" t="n">
        <v>84</v>
      </c>
      <c r="F140" t="inlineStr">
        <is>
          <t>T2-B7</t>
        </is>
      </c>
      <c r="G140" t="inlineStr">
        <is>
          <t>Không</t>
        </is>
      </c>
      <c r="H140" t="n">
        <v>36</v>
      </c>
      <c r="I140" t="inlineStr">
        <is>
          <t>T9-B4</t>
        </is>
      </c>
      <c r="J140" t="inlineStr">
        <is>
          <t>Trúng</t>
        </is>
      </c>
      <c r="K140" t="n">
        <v>85</v>
      </c>
      <c r="L140" t="inlineStr">
        <is>
          <t>T3-B8</t>
        </is>
      </c>
      <c r="M140" t="inlineStr">
        <is>
          <t>Không</t>
        </is>
      </c>
      <c r="N140" t="n">
        <v>26</v>
      </c>
      <c r="O140" t="inlineStr">
        <is>
          <t>T8-B3</t>
        </is>
      </c>
      <c r="P140" t="inlineStr">
        <is>
          <t>Không</t>
        </is>
      </c>
    </row>
    <row r="141">
      <c r="A141" t="n">
        <v>140</v>
      </c>
      <c r="B141" t="inlineStr">
        <is>
          <t>Chủ nhật ngày 24-05-2026</t>
        </is>
      </c>
      <c r="C141" t="n">
        <v>20104</v>
      </c>
      <c r="D141" t="n">
        <v>4</v>
      </c>
      <c r="E141" t="n">
        <v>29</v>
      </c>
      <c r="F141" t="inlineStr">
        <is>
          <t>T1-B6</t>
        </is>
      </c>
      <c r="G141" t="inlineStr">
        <is>
          <t>Không</t>
        </is>
      </c>
      <c r="H141" t="n">
        <v>58</v>
      </c>
      <c r="I141" t="inlineStr">
        <is>
          <t>T3-B8</t>
        </is>
      </c>
      <c r="J141" t="inlineStr">
        <is>
          <t>Không</t>
        </is>
      </c>
      <c r="K141" t="n">
        <v>6</v>
      </c>
      <c r="L141" t="inlineStr">
        <is>
          <t>T6-B1</t>
        </is>
      </c>
      <c r="M141" t="inlineStr">
        <is>
          <t>Không</t>
        </is>
      </c>
      <c r="N141" t="n">
        <v>96</v>
      </c>
      <c r="O141" t="inlineStr">
        <is>
          <t>T5-B0</t>
        </is>
      </c>
      <c r="P141" t="inlineStr">
        <is>
          <t>Không</t>
        </is>
      </c>
    </row>
    <row r="142">
      <c r="A142" t="n">
        <v>141</v>
      </c>
      <c r="B142" t="inlineStr">
        <is>
          <t>Thứ hai ngày 25-05-2026</t>
        </is>
      </c>
      <c r="C142" t="n">
        <v>97281</v>
      </c>
      <c r="D142" t="n">
        <v>81</v>
      </c>
      <c r="E142" t="n">
        <v>90</v>
      </c>
      <c r="F142" t="inlineStr">
        <is>
          <t>T9-B4</t>
        </is>
      </c>
      <c r="G142" t="inlineStr">
        <is>
          <t>Không</t>
        </is>
      </c>
      <c r="H142" t="n">
        <v>43</v>
      </c>
      <c r="I142" t="inlineStr">
        <is>
          <t>T7-B2</t>
        </is>
      </c>
      <c r="J142" t="inlineStr">
        <is>
          <t>Trúng</t>
        </is>
      </c>
      <c r="K142" t="n">
        <v>83</v>
      </c>
      <c r="L142" t="inlineStr">
        <is>
          <t>T1-B6</t>
        </is>
      </c>
      <c r="M142" t="inlineStr">
        <is>
          <t>Không</t>
        </is>
      </c>
      <c r="N142" t="n">
        <v>96</v>
      </c>
      <c r="O142" t="inlineStr">
        <is>
          <t>T5-B0</t>
        </is>
      </c>
      <c r="P142" t="inlineStr">
        <is>
          <t>Không</t>
        </is>
      </c>
    </row>
    <row r="143">
      <c r="A143" t="n">
        <v>142</v>
      </c>
      <c r="B143" t="inlineStr">
        <is>
          <t>Thứ ba ngày 26-05-2026</t>
        </is>
      </c>
      <c r="C143" t="n">
        <v>49111</v>
      </c>
      <c r="D143" t="n">
        <v>11</v>
      </c>
      <c r="E143" t="n">
        <v>74</v>
      </c>
      <c r="F143" t="inlineStr">
        <is>
          <t>T1-B6</t>
        </is>
      </c>
      <c r="G143" t="inlineStr">
        <is>
          <t>Không</t>
        </is>
      </c>
      <c r="H143" t="n">
        <v>39</v>
      </c>
      <c r="I143" t="inlineStr">
        <is>
          <t>T2-B7</t>
        </is>
      </c>
      <c r="J143" t="inlineStr">
        <is>
          <t>Không</t>
        </is>
      </c>
      <c r="K143" t="n">
        <v>28</v>
      </c>
      <c r="L143" t="inlineStr">
        <is>
          <t>T0-B5</t>
        </is>
      </c>
      <c r="M143" t="inlineStr">
        <is>
          <t>Không</t>
        </is>
      </c>
      <c r="N143" t="n">
        <v>81</v>
      </c>
      <c r="O143" t="inlineStr">
        <is>
          <t>T9-B4</t>
        </is>
      </c>
      <c r="P143" t="inlineStr">
        <is>
          <t>Trúng</t>
        </is>
      </c>
    </row>
    <row r="144">
      <c r="A144" t="n">
        <v>143</v>
      </c>
      <c r="B144" t="inlineStr">
        <is>
          <t>Thứ tư ngày 27-05-2026</t>
        </is>
      </c>
      <c r="C144" t="n">
        <v>61513</v>
      </c>
      <c r="D144" t="n">
        <v>13</v>
      </c>
      <c r="E144" t="n">
        <v>45</v>
      </c>
      <c r="F144" t="inlineStr">
        <is>
          <t>T9-B4</t>
        </is>
      </c>
      <c r="G144" t="inlineStr">
        <is>
          <t>Không</t>
        </is>
      </c>
      <c r="H144" t="n">
        <v>27</v>
      </c>
      <c r="I144" t="inlineStr">
        <is>
          <t>T9-B4</t>
        </is>
      </c>
      <c r="J144" t="inlineStr">
        <is>
          <t>Không</t>
        </is>
      </c>
      <c r="K144" t="n">
        <v>16</v>
      </c>
      <c r="L144" t="inlineStr">
        <is>
          <t>T7-B2</t>
        </is>
      </c>
      <c r="M144" t="inlineStr">
        <is>
          <t>Không</t>
        </is>
      </c>
      <c r="N144" t="n">
        <v>15</v>
      </c>
      <c r="O144" t="inlineStr">
        <is>
          <t>T6-B1</t>
        </is>
      </c>
      <c r="P144" t="inlineStr">
        <is>
          <t>Không</t>
        </is>
      </c>
    </row>
    <row r="145">
      <c r="A145" t="n">
        <v>144</v>
      </c>
      <c r="B145" t="inlineStr">
        <is>
          <t>Thứ năm ngày 28-05-2026</t>
        </is>
      </c>
      <c r="C145" t="n">
        <v>250</v>
      </c>
      <c r="D145" t="n">
        <v>50</v>
      </c>
      <c r="E145" t="n">
        <v>16</v>
      </c>
      <c r="F145" t="inlineStr">
        <is>
          <t>T7-B2</t>
        </is>
      </c>
      <c r="G145" t="inlineStr">
        <is>
          <t>Không</t>
        </is>
      </c>
      <c r="H145" t="n">
        <v>0</v>
      </c>
      <c r="I145" t="inlineStr">
        <is>
          <t>T0-B5</t>
        </is>
      </c>
      <c r="J145" t="inlineStr">
        <is>
          <t>Không</t>
        </is>
      </c>
      <c r="K145" t="n">
        <v>51</v>
      </c>
      <c r="L145" t="inlineStr">
        <is>
          <t>T6-B1</t>
        </is>
      </c>
      <c r="M145" t="inlineStr">
        <is>
          <t>Không</t>
        </is>
      </c>
      <c r="N145" t="n">
        <v>99</v>
      </c>
      <c r="O145" t="inlineStr">
        <is>
          <t>T8-B3</t>
        </is>
      </c>
      <c r="P145" t="inlineStr">
        <is>
          <t>Không</t>
        </is>
      </c>
    </row>
    <row r="146">
      <c r="A146" t="n">
        <v>145</v>
      </c>
      <c r="B146" t="inlineStr">
        <is>
          <t>Thứ sáu ngày 29-05-2026</t>
        </is>
      </c>
      <c r="C146" t="n">
        <v>77954</v>
      </c>
      <c r="D146" t="n">
        <v>54</v>
      </c>
      <c r="E146" t="n">
        <v>17</v>
      </c>
      <c r="F146" t="inlineStr">
        <is>
          <t>T8-B3</t>
        </is>
      </c>
      <c r="G146" t="inlineStr">
        <is>
          <t>Không</t>
        </is>
      </c>
      <c r="H146" t="n">
        <v>16</v>
      </c>
      <c r="I146" t="inlineStr">
        <is>
          <t>T7-B2</t>
        </is>
      </c>
      <c r="J146" t="inlineStr">
        <is>
          <t>Trúng</t>
        </is>
      </c>
      <c r="K146" t="n">
        <v>66</v>
      </c>
      <c r="L146" t="inlineStr">
        <is>
          <t>T2-B7</t>
        </is>
      </c>
      <c r="M146" t="inlineStr">
        <is>
          <t>Trúng</t>
        </is>
      </c>
      <c r="N146" t="n">
        <v>83</v>
      </c>
      <c r="O146" t="inlineStr">
        <is>
          <t>T1-B6</t>
        </is>
      </c>
      <c r="P146" t="inlineStr">
        <is>
          <t>Không</t>
        </is>
      </c>
    </row>
    <row r="147">
      <c r="A147" t="n">
        <v>146</v>
      </c>
      <c r="B147" t="inlineStr">
        <is>
          <t>Thứ bảy ngày 30-05-2026</t>
        </is>
      </c>
      <c r="C147" t="n">
        <v>17743</v>
      </c>
      <c r="D147" t="n">
        <v>43</v>
      </c>
      <c r="E147" t="n">
        <v>51</v>
      </c>
      <c r="F147" t="inlineStr">
        <is>
          <t>T6-B1</t>
        </is>
      </c>
      <c r="G147" t="inlineStr">
        <is>
          <t>Trúng</t>
        </is>
      </c>
      <c r="H147" t="n">
        <v>56</v>
      </c>
      <c r="I147" t="inlineStr">
        <is>
          <t>T1-B6</t>
        </is>
      </c>
      <c r="J147" t="inlineStr">
        <is>
          <t>Trúng</t>
        </is>
      </c>
      <c r="K147" t="n">
        <v>96</v>
      </c>
      <c r="L147" t="inlineStr">
        <is>
          <t>T5-B0</t>
        </is>
      </c>
      <c r="M147" t="inlineStr">
        <is>
          <t>Không</t>
        </is>
      </c>
      <c r="N147" t="n">
        <v>44</v>
      </c>
      <c r="O147" t="inlineStr">
        <is>
          <t>T8-B3</t>
        </is>
      </c>
      <c r="P147" t="inlineStr">
        <is>
          <t>Không</t>
        </is>
      </c>
    </row>
    <row r="148">
      <c r="A148" t="n">
        <v>147</v>
      </c>
      <c r="B148" t="inlineStr">
        <is>
          <t>Chủ nhật ngày 31-05-2026</t>
        </is>
      </c>
      <c r="C148" t="n">
        <v>24042</v>
      </c>
      <c r="D148" t="n">
        <v>42</v>
      </c>
      <c r="E148" t="n">
        <v>73</v>
      </c>
      <c r="F148" t="inlineStr">
        <is>
          <t>T0-B5</t>
        </is>
      </c>
      <c r="G148" t="inlineStr">
        <is>
          <t>Không</t>
        </is>
      </c>
      <c r="H148" t="n">
        <v>39</v>
      </c>
      <c r="I148" t="inlineStr">
        <is>
          <t>T2-B7</t>
        </is>
      </c>
      <c r="J148" t="inlineStr">
        <is>
          <t>Không</t>
        </is>
      </c>
      <c r="K148" t="n">
        <v>81</v>
      </c>
      <c r="L148" t="inlineStr">
        <is>
          <t>T9-B4</t>
        </is>
      </c>
      <c r="M148" t="inlineStr">
        <is>
          <t>Không</t>
        </is>
      </c>
      <c r="N148" t="n">
        <v>84</v>
      </c>
      <c r="O148" t="inlineStr">
        <is>
          <t>T2-B7</t>
        </is>
      </c>
      <c r="P148" t="inlineStr">
        <is>
          <t>Không</t>
        </is>
      </c>
    </row>
    <row r="149">
      <c r="A149" t="n">
        <v>148</v>
      </c>
      <c r="B149" t="inlineStr">
        <is>
          <t>Thứ hai ngày 01-06-2026</t>
        </is>
      </c>
      <c r="C149" t="n">
        <v>90353</v>
      </c>
      <c r="D149" t="n">
        <v>53</v>
      </c>
      <c r="E149" t="n">
        <v>42</v>
      </c>
      <c r="F149" t="inlineStr">
        <is>
          <t>T6-B1</t>
        </is>
      </c>
      <c r="G149" t="inlineStr">
        <is>
          <t>Không</t>
        </is>
      </c>
      <c r="H149" t="n">
        <v>67</v>
      </c>
      <c r="I149" t="inlineStr">
        <is>
          <t>T3-B8</t>
        </is>
      </c>
      <c r="J149" t="inlineStr">
        <is>
          <t>Không</t>
        </is>
      </c>
      <c r="K149" t="n">
        <v>20</v>
      </c>
      <c r="L149" t="inlineStr">
        <is>
          <t>T2-B7</t>
        </is>
      </c>
      <c r="M149" t="inlineStr">
        <is>
          <t>Không</t>
        </is>
      </c>
      <c r="N149" t="n">
        <v>10</v>
      </c>
      <c r="O149" t="inlineStr">
        <is>
          <t>T1-B6</t>
        </is>
      </c>
      <c r="P149" t="inlineStr">
        <is>
          <t>Không</t>
        </is>
      </c>
    </row>
    <row r="150">
      <c r="A150" t="n">
        <v>149</v>
      </c>
      <c r="B150" t="inlineStr">
        <is>
          <t>Thứ ba ngày 02-06-2026</t>
        </is>
      </c>
      <c r="C150" t="n">
        <v>73823</v>
      </c>
      <c r="D150" t="n">
        <v>23</v>
      </c>
      <c r="E150" t="n">
        <v>32</v>
      </c>
      <c r="F150" t="inlineStr">
        <is>
          <t>T5-B0</t>
        </is>
      </c>
      <c r="G150" t="inlineStr">
        <is>
          <t>Không</t>
        </is>
      </c>
      <c r="H150" t="n">
        <v>59</v>
      </c>
      <c r="I150" t="inlineStr">
        <is>
          <t>T4-B9</t>
        </is>
      </c>
      <c r="J150" t="inlineStr">
        <is>
          <t>Trúng</t>
        </is>
      </c>
      <c r="K150" t="n">
        <v>83</v>
      </c>
      <c r="L150" t="inlineStr">
        <is>
          <t>T1-B6</t>
        </is>
      </c>
      <c r="M150" t="inlineStr">
        <is>
          <t>Không</t>
        </is>
      </c>
      <c r="N150" t="n">
        <v>87</v>
      </c>
      <c r="O150" t="inlineStr">
        <is>
          <t>T5-B0</t>
        </is>
      </c>
      <c r="P150" t="inlineStr">
        <is>
          <t>Không</t>
        </is>
      </c>
    </row>
    <row r="151">
      <c r="A151" t="n">
        <v>150</v>
      </c>
      <c r="B151" t="inlineStr">
        <is>
          <t>Thứ tư ngày 03-06-2026</t>
        </is>
      </c>
      <c r="C151" t="n">
        <v>2636</v>
      </c>
      <c r="D151" t="n">
        <v>36</v>
      </c>
      <c r="E151" t="n">
        <v>52</v>
      </c>
      <c r="F151" t="inlineStr">
        <is>
          <t>T7-B2</t>
        </is>
      </c>
      <c r="G151" t="inlineStr">
        <is>
          <t>Không</t>
        </is>
      </c>
      <c r="H151" t="n">
        <v>90</v>
      </c>
      <c r="I151" t="inlineStr">
        <is>
          <t>T9-B4</t>
        </is>
      </c>
      <c r="J151" t="inlineStr">
        <is>
          <t>Không</t>
        </is>
      </c>
      <c r="K151" t="n">
        <v>77</v>
      </c>
      <c r="L151" t="inlineStr">
        <is>
          <t>T4-B9</t>
        </is>
      </c>
      <c r="M151" t="inlineStr">
        <is>
          <t>Không</t>
        </is>
      </c>
      <c r="N151" t="n">
        <v>34</v>
      </c>
      <c r="O151" t="inlineStr">
        <is>
          <t>T7-B2</t>
        </is>
      </c>
      <c r="P151" t="inlineStr">
        <is>
          <t>Không</t>
        </is>
      </c>
    </row>
    <row r="152">
      <c r="A152" t="n">
        <v>151</v>
      </c>
      <c r="B152" t="inlineStr">
        <is>
          <t>Thứ năm ngày 04-06-2026</t>
        </is>
      </c>
      <c r="C152" t="n">
        <v>5583</v>
      </c>
      <c r="D152" t="n">
        <v>83</v>
      </c>
      <c r="E152" t="n">
        <v>33</v>
      </c>
      <c r="F152" t="inlineStr">
        <is>
          <t>T6-B1</t>
        </is>
      </c>
      <c r="G152" t="inlineStr">
        <is>
          <t>Không</t>
        </is>
      </c>
      <c r="H152" t="n">
        <v>52</v>
      </c>
      <c r="I152" t="inlineStr">
        <is>
          <t>T7-B2</t>
        </is>
      </c>
      <c r="J152" t="inlineStr">
        <is>
          <t>Không</t>
        </is>
      </c>
      <c r="K152" t="n">
        <v>80</v>
      </c>
      <c r="L152" t="inlineStr">
        <is>
          <t>T8-B3</t>
        </is>
      </c>
      <c r="M152" t="inlineStr">
        <is>
          <t>Không</t>
        </is>
      </c>
      <c r="N152" t="n">
        <v>16</v>
      </c>
      <c r="O152" t="inlineStr">
        <is>
          <t>T7-B2</t>
        </is>
      </c>
      <c r="P152" t="inlineStr">
        <is>
          <t>Không</t>
        </is>
      </c>
    </row>
    <row r="153">
      <c r="A153" t="n">
        <v>152</v>
      </c>
      <c r="B153" t="inlineStr">
        <is>
          <t>Thứ sáu ngày 05-06-2026</t>
        </is>
      </c>
      <c r="C153" t="n">
        <v>74978</v>
      </c>
      <c r="D153" t="n">
        <v>78</v>
      </c>
      <c r="E153" t="n">
        <v>49</v>
      </c>
      <c r="F153" t="inlineStr">
        <is>
          <t>T3-B8</t>
        </is>
      </c>
      <c r="G153" t="inlineStr">
        <is>
          <t>Không</t>
        </is>
      </c>
      <c r="H153" t="n">
        <v>52</v>
      </c>
      <c r="I153" t="inlineStr">
        <is>
          <t>T7-B2</t>
        </is>
      </c>
      <c r="J153" t="inlineStr">
        <is>
          <t>Không</t>
        </is>
      </c>
      <c r="K153" t="n">
        <v>99</v>
      </c>
      <c r="L153" t="inlineStr">
        <is>
          <t>T8-B3</t>
        </is>
      </c>
      <c r="M153" t="inlineStr">
        <is>
          <t>Không</t>
        </is>
      </c>
      <c r="N153" t="n">
        <v>46</v>
      </c>
      <c r="O153" t="inlineStr">
        <is>
          <t>T0-B5</t>
        </is>
      </c>
      <c r="P153" t="inlineStr">
        <is>
          <t>Không</t>
        </is>
      </c>
    </row>
    <row r="154">
      <c r="A154" t="n">
        <v>153</v>
      </c>
      <c r="B154" t="inlineStr">
        <is>
          <t>Thứ bảy ngày 06-06-2026</t>
        </is>
      </c>
      <c r="C154" t="n">
        <v>33465</v>
      </c>
      <c r="D154" t="n">
        <v>65</v>
      </c>
      <c r="E154" t="n">
        <v>53</v>
      </c>
      <c r="F154" t="inlineStr">
        <is>
          <t>T8-B3</t>
        </is>
      </c>
      <c r="G154" t="inlineStr">
        <is>
          <t>Không</t>
        </is>
      </c>
      <c r="H154" t="n">
        <v>32</v>
      </c>
      <c r="I154" t="inlineStr">
        <is>
          <t>T5-B0</t>
        </is>
      </c>
      <c r="J154" t="inlineStr">
        <is>
          <t>Không</t>
        </is>
      </c>
      <c r="K154" t="n">
        <v>69</v>
      </c>
      <c r="L154" t="inlineStr">
        <is>
          <t>T5-B0</t>
        </is>
      </c>
      <c r="M154" t="inlineStr">
        <is>
          <t>Không</t>
        </is>
      </c>
      <c r="N154" t="n">
        <v>52</v>
      </c>
      <c r="O154" t="inlineStr">
        <is>
          <t>T7-B2</t>
        </is>
      </c>
      <c r="P154" t="inlineStr">
        <is>
          <t>Trúng</t>
        </is>
      </c>
    </row>
    <row r="155">
      <c r="A155" t="n">
        <v>154</v>
      </c>
      <c r="B155" t="inlineStr">
        <is>
          <t>Chủ nhật ngày 07-06-2026</t>
        </is>
      </c>
      <c r="C155" t="n">
        <v>15393</v>
      </c>
      <c r="D155" t="n">
        <v>93</v>
      </c>
      <c r="E155" t="n">
        <v>9</v>
      </c>
      <c r="F155" t="inlineStr">
        <is>
          <t>T9-B4</t>
        </is>
      </c>
      <c r="G155" t="inlineStr">
        <is>
          <t>Không</t>
        </is>
      </c>
      <c r="H155" t="n">
        <v>11</v>
      </c>
      <c r="I155" t="inlineStr">
        <is>
          <t>T2-B7</t>
        </is>
      </c>
      <c r="J155" t="inlineStr">
        <is>
          <t>Không</t>
        </is>
      </c>
      <c r="K155" t="n">
        <v>41</v>
      </c>
      <c r="L155" t="inlineStr">
        <is>
          <t>T5-B0</t>
        </is>
      </c>
      <c r="M155" t="inlineStr">
        <is>
          <t>Trúng</t>
        </is>
      </c>
      <c r="N155" t="n">
        <v>15</v>
      </c>
      <c r="O155" t="inlineStr">
        <is>
          <t>T6-B1</t>
        </is>
      </c>
      <c r="P155" t="inlineStr">
        <is>
          <t>Không</t>
        </is>
      </c>
    </row>
    <row r="156">
      <c r="A156" t="n">
        <v>155</v>
      </c>
      <c r="B156" t="inlineStr">
        <is>
          <t>Thứ hai ngày 08-06-2026</t>
        </is>
      </c>
      <c r="C156" t="n">
        <v>53505</v>
      </c>
      <c r="D156" t="n">
        <v>5</v>
      </c>
      <c r="E156" t="n">
        <v>31</v>
      </c>
      <c r="F156" t="inlineStr">
        <is>
          <t>T4-B9</t>
        </is>
      </c>
      <c r="G156" t="inlineStr">
        <is>
          <t>Không</t>
        </is>
      </c>
      <c r="H156" t="n">
        <v>21</v>
      </c>
      <c r="I156" t="inlineStr">
        <is>
          <t>T3-B8</t>
        </is>
      </c>
      <c r="J156" t="inlineStr">
        <is>
          <t>Không</t>
        </is>
      </c>
      <c r="K156" t="n">
        <v>61</v>
      </c>
      <c r="L156" t="inlineStr">
        <is>
          <t>T7-B2</t>
        </is>
      </c>
      <c r="M156" t="inlineStr">
        <is>
          <t>Không</t>
        </is>
      </c>
      <c r="N156" t="n">
        <v>7</v>
      </c>
      <c r="O156" t="inlineStr">
        <is>
          <t>T7-B2</t>
        </is>
      </c>
      <c r="P156" t="inlineStr">
        <is>
          <t>Không</t>
        </is>
      </c>
    </row>
    <row r="157">
      <c r="A157" t="n">
        <v>156</v>
      </c>
      <c r="B157" t="inlineStr">
        <is>
          <t>Thứ ba ngày 09-06-2026</t>
        </is>
      </c>
      <c r="C157" t="n">
        <v>7251</v>
      </c>
      <c r="D157" t="n">
        <v>51</v>
      </c>
      <c r="E157" t="n">
        <v>10</v>
      </c>
      <c r="F157" t="inlineStr">
        <is>
          <t>T1-B6</t>
        </is>
      </c>
      <c r="G157" t="inlineStr">
        <is>
          <t>Không</t>
        </is>
      </c>
      <c r="H157" t="n">
        <v>90</v>
      </c>
      <c r="I157" t="inlineStr">
        <is>
          <t>T9-B4</t>
        </is>
      </c>
      <c r="J157" t="inlineStr">
        <is>
          <t>Không</t>
        </is>
      </c>
      <c r="K157" t="n">
        <v>47</v>
      </c>
      <c r="L157" t="inlineStr">
        <is>
          <t>T1-B6</t>
        </is>
      </c>
      <c r="M157" t="inlineStr">
        <is>
          <t>Không</t>
        </is>
      </c>
      <c r="N157" t="n">
        <v>49</v>
      </c>
      <c r="O157" t="inlineStr">
        <is>
          <t>T3-B8</t>
        </is>
      </c>
      <c r="P157" t="inlineStr">
        <is>
          <t>Trúng</t>
        </is>
      </c>
    </row>
    <row r="158">
      <c r="A158" t="n">
        <v>157</v>
      </c>
      <c r="B158" t="inlineStr">
        <is>
          <t>Thứ tư ngày 10-06-2026</t>
        </is>
      </c>
      <c r="C158" t="n">
        <v>4308</v>
      </c>
      <c r="D158" t="n">
        <v>8</v>
      </c>
      <c r="E158" t="n">
        <v>52</v>
      </c>
      <c r="F158" t="inlineStr">
        <is>
          <t>T7-B2</t>
        </is>
      </c>
      <c r="G158" t="inlineStr">
        <is>
          <t>Không</t>
        </is>
      </c>
      <c r="H158" t="n">
        <v>13</v>
      </c>
      <c r="I158" t="inlineStr">
        <is>
          <t>T4-B9</t>
        </is>
      </c>
      <c r="J158" t="inlineStr">
        <is>
          <t>Không</t>
        </is>
      </c>
      <c r="K158" t="n">
        <v>5</v>
      </c>
      <c r="L158" t="inlineStr">
        <is>
          <t>T5-B0</t>
        </is>
      </c>
      <c r="M158" t="inlineStr">
        <is>
          <t>Không</t>
        </is>
      </c>
      <c r="N158" t="n">
        <v>7</v>
      </c>
      <c r="O158" t="inlineStr">
        <is>
          <t>T7-B2</t>
        </is>
      </c>
      <c r="P158" t="inlineStr">
        <is>
          <t>Không</t>
        </is>
      </c>
    </row>
    <row r="159">
      <c r="A159" t="n">
        <v>158</v>
      </c>
      <c r="B159" t="inlineStr">
        <is>
          <t>Thứ năm ngày 11-06-2026</t>
        </is>
      </c>
      <c r="C159" t="n">
        <v>99983</v>
      </c>
      <c r="D159" t="n">
        <v>83</v>
      </c>
      <c r="E159" t="n">
        <v>20</v>
      </c>
      <c r="F159" t="inlineStr">
        <is>
          <t>T2-B7</t>
        </is>
      </c>
      <c r="G159" t="inlineStr">
        <is>
          <t>Trúng</t>
        </is>
      </c>
      <c r="H159" t="n">
        <v>56</v>
      </c>
      <c r="I159" t="inlineStr">
        <is>
          <t>T1-B6</t>
        </is>
      </c>
      <c r="J159" t="inlineStr">
        <is>
          <t>Không</t>
        </is>
      </c>
      <c r="K159" t="n">
        <v>59</v>
      </c>
      <c r="L159" t="inlineStr">
        <is>
          <t>T4-B9</t>
        </is>
      </c>
      <c r="M159" t="inlineStr">
        <is>
          <t>Không</t>
        </is>
      </c>
      <c r="N159" t="n">
        <v>54</v>
      </c>
      <c r="O159" t="inlineStr">
        <is>
          <t>T9-B4</t>
        </is>
      </c>
      <c r="P159" t="inlineStr">
        <is>
          <t>Không</t>
        </is>
      </c>
    </row>
    <row r="160">
      <c r="A160" t="n">
        <v>159</v>
      </c>
      <c r="B160" t="inlineStr">
        <is>
          <t>Thứ sáu ngày 12-06-2026</t>
        </is>
      </c>
      <c r="C160" t="n">
        <v>24889</v>
      </c>
      <c r="D160" t="n">
        <v>89</v>
      </c>
      <c r="E160" t="n">
        <v>76</v>
      </c>
      <c r="F160" t="inlineStr">
        <is>
          <t>T3-B8</t>
        </is>
      </c>
      <c r="G160" t="inlineStr">
        <is>
          <t>Không</t>
        </is>
      </c>
      <c r="H160" t="n">
        <v>89</v>
      </c>
      <c r="I160" t="inlineStr">
        <is>
          <t>T7-B2</t>
        </is>
      </c>
      <c r="J160" t="inlineStr">
        <is>
          <t>Không</t>
        </is>
      </c>
      <c r="K160" t="n">
        <v>26</v>
      </c>
      <c r="L160" t="inlineStr">
        <is>
          <t>T8-B3</t>
        </is>
      </c>
      <c r="M160" t="inlineStr">
        <is>
          <t>Không</t>
        </is>
      </c>
      <c r="N160" t="n">
        <v>47</v>
      </c>
      <c r="O160" t="inlineStr">
        <is>
          <t>T1-B6</t>
        </is>
      </c>
      <c r="P160" t="inlineStr">
        <is>
          <t>Không</t>
        </is>
      </c>
    </row>
    <row r="161">
      <c r="A161" t="n">
        <v>160</v>
      </c>
      <c r="B161" t="inlineStr">
        <is>
          <t>Thứ bảy ngày 13-06-2026</t>
        </is>
      </c>
      <c r="C161" t="n">
        <v>60014</v>
      </c>
      <c r="D161" t="n">
        <v>14</v>
      </c>
      <c r="E161" t="n">
        <v>1</v>
      </c>
      <c r="F161" t="inlineStr">
        <is>
          <t>T1-B6</t>
        </is>
      </c>
      <c r="G161" t="inlineStr">
        <is>
          <t>Không</t>
        </is>
      </c>
      <c r="H161" t="n">
        <v>44</v>
      </c>
      <c r="I161" t="inlineStr">
        <is>
          <t>T8-B3</t>
        </is>
      </c>
      <c r="J161" t="inlineStr">
        <is>
          <t>Không</t>
        </is>
      </c>
      <c r="K161" t="n">
        <v>93</v>
      </c>
      <c r="L161" t="inlineStr">
        <is>
          <t>T2-B7</t>
        </is>
      </c>
      <c r="M161" t="inlineStr">
        <is>
          <t>Không</t>
        </is>
      </c>
      <c r="N161" t="n">
        <v>72</v>
      </c>
      <c r="O161" t="inlineStr">
        <is>
          <t>T9-B4</t>
        </is>
      </c>
      <c r="P161" t="inlineStr">
        <is>
          <t>Không</t>
        </is>
      </c>
    </row>
    <row r="162">
      <c r="A162" t="n">
        <v>161</v>
      </c>
      <c r="B162" t="inlineStr">
        <is>
          <t>Chủ nhật ngày 14-06-2026</t>
        </is>
      </c>
      <c r="C162" t="n">
        <v>63000</v>
      </c>
      <c r="D162" t="n">
        <v>0</v>
      </c>
      <c r="E162" t="n">
        <v>48</v>
      </c>
      <c r="F162" t="inlineStr">
        <is>
          <t>T2-B7</t>
        </is>
      </c>
      <c r="G162" t="inlineStr">
        <is>
          <t>Không</t>
        </is>
      </c>
      <c r="H162" t="n">
        <v>99</v>
      </c>
      <c r="I162" t="inlineStr">
        <is>
          <t>T8-B3</t>
        </is>
      </c>
      <c r="J162" t="inlineStr">
        <is>
          <t>Trúng</t>
        </is>
      </c>
      <c r="K162" t="n">
        <v>69</v>
      </c>
      <c r="L162" t="inlineStr">
        <is>
          <t>T5-B0</t>
        </is>
      </c>
      <c r="M162" t="inlineStr">
        <is>
          <t>Không</t>
        </is>
      </c>
      <c r="N162" t="n">
        <v>38</v>
      </c>
      <c r="O162" t="inlineStr">
        <is>
          <t>T1-B6</t>
        </is>
      </c>
      <c r="P162" t="inlineStr">
        <is>
          <t>Không</t>
        </is>
      </c>
    </row>
    <row r="163">
      <c r="A163" t="n">
        <v>162</v>
      </c>
      <c r="B163" t="inlineStr">
        <is>
          <t>Thứ hai ngày 15-06-2026</t>
        </is>
      </c>
      <c r="C163" t="n">
        <v>71680</v>
      </c>
      <c r="D163" t="n">
        <v>80</v>
      </c>
      <c r="E163" t="n">
        <v>62</v>
      </c>
      <c r="F163" t="inlineStr">
        <is>
          <t>T8-B3</t>
        </is>
      </c>
      <c r="G163" t="inlineStr">
        <is>
          <t>Không</t>
        </is>
      </c>
      <c r="H163" t="n">
        <v>86</v>
      </c>
      <c r="I163" t="inlineStr">
        <is>
          <t>T4-B9</t>
        </is>
      </c>
      <c r="J163" t="inlineStr">
        <is>
          <t>Không</t>
        </is>
      </c>
      <c r="K163" t="n">
        <v>27</v>
      </c>
      <c r="L163" t="inlineStr">
        <is>
          <t>T9-B4</t>
        </is>
      </c>
      <c r="M163" t="inlineStr">
        <is>
          <t>Không</t>
        </is>
      </c>
      <c r="N163" t="n">
        <v>0</v>
      </c>
      <c r="O163" t="inlineStr">
        <is>
          <t>T0-B5</t>
        </is>
      </c>
      <c r="P163" t="inlineStr">
        <is>
          <t>Không</t>
        </is>
      </c>
    </row>
    <row r="164">
      <c r="A164" t="n">
        <v>163</v>
      </c>
      <c r="B164" t="inlineStr">
        <is>
          <t>Thứ ba ngày 16-06-2026</t>
        </is>
      </c>
      <c r="C164" t="n">
        <v>80384</v>
      </c>
      <c r="D164" t="n">
        <v>84</v>
      </c>
      <c r="E164" t="n">
        <v>11</v>
      </c>
      <c r="F164" t="inlineStr">
        <is>
          <t>T2-B7</t>
        </is>
      </c>
      <c r="G164" t="inlineStr">
        <is>
          <t>Không</t>
        </is>
      </c>
      <c r="H164" t="n">
        <v>59</v>
      </c>
      <c r="I164" t="inlineStr">
        <is>
          <t>T4-B9</t>
        </is>
      </c>
      <c r="J164" t="inlineStr">
        <is>
          <t>Không</t>
        </is>
      </c>
      <c r="K164" t="n">
        <v>55</v>
      </c>
      <c r="L164" t="inlineStr">
        <is>
          <t>T0-B5</t>
        </is>
      </c>
      <c r="M164" t="inlineStr">
        <is>
          <t>Không</t>
        </is>
      </c>
      <c r="N164" t="n">
        <v>70</v>
      </c>
      <c r="O164" t="inlineStr">
        <is>
          <t>T7-B2</t>
        </is>
      </c>
      <c r="P164" t="inlineStr">
        <is>
          <t>Không</t>
        </is>
      </c>
    </row>
    <row r="165">
      <c r="A165" t="n">
        <v>164</v>
      </c>
      <c r="B165" t="inlineStr">
        <is>
          <t>Thứ tư ngày 17-06-2026</t>
        </is>
      </c>
      <c r="C165" t="n">
        <v>71203</v>
      </c>
      <c r="D165" t="n">
        <v>3</v>
      </c>
      <c r="E165" t="n">
        <v>21</v>
      </c>
      <c r="F165" t="inlineStr">
        <is>
          <t>T3-B8</t>
        </is>
      </c>
      <c r="G165" t="inlineStr">
        <is>
          <t>Không</t>
        </is>
      </c>
      <c r="H165" t="n">
        <v>16</v>
      </c>
      <c r="I165" t="inlineStr">
        <is>
          <t>T7-B2</t>
        </is>
      </c>
      <c r="J165" t="inlineStr">
        <is>
          <t>Không</t>
        </is>
      </c>
      <c r="K165" t="n">
        <v>61</v>
      </c>
      <c r="L165" t="inlineStr">
        <is>
          <t>T7-B2</t>
        </is>
      </c>
      <c r="M165" t="inlineStr">
        <is>
          <t>Không</t>
        </is>
      </c>
      <c r="N165" t="n">
        <v>97</v>
      </c>
      <c r="O165" t="inlineStr">
        <is>
          <t>T6-B1</t>
        </is>
      </c>
      <c r="P165" t="inlineStr">
        <is>
          <t>Không</t>
        </is>
      </c>
    </row>
    <row r="166">
      <c r="A166" t="n">
        <v>165</v>
      </c>
      <c r="B166" t="inlineStr">
        <is>
          <t>Thứ năm ngày 18-06-2026</t>
        </is>
      </c>
      <c r="C166" t="n">
        <v>15032</v>
      </c>
      <c r="D166" t="n">
        <v>32</v>
      </c>
      <c r="E166" t="n">
        <v>33</v>
      </c>
      <c r="F166" t="inlineStr">
        <is>
          <t>T6-B1</t>
        </is>
      </c>
      <c r="G166" t="inlineStr">
        <is>
          <t>Không</t>
        </is>
      </c>
      <c r="H166" t="n">
        <v>8</v>
      </c>
      <c r="I166" t="inlineStr">
        <is>
          <t>T8-B3</t>
        </is>
      </c>
      <c r="J166" t="inlineStr">
        <is>
          <t>Không</t>
        </is>
      </c>
      <c r="K166" t="n">
        <v>5</v>
      </c>
      <c r="L166" t="inlineStr">
        <is>
          <t>T5-B0</t>
        </is>
      </c>
      <c r="M166" t="inlineStr">
        <is>
          <t>Trúng</t>
        </is>
      </c>
      <c r="N166" t="n">
        <v>68</v>
      </c>
      <c r="O166" t="inlineStr">
        <is>
          <t>T4-B9</t>
        </is>
      </c>
      <c r="P166" t="inlineStr">
        <is>
          <t>Không</t>
        </is>
      </c>
    </row>
    <row r="167">
      <c r="A167" t="n">
        <v>166</v>
      </c>
      <c r="B167" t="inlineStr">
        <is>
          <t>Thứ sáu ngày 19-06-2026</t>
        </is>
      </c>
      <c r="C167" t="n">
        <v>63155</v>
      </c>
      <c r="D167" t="n">
        <v>55</v>
      </c>
      <c r="E167" t="n">
        <v>50</v>
      </c>
      <c r="F167" t="inlineStr">
        <is>
          <t>T5-B0</t>
        </is>
      </c>
      <c r="G167" t="inlineStr">
        <is>
          <t>Không</t>
        </is>
      </c>
      <c r="H167" t="n">
        <v>64</v>
      </c>
      <c r="I167" t="inlineStr">
        <is>
          <t>T0-B5</t>
        </is>
      </c>
      <c r="J167" t="inlineStr">
        <is>
          <t>Không</t>
        </is>
      </c>
      <c r="K167" t="n">
        <v>44</v>
      </c>
      <c r="L167" t="inlineStr">
        <is>
          <t>T8-B3</t>
        </is>
      </c>
      <c r="M167" t="inlineStr">
        <is>
          <t>Không</t>
        </is>
      </c>
      <c r="N167" t="n">
        <v>35</v>
      </c>
      <c r="O167" t="inlineStr">
        <is>
          <t>T8-B3</t>
        </is>
      </c>
      <c r="P167" t="inlineStr">
        <is>
          <t>Không</t>
        </is>
      </c>
    </row>
    <row r="168">
      <c r="A168" t="n">
        <v>167</v>
      </c>
      <c r="B168" t="inlineStr">
        <is>
          <t>Thứ bảy ngày 20-06-2026</t>
        </is>
      </c>
      <c r="C168" t="n">
        <v>54860</v>
      </c>
      <c r="D168" t="n">
        <v>60</v>
      </c>
      <c r="E168" t="n">
        <v>96</v>
      </c>
      <c r="F168" t="inlineStr">
        <is>
          <t>T5-B0</t>
        </is>
      </c>
      <c r="G168" t="inlineStr">
        <is>
          <t>Không</t>
        </is>
      </c>
      <c r="H168" t="n">
        <v>76</v>
      </c>
      <c r="I168" t="inlineStr">
        <is>
          <t>T3-B8</t>
        </is>
      </c>
      <c r="J168" t="inlineStr">
        <is>
          <t>Không</t>
        </is>
      </c>
      <c r="K168" t="n">
        <v>85</v>
      </c>
      <c r="L168" t="inlineStr">
        <is>
          <t>T3-B8</t>
        </is>
      </c>
      <c r="M168" t="inlineStr">
        <is>
          <t>Không</t>
        </is>
      </c>
      <c r="N168" t="n">
        <v>68</v>
      </c>
      <c r="O168" t="inlineStr">
        <is>
          <t>T4-B9</t>
        </is>
      </c>
      <c r="P168" t="inlineStr">
        <is>
          <t>Không</t>
        </is>
      </c>
    </row>
    <row r="169">
      <c r="A169" t="n">
        <v>168</v>
      </c>
      <c r="B169" t="inlineStr">
        <is>
          <t>Chủ nhật ngày 21-06-2026</t>
        </is>
      </c>
      <c r="C169" t="n">
        <v>28083</v>
      </c>
      <c r="D169" t="n">
        <v>83</v>
      </c>
      <c r="E169" t="n">
        <v>94</v>
      </c>
      <c r="F169" t="inlineStr">
        <is>
          <t>T3-B8</t>
        </is>
      </c>
      <c r="G169" t="inlineStr">
        <is>
          <t>Không</t>
        </is>
      </c>
      <c r="H169" t="n">
        <v>33</v>
      </c>
      <c r="I169" t="inlineStr">
        <is>
          <t>T6-B1</t>
        </is>
      </c>
      <c r="J169" t="inlineStr">
        <is>
          <t>Không</t>
        </is>
      </c>
      <c r="K169" t="n">
        <v>7</v>
      </c>
      <c r="L169" t="inlineStr">
        <is>
          <t>T7-B2</t>
        </is>
      </c>
      <c r="M169" t="inlineStr">
        <is>
          <t>Không</t>
        </is>
      </c>
      <c r="N169" t="n">
        <v>13</v>
      </c>
      <c r="O169" t="inlineStr">
        <is>
          <t>T4-B9</t>
        </is>
      </c>
      <c r="P169" t="inlineStr">
        <is>
          <t>Trúng</t>
        </is>
      </c>
    </row>
    <row r="170">
      <c r="A170" t="n">
        <v>169</v>
      </c>
      <c r="B170" t="inlineStr">
        <is>
          <t>Thứ hai ngày 22-06-2026</t>
        </is>
      </c>
      <c r="C170" t="n">
        <v>62136</v>
      </c>
      <c r="D170" t="n">
        <v>36</v>
      </c>
      <c r="E170" t="n">
        <v>92</v>
      </c>
      <c r="F170" t="inlineStr">
        <is>
          <t>T1-B6</t>
        </is>
      </c>
      <c r="G170" t="inlineStr">
        <is>
          <t>Không</t>
        </is>
      </c>
      <c r="H170" t="n">
        <v>54</v>
      </c>
      <c r="I170" t="inlineStr">
        <is>
          <t>T9-B4</t>
        </is>
      </c>
      <c r="J170" t="inlineStr">
        <is>
          <t>Không</t>
        </is>
      </c>
      <c r="K170" t="n">
        <v>23</v>
      </c>
      <c r="L170" t="inlineStr">
        <is>
          <t>T5-B0</t>
        </is>
      </c>
      <c r="M170" t="inlineStr">
        <is>
          <t>Trúng</t>
        </is>
      </c>
      <c r="N170" t="n">
        <v>47</v>
      </c>
      <c r="O170" t="inlineStr">
        <is>
          <t>T1-B6</t>
        </is>
      </c>
      <c r="P170" t="inlineStr">
        <is>
          <t>Không</t>
        </is>
      </c>
    </row>
    <row r="171">
      <c r="A171" t="n">
        <v>170</v>
      </c>
      <c r="B171" t="inlineStr">
        <is>
          <t>Thứ ba ngày 23-06-2026</t>
        </is>
      </c>
      <c r="C171" t="n">
        <v>50437</v>
      </c>
      <c r="D171" t="n">
        <v>37</v>
      </c>
      <c r="E171" t="n">
        <v>38</v>
      </c>
      <c r="F171" t="inlineStr">
        <is>
          <t>T1-B6</t>
        </is>
      </c>
      <c r="G171" t="inlineStr">
        <is>
          <t>Trúng</t>
        </is>
      </c>
      <c r="H171" t="n">
        <v>83</v>
      </c>
      <c r="I171" t="inlineStr">
        <is>
          <t>T1-B6</t>
        </is>
      </c>
      <c r="J171" t="inlineStr">
        <is>
          <t>Trúng</t>
        </is>
      </c>
      <c r="K171" t="n">
        <v>93</v>
      </c>
      <c r="L171" t="inlineStr">
        <is>
          <t>T2-B7</t>
        </is>
      </c>
      <c r="M171" t="inlineStr">
        <is>
          <t>Không</t>
        </is>
      </c>
      <c r="N171" t="n">
        <v>62</v>
      </c>
      <c r="O171" t="inlineStr">
        <is>
          <t>T8-B3</t>
        </is>
      </c>
      <c r="P171" t="inlineStr">
        <is>
          <t>Không</t>
        </is>
      </c>
    </row>
    <row r="172">
      <c r="A172" t="n">
        <v>171</v>
      </c>
      <c r="B172" t="inlineStr">
        <is>
          <t>Thứ tư ngày 24-06-2026</t>
        </is>
      </c>
      <c r="C172" t="n">
        <v>52751</v>
      </c>
      <c r="D172" t="n">
        <v>51</v>
      </c>
      <c r="E172" t="n">
        <v>98</v>
      </c>
      <c r="F172" t="inlineStr">
        <is>
          <t>T7-B2</t>
        </is>
      </c>
      <c r="G172" t="inlineStr">
        <is>
          <t>Trúng</t>
        </is>
      </c>
      <c r="H172" t="n">
        <v>54</v>
      </c>
      <c r="I172" t="inlineStr">
        <is>
          <t>T9-B4</t>
        </is>
      </c>
      <c r="J172" t="inlineStr">
        <is>
          <t>Không</t>
        </is>
      </c>
      <c r="K172" t="n">
        <v>66</v>
      </c>
      <c r="L172" t="inlineStr">
        <is>
          <t>T2-B7</t>
        </is>
      </c>
      <c r="M172" t="inlineStr">
        <is>
          <t>Trúng</t>
        </is>
      </c>
      <c r="N172" t="n">
        <v>21</v>
      </c>
      <c r="O172" t="inlineStr">
        <is>
          <t>T3-B8</t>
        </is>
      </c>
      <c r="P172" t="inlineStr">
        <is>
          <t>Không</t>
        </is>
      </c>
    </row>
    <row r="173">
      <c r="A173" t="n">
        <v>172</v>
      </c>
      <c r="B173" t="inlineStr">
        <is>
          <t>Thứ năm ngày 25-06-2026</t>
        </is>
      </c>
      <c r="C173" t="n">
        <v>1816</v>
      </c>
      <c r="D173" t="n">
        <v>16</v>
      </c>
      <c r="E173" t="n">
        <v>38</v>
      </c>
      <c r="F173" t="inlineStr">
        <is>
          <t>T1-B6</t>
        </is>
      </c>
      <c r="G173" t="inlineStr">
        <is>
          <t>Không</t>
        </is>
      </c>
      <c r="H173" t="n">
        <v>3</v>
      </c>
      <c r="I173" t="inlineStr">
        <is>
          <t>T3-B8</t>
        </is>
      </c>
      <c r="J173" t="inlineStr">
        <is>
          <t>Không</t>
        </is>
      </c>
      <c r="K173" t="n">
        <v>36</v>
      </c>
      <c r="L173" t="inlineStr">
        <is>
          <t>T9-B4</t>
        </is>
      </c>
      <c r="M173" t="inlineStr">
        <is>
          <t>Trúng</t>
        </is>
      </c>
      <c r="N173" t="n">
        <v>50</v>
      </c>
      <c r="O173" t="inlineStr">
        <is>
          <t>T5-B0</t>
        </is>
      </c>
      <c r="P173" t="inlineStr">
        <is>
          <t>Không</t>
        </is>
      </c>
    </row>
    <row r="174">
      <c r="A174" t="n">
        <v>173</v>
      </c>
      <c r="B174" t="inlineStr">
        <is>
          <t>Thứ sáu ngày 26-06-2026</t>
        </is>
      </c>
      <c r="C174" t="n">
        <v>54804</v>
      </c>
      <c r="D174" t="n">
        <v>4</v>
      </c>
      <c r="E174" t="n">
        <v>32</v>
      </c>
      <c r="F174" t="inlineStr">
        <is>
          <t>T5-B0</t>
        </is>
      </c>
      <c r="G174" t="inlineStr">
        <is>
          <t>Không</t>
        </is>
      </c>
      <c r="H174" t="n">
        <v>75</v>
      </c>
      <c r="I174" t="inlineStr">
        <is>
          <t>T2-B7</t>
        </is>
      </c>
      <c r="J174" t="inlineStr">
        <is>
          <t>Không</t>
        </is>
      </c>
      <c r="K174" t="n">
        <v>34</v>
      </c>
      <c r="L174" t="inlineStr">
        <is>
          <t>T7-B2</t>
        </is>
      </c>
      <c r="M174" t="inlineStr">
        <is>
          <t>Không</t>
        </is>
      </c>
      <c r="N174" t="n">
        <v>7</v>
      </c>
      <c r="O174" t="inlineStr">
        <is>
          <t>T7-B2</t>
        </is>
      </c>
      <c r="P174" t="inlineStr">
        <is>
          <t>Không</t>
        </is>
      </c>
    </row>
    <row r="175">
      <c r="A175" t="n">
        <v>174</v>
      </c>
      <c r="B175" t="inlineStr">
        <is>
          <t>Thứ bảy ngày 27-06-2026</t>
        </is>
      </c>
      <c r="C175" t="n">
        <v>9253</v>
      </c>
      <c r="D175" t="n">
        <v>53</v>
      </c>
      <c r="E175" t="n">
        <v>95</v>
      </c>
      <c r="F175" t="inlineStr">
        <is>
          <t>T4-B9</t>
        </is>
      </c>
      <c r="G175" t="inlineStr">
        <is>
          <t>Không</t>
        </is>
      </c>
      <c r="H175" t="n">
        <v>48</v>
      </c>
      <c r="I175" t="inlineStr">
        <is>
          <t>T2-B7</t>
        </is>
      </c>
      <c r="J175" t="inlineStr">
        <is>
          <t>Trúng</t>
        </is>
      </c>
      <c r="K175" t="n">
        <v>91</v>
      </c>
      <c r="L175" t="inlineStr">
        <is>
          <t>T0-B5</t>
        </is>
      </c>
      <c r="M175" t="inlineStr">
        <is>
          <t>Không</t>
        </is>
      </c>
      <c r="N175" t="n">
        <v>68</v>
      </c>
      <c r="O175" t="inlineStr">
        <is>
          <t>T4-B9</t>
        </is>
      </c>
      <c r="P175" t="inlineStr">
        <is>
          <t>Không</t>
        </is>
      </c>
    </row>
    <row r="176">
      <c r="A176" t="n">
        <v>175</v>
      </c>
      <c r="B176" t="inlineStr">
        <is>
          <t>Chủ nhật ngày 28-06-2026</t>
        </is>
      </c>
      <c r="C176" t="n">
        <v>12452</v>
      </c>
      <c r="D176" t="n">
        <v>52</v>
      </c>
      <c r="E176" t="n">
        <v>85</v>
      </c>
      <c r="F176" t="inlineStr">
        <is>
          <t>T3-B8</t>
        </is>
      </c>
      <c r="G176" t="inlineStr">
        <is>
          <t>Không</t>
        </is>
      </c>
      <c r="H176" t="n">
        <v>41</v>
      </c>
      <c r="I176" t="inlineStr">
        <is>
          <t>T5-B0</t>
        </is>
      </c>
      <c r="J176" t="inlineStr">
        <is>
          <t>Không</t>
        </is>
      </c>
      <c r="K176" t="n">
        <v>55</v>
      </c>
      <c r="L176" t="inlineStr">
        <is>
          <t>T0-B5</t>
        </is>
      </c>
      <c r="M176" t="inlineStr">
        <is>
          <t>Không</t>
        </is>
      </c>
      <c r="N176" t="n">
        <v>36</v>
      </c>
      <c r="O176" t="inlineStr">
        <is>
          <t>T9-B4</t>
        </is>
      </c>
      <c r="P176" t="inlineStr">
        <is>
          <t>Không</t>
        </is>
      </c>
    </row>
    <row r="177">
      <c r="A177" t="n">
        <v>176</v>
      </c>
      <c r="B177" t="inlineStr">
        <is>
          <t>Thứ hai ngày 29-06-2026</t>
        </is>
      </c>
      <c r="C177" t="n">
        <v>37642</v>
      </c>
      <c r="D177" t="n">
        <v>42</v>
      </c>
      <c r="E177" t="n">
        <v>94</v>
      </c>
      <c r="F177" t="inlineStr">
        <is>
          <t>T3-B8</t>
        </is>
      </c>
      <c r="G177" t="inlineStr">
        <is>
          <t>Không</t>
        </is>
      </c>
      <c r="H177" t="n">
        <v>8</v>
      </c>
      <c r="I177" t="inlineStr">
        <is>
          <t>T8-B3</t>
        </is>
      </c>
      <c r="J177" t="inlineStr">
        <is>
          <t>Không</t>
        </is>
      </c>
      <c r="K177" t="n">
        <v>93</v>
      </c>
      <c r="L177" t="inlineStr">
        <is>
          <t>T2-B7</t>
        </is>
      </c>
      <c r="M177" t="inlineStr">
        <is>
          <t>Không</t>
        </is>
      </c>
      <c r="N177" t="n">
        <v>70</v>
      </c>
      <c r="O177" t="inlineStr">
        <is>
          <t>T7-B2</t>
        </is>
      </c>
      <c r="P177" t="inlineStr">
        <is>
          <t>Không</t>
        </is>
      </c>
    </row>
    <row r="178">
      <c r="A178" t="n">
        <v>177</v>
      </c>
      <c r="B178" t="inlineStr">
        <is>
          <t>Thứ ba ngày 30-06-2026</t>
        </is>
      </c>
      <c r="C178" t="n">
        <v>60468</v>
      </c>
      <c r="D178" t="n">
        <v>68</v>
      </c>
      <c r="E178" t="n">
        <v>33</v>
      </c>
      <c r="F178" t="inlineStr">
        <is>
          <t>T6-B1</t>
        </is>
      </c>
      <c r="G178" t="inlineStr">
        <is>
          <t>Không</t>
        </is>
      </c>
      <c r="H178" t="n">
        <v>90</v>
      </c>
      <c r="I178" t="inlineStr">
        <is>
          <t>T9-B4</t>
        </is>
      </c>
      <c r="J178" t="inlineStr">
        <is>
          <t>Trúng</t>
        </is>
      </c>
      <c r="K178" t="n">
        <v>97</v>
      </c>
      <c r="L178" t="inlineStr">
        <is>
          <t>T6-B1</t>
        </is>
      </c>
      <c r="M178" t="inlineStr">
        <is>
          <t>Không</t>
        </is>
      </c>
      <c r="N178" t="n">
        <v>12</v>
      </c>
      <c r="O178" t="inlineStr">
        <is>
          <t>T3-B8</t>
        </is>
      </c>
      <c r="P178" t="inlineStr">
        <is>
          <t>Không</t>
        </is>
      </c>
    </row>
    <row r="179">
      <c r="A179" t="n">
        <v>178</v>
      </c>
      <c r="B179" t="inlineStr">
        <is>
          <t>Thứ tư ngày 01-07-2026</t>
        </is>
      </c>
      <c r="C179" t="n">
        <v>31854</v>
      </c>
      <c r="D179" t="n">
        <v>54</v>
      </c>
      <c r="E179" t="n">
        <v>91</v>
      </c>
      <c r="F179" t="inlineStr">
        <is>
          <t>T0-B5</t>
        </is>
      </c>
      <c r="G179" t="inlineStr">
        <is>
          <t>Không</t>
        </is>
      </c>
      <c r="H179" t="n">
        <v>7</v>
      </c>
      <c r="I179" t="inlineStr">
        <is>
          <t>T7-B2</t>
        </is>
      </c>
      <c r="J179" t="inlineStr">
        <is>
          <t>Trúng</t>
        </is>
      </c>
      <c r="K179" t="n">
        <v>35</v>
      </c>
      <c r="L179" t="inlineStr">
        <is>
          <t>T8-B3</t>
        </is>
      </c>
      <c r="M179" t="inlineStr">
        <is>
          <t>Không</t>
        </is>
      </c>
      <c r="N179" t="n">
        <v>80</v>
      </c>
      <c r="O179" t="inlineStr">
        <is>
          <t>T8-B3</t>
        </is>
      </c>
      <c r="P179" t="inlineStr">
        <is>
          <t>Không</t>
        </is>
      </c>
    </row>
    <row r="180">
      <c r="A180" t="n">
        <v>179</v>
      </c>
      <c r="B180" t="inlineStr">
        <is>
          <t>Thứ năm ngày 02-07-2026</t>
        </is>
      </c>
      <c r="C180" t="n">
        <v>51139</v>
      </c>
      <c r="D180" t="n">
        <v>39</v>
      </c>
      <c r="E180" t="n">
        <v>59</v>
      </c>
      <c r="F180" t="inlineStr">
        <is>
          <t>T4-B9</t>
        </is>
      </c>
      <c r="G180" t="inlineStr">
        <is>
          <t>Không</t>
        </is>
      </c>
      <c r="H180" t="n">
        <v>78</v>
      </c>
      <c r="I180" t="inlineStr">
        <is>
          <t>T5-B0</t>
        </is>
      </c>
      <c r="J180" t="inlineStr">
        <is>
          <t>Không</t>
        </is>
      </c>
      <c r="K180" t="n">
        <v>33</v>
      </c>
      <c r="L180" t="inlineStr">
        <is>
          <t>T6-B1</t>
        </is>
      </c>
      <c r="M180" t="inlineStr">
        <is>
          <t>Trúng</t>
        </is>
      </c>
      <c r="N180" t="n">
        <v>70</v>
      </c>
      <c r="O180" t="inlineStr">
        <is>
          <t>T7-B2</t>
        </is>
      </c>
      <c r="P180" t="inlineStr">
        <is>
          <t>Không</t>
        </is>
      </c>
    </row>
    <row r="181">
      <c r="A181" t="n">
        <v>180</v>
      </c>
      <c r="B181" t="inlineStr">
        <is>
          <t>Thứ sáu ngày 03-07-2026</t>
        </is>
      </c>
      <c r="C181" t="n">
        <v>18165</v>
      </c>
      <c r="D181" t="n">
        <v>65</v>
      </c>
      <c r="E181" t="n">
        <v>90</v>
      </c>
      <c r="F181" t="inlineStr">
        <is>
          <t>T9-B4</t>
        </is>
      </c>
      <c r="G181" t="inlineStr">
        <is>
          <t>Không</t>
        </is>
      </c>
      <c r="H181" t="n">
        <v>68</v>
      </c>
      <c r="I181" t="inlineStr">
        <is>
          <t>T4-B9</t>
        </is>
      </c>
      <c r="J181" t="inlineStr">
        <is>
          <t>Không</t>
        </is>
      </c>
      <c r="K181" t="n">
        <v>92</v>
      </c>
      <c r="L181" t="inlineStr">
        <is>
          <t>T1-B6</t>
        </is>
      </c>
      <c r="M181" t="inlineStr">
        <is>
          <t>Không</t>
        </is>
      </c>
      <c r="N181" t="n">
        <v>13</v>
      </c>
      <c r="O181" t="inlineStr">
        <is>
          <t>T4-B9</t>
        </is>
      </c>
      <c r="P181" t="inlineStr">
        <is>
          <t>Không</t>
        </is>
      </c>
    </row>
    <row r="182">
      <c r="A182" t="n">
        <v>181</v>
      </c>
      <c r="B182" t="inlineStr">
        <is>
          <t>Thứ bảy ngày 04-07-2026</t>
        </is>
      </c>
      <c r="C182" t="n">
        <v>14887</v>
      </c>
      <c r="D182" t="n">
        <v>87</v>
      </c>
      <c r="E182" t="n">
        <v>73</v>
      </c>
      <c r="F182" t="inlineStr">
        <is>
          <t>T0-B5</t>
        </is>
      </c>
      <c r="G182" t="inlineStr">
        <is>
          <t>Không</t>
        </is>
      </c>
      <c r="H182" t="n">
        <v>54</v>
      </c>
      <c r="I182" t="inlineStr">
        <is>
          <t>T9-B4</t>
        </is>
      </c>
      <c r="J182" t="inlineStr">
        <is>
          <t>Không</t>
        </is>
      </c>
      <c r="K182" t="n">
        <v>87</v>
      </c>
      <c r="L182" t="inlineStr">
        <is>
          <t>T5-B0</t>
        </is>
      </c>
      <c r="M182" t="inlineStr">
        <is>
          <t>Không</t>
        </is>
      </c>
      <c r="N182" t="n">
        <v>91</v>
      </c>
      <c r="O182" t="inlineStr">
        <is>
          <t>T0-B5</t>
        </is>
      </c>
      <c r="P182" t="inlineStr">
        <is>
          <t>Không</t>
        </is>
      </c>
    </row>
    <row r="183">
      <c r="A183" t="n">
        <v>182</v>
      </c>
      <c r="B183" t="inlineStr">
        <is>
          <t>Chủ nhật ngày 05-07-2026</t>
        </is>
      </c>
      <c r="C183" t="n">
        <v>66771</v>
      </c>
      <c r="D183" t="n">
        <v>71</v>
      </c>
      <c r="E183" t="n">
        <v>99</v>
      </c>
      <c r="F183" t="inlineStr">
        <is>
          <t>T8-B3</t>
        </is>
      </c>
      <c r="G183" t="inlineStr">
        <is>
          <t>Không</t>
        </is>
      </c>
      <c r="H183" t="n">
        <v>35</v>
      </c>
      <c r="I183" t="inlineStr">
        <is>
          <t>T8-B3</t>
        </is>
      </c>
      <c r="J183" t="inlineStr">
        <is>
          <t>Không</t>
        </is>
      </c>
      <c r="K183" t="n">
        <v>3</v>
      </c>
      <c r="L183" t="inlineStr">
        <is>
          <t>T3-B8</t>
        </is>
      </c>
      <c r="M183" t="inlineStr">
        <is>
          <t>Không</t>
        </is>
      </c>
      <c r="N183" t="n">
        <v>86</v>
      </c>
      <c r="O183" t="inlineStr">
        <is>
          <t>T4-B9</t>
        </is>
      </c>
      <c r="P183" t="inlineStr">
        <is>
          <t>Không</t>
        </is>
      </c>
    </row>
    <row r="184">
      <c r="A184" t="n">
        <v>183</v>
      </c>
      <c r="B184" t="inlineStr">
        <is>
          <t>Thứ hai ngày 06-07-2026</t>
        </is>
      </c>
      <c r="C184" t="n">
        <v>43497</v>
      </c>
      <c r="D184" t="n">
        <v>97</v>
      </c>
      <c r="E184" t="n">
        <v>30</v>
      </c>
      <c r="F184" t="inlineStr">
        <is>
          <t>T3-B8</t>
        </is>
      </c>
      <c r="G184" t="inlineStr">
        <is>
          <t>Không</t>
        </is>
      </c>
      <c r="H184" t="n">
        <v>55</v>
      </c>
      <c r="I184" t="inlineStr">
        <is>
          <t>T0-B5</t>
        </is>
      </c>
      <c r="J184" t="inlineStr">
        <is>
          <t>Không</t>
        </is>
      </c>
      <c r="K184" t="n">
        <v>89</v>
      </c>
      <c r="L184" t="inlineStr">
        <is>
          <t>T7-B2</t>
        </is>
      </c>
      <c r="M184" t="inlineStr">
        <is>
          <t>Không</t>
        </is>
      </c>
      <c r="N184" t="n">
        <v>20</v>
      </c>
      <c r="O184" t="inlineStr">
        <is>
          <t>T2-B7</t>
        </is>
      </c>
      <c r="P184" t="inlineStr">
        <is>
          <t>Không</t>
        </is>
      </c>
    </row>
    <row r="185">
      <c r="A185" t="n">
        <v>184</v>
      </c>
      <c r="B185" t="inlineStr">
        <is>
          <t>Thứ ba ngày 07-07-2026</t>
        </is>
      </c>
      <c r="C185" t="n">
        <v>92579</v>
      </c>
      <c r="D185" t="n">
        <v>79</v>
      </c>
      <c r="E185" t="n">
        <v>80</v>
      </c>
      <c r="F185" t="inlineStr">
        <is>
          <t>T8-B3</t>
        </is>
      </c>
      <c r="G185" t="inlineStr">
        <is>
          <t>Không</t>
        </is>
      </c>
      <c r="H185" t="n">
        <v>62</v>
      </c>
      <c r="I185" t="inlineStr">
        <is>
          <t>T8-B3</t>
        </is>
      </c>
      <c r="J185" t="inlineStr">
        <is>
          <t>Không</t>
        </is>
      </c>
      <c r="K185" t="n">
        <v>54</v>
      </c>
      <c r="L185" t="inlineStr">
        <is>
          <t>T9-B4</t>
        </is>
      </c>
      <c r="M185" t="inlineStr">
        <is>
          <t>Không</t>
        </is>
      </c>
      <c r="N185" t="n">
        <v>81</v>
      </c>
      <c r="O185" t="inlineStr">
        <is>
          <t>T9-B4</t>
        </is>
      </c>
      <c r="P185" t="inlineStr">
        <is>
          <t>Không</t>
        </is>
      </c>
    </row>
    <row r="186">
      <c r="A186" t="n">
        <v>185</v>
      </c>
      <c r="B186" t="inlineStr">
        <is>
          <t>Thứ tư ngày 08-07-2026</t>
        </is>
      </c>
      <c r="C186" t="n">
        <v>95089</v>
      </c>
      <c r="D186" t="n">
        <v>89</v>
      </c>
      <c r="E186" t="n">
        <v>20</v>
      </c>
      <c r="F186" t="inlineStr">
        <is>
          <t>T2-B7</t>
        </is>
      </c>
      <c r="G186" t="inlineStr">
        <is>
          <t>Không</t>
        </is>
      </c>
      <c r="H186" t="n">
        <v>1</v>
      </c>
      <c r="I186" t="inlineStr">
        <is>
          <t>T1-B6</t>
        </is>
      </c>
      <c r="J186" t="inlineStr">
        <is>
          <t>Không</t>
        </is>
      </c>
      <c r="K186" t="n">
        <v>81</v>
      </c>
      <c r="L186" t="inlineStr">
        <is>
          <t>T9-B4</t>
        </is>
      </c>
      <c r="M186" t="inlineStr">
        <is>
          <t>Không</t>
        </is>
      </c>
      <c r="N186" t="n">
        <v>19</v>
      </c>
      <c r="O186" t="inlineStr">
        <is>
          <t>T0-B5</t>
        </is>
      </c>
      <c r="P186" t="inlineStr">
        <is>
          <t>Không</t>
        </is>
      </c>
    </row>
    <row r="187">
      <c r="A187" t="n">
        <v>186</v>
      </c>
      <c r="B187" t="inlineStr">
        <is>
          <t>Thứ năm ngày 09-07-2026</t>
        </is>
      </c>
      <c r="C187" t="n">
        <v>69185</v>
      </c>
      <c r="D187" t="n">
        <v>85</v>
      </c>
      <c r="E187" t="n">
        <v>13</v>
      </c>
      <c r="F187" t="inlineStr">
        <is>
          <t>T4-B9</t>
        </is>
      </c>
      <c r="G187" t="inlineStr">
        <is>
          <t>Không</t>
        </is>
      </c>
      <c r="H187" t="n">
        <v>5</v>
      </c>
      <c r="I187" t="inlineStr">
        <is>
          <t>T5-B0</t>
        </is>
      </c>
      <c r="J187" t="inlineStr">
        <is>
          <t>Không</t>
        </is>
      </c>
      <c r="K187" t="n">
        <v>64</v>
      </c>
      <c r="L187" t="inlineStr">
        <is>
          <t>T0-B5</t>
        </is>
      </c>
      <c r="M187" t="inlineStr">
        <is>
          <t>Không</t>
        </is>
      </c>
      <c r="N187" t="n">
        <v>46</v>
      </c>
      <c r="O187" t="inlineStr">
        <is>
          <t>T0-B5</t>
        </is>
      </c>
      <c r="P187" t="inlineStr">
        <is>
          <t>Không</t>
        </is>
      </c>
    </row>
    <row r="188">
      <c r="A188" t="n">
        <v>187</v>
      </c>
      <c r="B188" t="inlineStr">
        <is>
          <t>Thứ sáu ngày 10-07-2026</t>
        </is>
      </c>
      <c r="C188" t="n">
        <v>72767</v>
      </c>
      <c r="D188" t="n">
        <v>67</v>
      </c>
      <c r="E188" t="n">
        <v>96</v>
      </c>
      <c r="F188" t="inlineStr">
        <is>
          <t>T5-B0</t>
        </is>
      </c>
      <c r="G188" t="inlineStr">
        <is>
          <t>Không</t>
        </is>
      </c>
      <c r="H188" t="n">
        <v>20</v>
      </c>
      <c r="I188" t="inlineStr">
        <is>
          <t>T2-B7</t>
        </is>
      </c>
      <c r="J188" t="inlineStr">
        <is>
          <t>Không</t>
        </is>
      </c>
      <c r="K188" t="n">
        <v>31</v>
      </c>
      <c r="L188" t="inlineStr">
        <is>
          <t>T4-B9</t>
        </is>
      </c>
      <c r="M188" t="inlineStr">
        <is>
          <t>Không</t>
        </is>
      </c>
      <c r="N188" t="n">
        <v>73</v>
      </c>
      <c r="O188" t="inlineStr">
        <is>
          <t>T0-B5</t>
        </is>
      </c>
      <c r="P188" t="inlineStr">
        <is>
          <t>Không</t>
        </is>
      </c>
    </row>
    <row r="189">
      <c r="A189" t="n">
        <v>188</v>
      </c>
      <c r="B189" t="inlineStr">
        <is>
          <t>Thứ bảy ngày 11-07-2026</t>
        </is>
      </c>
      <c r="C189" t="n">
        <v>9401</v>
      </c>
      <c r="D189" t="n">
        <v>1</v>
      </c>
      <c r="E189" t="n">
        <v>6</v>
      </c>
      <c r="F189" t="inlineStr">
        <is>
          <t>T6-B1</t>
        </is>
      </c>
      <c r="G189" t="inlineStr">
        <is>
          <t>Không</t>
        </is>
      </c>
      <c r="H189" t="n">
        <v>26</v>
      </c>
      <c r="I189" t="inlineStr">
        <is>
          <t>T8-B3</t>
        </is>
      </c>
      <c r="J189" t="inlineStr">
        <is>
          <t>Trúng</t>
        </is>
      </c>
      <c r="K189" t="n">
        <v>73</v>
      </c>
      <c r="L189" t="inlineStr">
        <is>
          <t>T0-B5</t>
        </is>
      </c>
      <c r="M189" t="inlineStr">
        <is>
          <t>Không</t>
        </is>
      </c>
      <c r="N189" t="n">
        <v>72</v>
      </c>
      <c r="O189" t="inlineStr">
        <is>
          <t>T9-B4</t>
        </is>
      </c>
      <c r="P189" t="inlineStr">
        <is>
          <t>Không</t>
        </is>
      </c>
    </row>
    <row r="190">
      <c r="A190" t="n">
        <v>189</v>
      </c>
      <c r="B190" t="inlineStr">
        <is>
          <t>Chủ nhật ngày 12-07-2026</t>
        </is>
      </c>
      <c r="C190" t="n">
        <v>10494</v>
      </c>
      <c r="D190" t="n">
        <v>94</v>
      </c>
      <c r="E190" t="n">
        <v>59</v>
      </c>
      <c r="F190" t="inlineStr">
        <is>
          <t>T4-B9</t>
        </is>
      </c>
      <c r="G190" t="inlineStr">
        <is>
          <t>Không</t>
        </is>
      </c>
      <c r="H190" t="n">
        <v>34</v>
      </c>
      <c r="I190" t="inlineStr">
        <is>
          <t>T7-B2</t>
        </is>
      </c>
      <c r="J190" t="inlineStr">
        <is>
          <t>Không</t>
        </is>
      </c>
      <c r="K190" t="n">
        <v>5</v>
      </c>
      <c r="L190" t="inlineStr">
        <is>
          <t>T5-B0</t>
        </is>
      </c>
      <c r="M190" t="inlineStr">
        <is>
          <t>Không</t>
        </is>
      </c>
      <c r="N190" t="n">
        <v>62</v>
      </c>
      <c r="O190" t="inlineStr">
        <is>
          <t>T8-B3</t>
        </is>
      </c>
      <c r="P190" t="inlineStr">
        <is>
          <t>Trúng</t>
        </is>
      </c>
    </row>
    <row r="191">
      <c r="A191" t="n">
        <v>190</v>
      </c>
      <c r="B191" t="inlineStr">
        <is>
          <t>Thứ hai ngày 13-07-2026</t>
        </is>
      </c>
      <c r="C191" t="n">
        <v>74299</v>
      </c>
      <c r="D191" t="n">
        <v>99</v>
      </c>
      <c r="E191" t="n">
        <v>97</v>
      </c>
      <c r="F191" t="inlineStr">
        <is>
          <t>T6-B1</t>
        </is>
      </c>
      <c r="G191" t="inlineStr">
        <is>
          <t>Trúng</t>
        </is>
      </c>
      <c r="H191" t="n">
        <v>76</v>
      </c>
      <c r="I191" t="inlineStr">
        <is>
          <t>T3-B8</t>
        </is>
      </c>
      <c r="J191" t="inlineStr">
        <is>
          <t>Không</t>
        </is>
      </c>
      <c r="K191" t="n">
        <v>5</v>
      </c>
      <c r="L191" t="inlineStr">
        <is>
          <t>T5-B0</t>
        </is>
      </c>
      <c r="M191" t="inlineStr">
        <is>
          <t>Không</t>
        </is>
      </c>
      <c r="N191" t="n">
        <v>75</v>
      </c>
      <c r="O191" t="inlineStr">
        <is>
          <t>T2-B7</t>
        </is>
      </c>
      <c r="P191" t="inlineStr">
        <is>
          <t>Không</t>
        </is>
      </c>
    </row>
    <row r="192">
      <c r="A192" t="n">
        <v>191</v>
      </c>
      <c r="B192" t="inlineStr">
        <is>
          <t>Thứ ba ngày 14-07-2026</t>
        </is>
      </c>
      <c r="C192" t="n">
        <v>59147</v>
      </c>
      <c r="D192" t="n">
        <v>47</v>
      </c>
      <c r="E192" t="n">
        <v>68</v>
      </c>
      <c r="F192" t="inlineStr">
        <is>
          <t>T4-B9</t>
        </is>
      </c>
      <c r="G192" t="inlineStr">
        <is>
          <t>Không</t>
        </is>
      </c>
      <c r="H192" t="n">
        <v>39</v>
      </c>
      <c r="I192" t="inlineStr">
        <is>
          <t>T2-B7</t>
        </is>
      </c>
      <c r="J192" t="inlineStr">
        <is>
          <t>Không</t>
        </is>
      </c>
      <c r="K192" t="n">
        <v>5</v>
      </c>
      <c r="L192" t="inlineStr">
        <is>
          <t>T5-B0</t>
        </is>
      </c>
      <c r="M192" t="inlineStr">
        <is>
          <t>Trúng</t>
        </is>
      </c>
      <c r="N192" t="n">
        <v>75</v>
      </c>
      <c r="O192" t="inlineStr">
        <is>
          <t>T2-B7</t>
        </is>
      </c>
      <c r="P192" t="inlineStr">
        <is>
          <t>Không</t>
        </is>
      </c>
    </row>
    <row r="193">
      <c r="A193" t="n">
        <v>192</v>
      </c>
      <c r="B193" t="inlineStr">
        <is>
          <t>Thứ tư ngày 15-07-2026</t>
        </is>
      </c>
      <c r="C193" t="n">
        <v>36119</v>
      </c>
      <c r="D193" t="n">
        <v>19</v>
      </c>
      <c r="E193" t="n">
        <v>72</v>
      </c>
      <c r="F193" t="inlineStr">
        <is>
          <t>T9-B4</t>
        </is>
      </c>
      <c r="G193" t="inlineStr">
        <is>
          <t>Trúng</t>
        </is>
      </c>
      <c r="H193" t="n">
        <v>53</v>
      </c>
      <c r="I193" t="inlineStr">
        <is>
          <t>T8-B3</t>
        </is>
      </c>
      <c r="J193" t="inlineStr">
        <is>
          <t>Không</t>
        </is>
      </c>
      <c r="K193" t="n">
        <v>5</v>
      </c>
      <c r="L193" t="inlineStr">
        <is>
          <t>T5-B0</t>
        </is>
      </c>
      <c r="M193" t="inlineStr">
        <is>
          <t>Không</t>
        </is>
      </c>
      <c r="N193" t="n">
        <v>92</v>
      </c>
      <c r="O193" t="inlineStr">
        <is>
          <t>T1-B6</t>
        </is>
      </c>
      <c r="P193" t="inlineStr">
        <is>
          <t>Không</t>
        </is>
      </c>
    </row>
    <row r="194">
      <c r="A194" t="n">
        <v>193</v>
      </c>
      <c r="B194" t="inlineStr">
        <is>
          <t>Thứ năm ngày 16-07-2026</t>
        </is>
      </c>
      <c r="C194" t="n">
        <v>96763</v>
      </c>
      <c r="D194" t="n">
        <v>63</v>
      </c>
      <c r="E194" t="n">
        <v>66</v>
      </c>
      <c r="F194" t="inlineStr">
        <is>
          <t>T2-B7</t>
        </is>
      </c>
      <c r="G194" t="inlineStr">
        <is>
          <t>Trúng</t>
        </is>
      </c>
      <c r="H194" t="n">
        <v>80</v>
      </c>
      <c r="I194" t="inlineStr">
        <is>
          <t>T8-B3</t>
        </is>
      </c>
      <c r="J194" t="inlineStr">
        <is>
          <t>Không</t>
        </is>
      </c>
      <c r="K194" t="n">
        <v>49</v>
      </c>
      <c r="L194" t="inlineStr">
        <is>
          <t>T3-B8</t>
        </is>
      </c>
      <c r="M194" t="inlineStr">
        <is>
          <t>Không</t>
        </is>
      </c>
      <c r="N194" t="n">
        <v>61</v>
      </c>
      <c r="O194" t="inlineStr">
        <is>
          <t>T7-B2</t>
        </is>
      </c>
      <c r="P194" t="inlineStr">
        <is>
          <t>Trúng</t>
        </is>
      </c>
    </row>
    <row r="195">
      <c r="A195" t="n">
        <v>194</v>
      </c>
      <c r="B195" t="inlineStr">
        <is>
          <t>Thứ sáu ngày 17-07-2026</t>
        </is>
      </c>
      <c r="C195" t="n">
        <v>45739</v>
      </c>
      <c r="D195" t="n">
        <v>39</v>
      </c>
      <c r="E195" t="n">
        <v>10</v>
      </c>
      <c r="F195" t="inlineStr">
        <is>
          <t>T1-B6</t>
        </is>
      </c>
      <c r="G195" t="inlineStr">
        <is>
          <t>Không</t>
        </is>
      </c>
      <c r="H195" t="n">
        <v>13</v>
      </c>
      <c r="I195" t="inlineStr">
        <is>
          <t>T4-B9</t>
        </is>
      </c>
      <c r="J195" t="inlineStr">
        <is>
          <t>Trúng</t>
        </is>
      </c>
      <c r="K195" t="n">
        <v>46</v>
      </c>
      <c r="L195" t="inlineStr">
        <is>
          <t>T0-B5</t>
        </is>
      </c>
      <c r="M195" t="inlineStr">
        <is>
          <t>Không</t>
        </is>
      </c>
      <c r="N195" t="n">
        <v>77</v>
      </c>
      <c r="O195" t="inlineStr">
        <is>
          <t>T4-B9</t>
        </is>
      </c>
      <c r="P195" t="inlineStr">
        <is>
          <t>Trúng</t>
        </is>
      </c>
    </row>
    <row r="196">
      <c r="A196" t="n">
        <v>195</v>
      </c>
      <c r="B196" t="inlineStr">
        <is>
          <t>Thứ bảy ngày 18-07-2026</t>
        </is>
      </c>
      <c r="C196" t="n">
        <v>26890</v>
      </c>
      <c r="D196" t="n">
        <v>90</v>
      </c>
      <c r="E196" t="n">
        <v>9</v>
      </c>
      <c r="F196" t="inlineStr">
        <is>
          <t>T9-B4</t>
        </is>
      </c>
      <c r="G196" t="inlineStr">
        <is>
          <t>Không</t>
        </is>
      </c>
      <c r="H196" t="n">
        <v>19</v>
      </c>
      <c r="I196" t="inlineStr">
        <is>
          <t>T0-B5</t>
        </is>
      </c>
      <c r="J196" t="inlineStr">
        <is>
          <t>Không</t>
        </is>
      </c>
      <c r="K196" t="n">
        <v>18</v>
      </c>
      <c r="L196" t="inlineStr">
        <is>
          <t>T9-B4</t>
        </is>
      </c>
      <c r="M196" t="inlineStr">
        <is>
          <t>Không</t>
        </is>
      </c>
      <c r="N196" t="n">
        <v>68</v>
      </c>
      <c r="O196" t="inlineStr">
        <is>
          <t>T4-B9</t>
        </is>
      </c>
      <c r="P196" t="inlineStr">
        <is>
          <t>Không</t>
        </is>
      </c>
    </row>
    <row r="197">
      <c r="A197" t="n">
        <v>196</v>
      </c>
      <c r="B197" t="inlineStr">
        <is>
          <t>Chủ nhật ngày 19-07-2026</t>
        </is>
      </c>
      <c r="C197" t="n">
        <v>46438</v>
      </c>
      <c r="D197" t="n">
        <v>38</v>
      </c>
      <c r="E197" t="n">
        <v>81</v>
      </c>
      <c r="F197" t="inlineStr">
        <is>
          <t>T9-B4</t>
        </is>
      </c>
      <c r="G197" t="inlineStr">
        <is>
          <t>Không</t>
        </is>
      </c>
      <c r="H197" t="n">
        <v>26</v>
      </c>
      <c r="I197" t="inlineStr">
        <is>
          <t>T8-B3</t>
        </is>
      </c>
      <c r="J197" t="inlineStr">
        <is>
          <t>Không</t>
        </is>
      </c>
      <c r="K197" t="n">
        <v>57</v>
      </c>
      <c r="L197" t="inlineStr">
        <is>
          <t>T2-B7</t>
        </is>
      </c>
      <c r="M197" t="inlineStr">
        <is>
          <t>Không</t>
        </is>
      </c>
      <c r="N197" t="n">
        <v>87</v>
      </c>
      <c r="O197" t="inlineStr">
        <is>
          <t>T5-B0</t>
        </is>
      </c>
      <c r="P197" t="inlineStr">
        <is>
          <t>Trúng</t>
        </is>
      </c>
    </row>
    <row r="198">
      <c r="A198" t="n">
        <v>197</v>
      </c>
      <c r="B198" t="inlineStr">
        <is>
          <t>Thứ hai ngày 20-07-2026</t>
        </is>
      </c>
      <c r="C198" t="n">
        <v>39128</v>
      </c>
      <c r="D198" t="n">
        <v>28</v>
      </c>
      <c r="E198" t="n">
        <v>1</v>
      </c>
      <c r="F198" t="inlineStr">
        <is>
          <t>T1-B6</t>
        </is>
      </c>
      <c r="G198" t="inlineStr">
        <is>
          <t>Không</t>
        </is>
      </c>
      <c r="H198" t="n">
        <v>44</v>
      </c>
      <c r="I198" t="inlineStr">
        <is>
          <t>T8-B3</t>
        </is>
      </c>
      <c r="J198" t="inlineStr">
        <is>
          <t>Không</t>
        </is>
      </c>
      <c r="K198" t="n">
        <v>89</v>
      </c>
      <c r="L198" t="inlineStr">
        <is>
          <t>T7-B2</t>
        </is>
      </c>
      <c r="M198" t="inlineStr">
        <is>
          <t>Trúng</t>
        </is>
      </c>
      <c r="N198" t="n">
        <v>63</v>
      </c>
      <c r="O198" t="inlineStr">
        <is>
          <t>T9-B4</t>
        </is>
      </c>
      <c r="P198" t="inlineStr">
        <is>
          <t>Không</t>
        </is>
      </c>
    </row>
    <row r="199">
      <c r="A199" t="n">
        <v>198</v>
      </c>
      <c r="B199" t="inlineStr">
        <is>
          <t>Thứ ba ngày 21-07-2026</t>
        </is>
      </c>
      <c r="C199" t="n">
        <v>73070</v>
      </c>
      <c r="D199" t="n">
        <v>70</v>
      </c>
      <c r="E199" t="n">
        <v>97</v>
      </c>
      <c r="F199" t="inlineStr">
        <is>
          <t>T6-B1</t>
        </is>
      </c>
      <c r="G199" t="inlineStr">
        <is>
          <t>Không</t>
        </is>
      </c>
      <c r="H199" t="n">
        <v>94</v>
      </c>
      <c r="I199" t="inlineStr">
        <is>
          <t>T3-B8</t>
        </is>
      </c>
      <c r="J199" t="inlineStr">
        <is>
          <t>Không</t>
        </is>
      </c>
      <c r="K199" t="n">
        <v>83</v>
      </c>
      <c r="L199" t="inlineStr">
        <is>
          <t>T1-B6</t>
        </is>
      </c>
      <c r="M199" t="inlineStr">
        <is>
          <t>Không</t>
        </is>
      </c>
      <c r="N199" t="n">
        <v>9</v>
      </c>
      <c r="O199" t="inlineStr">
        <is>
          <t>T9-B4</t>
        </is>
      </c>
      <c r="P199" t="inlineStr">
        <is>
          <t>Trúng</t>
        </is>
      </c>
    </row>
    <row r="200">
      <c r="A200" t="n">
        <v>199</v>
      </c>
      <c r="B200" t="inlineStr">
        <is>
          <t>Thứ tư ngày 22-07-2026</t>
        </is>
      </c>
      <c r="C200" t="n">
        <v>92154</v>
      </c>
      <c r="D200" t="n">
        <v>54</v>
      </c>
      <c r="E200" t="n">
        <v>12</v>
      </c>
      <c r="F200" t="inlineStr">
        <is>
          <t>T3-B8</t>
        </is>
      </c>
      <c r="G200" t="inlineStr">
        <is>
          <t>Không</t>
        </is>
      </c>
      <c r="H200" t="n">
        <v>54</v>
      </c>
      <c r="I200" t="inlineStr">
        <is>
          <t>T9-B4</t>
        </is>
      </c>
      <c r="J200" t="inlineStr">
        <is>
          <t>Trúng</t>
        </is>
      </c>
      <c r="K200" t="n">
        <v>5</v>
      </c>
      <c r="L200" t="inlineStr">
        <is>
          <t>T5-B0</t>
        </is>
      </c>
      <c r="M200" t="inlineStr">
        <is>
          <t>Không</t>
        </is>
      </c>
      <c r="N200" t="n">
        <v>91</v>
      </c>
      <c r="O200" t="inlineStr">
        <is>
          <t>T0-B5</t>
        </is>
      </c>
      <c r="P200" t="inlineStr">
        <is>
          <t>Không</t>
        </is>
      </c>
    </row>
    <row r="201">
      <c r="A201" t="n">
        <v>200</v>
      </c>
      <c r="B201" t="inlineStr">
        <is>
          <t>Thứ năm ngày 23-07-2026</t>
        </is>
      </c>
      <c r="C201" t="n">
        <v>78754</v>
      </c>
      <c r="D201" t="n">
        <v>54</v>
      </c>
      <c r="E201" t="n">
        <v>63</v>
      </c>
      <c r="F201" t="inlineStr">
        <is>
          <t>T9-B4</t>
        </is>
      </c>
      <c r="G201" t="inlineStr">
        <is>
          <t>Không</t>
        </is>
      </c>
      <c r="H201" t="n">
        <v>75</v>
      </c>
      <c r="I201" t="inlineStr">
        <is>
          <t>T2-B7</t>
        </is>
      </c>
      <c r="J201" t="inlineStr">
        <is>
          <t>Không</t>
        </is>
      </c>
      <c r="K201" t="n">
        <v>67</v>
      </c>
      <c r="L201" t="inlineStr">
        <is>
          <t>T3-B8</t>
        </is>
      </c>
      <c r="M201" t="inlineStr">
        <is>
          <t>Không</t>
        </is>
      </c>
      <c r="N201" t="n">
        <v>99</v>
      </c>
      <c r="O201" t="inlineStr">
        <is>
          <t>T8-B3</t>
        </is>
      </c>
      <c r="P201" t="inlineStr">
        <is>
          <t>Không</t>
        </is>
      </c>
    </row>
    <row r="202">
      <c r="A202" t="n">
        <v>201</v>
      </c>
      <c r="B202" t="inlineStr">
        <is>
          <t>Thứ sáu ngày 24-07-2026</t>
        </is>
      </c>
      <c r="C202" t="n">
        <v>94738</v>
      </c>
      <c r="D202" t="n">
        <v>38</v>
      </c>
      <c r="E202" t="n">
        <v>24</v>
      </c>
      <c r="F202" t="inlineStr">
        <is>
          <t>T6-B1</t>
        </is>
      </c>
      <c r="G202" t="inlineStr">
        <is>
          <t>Không</t>
        </is>
      </c>
      <c r="H202" t="n">
        <v>68</v>
      </c>
      <c r="I202" t="inlineStr">
        <is>
          <t>T4-B9</t>
        </is>
      </c>
      <c r="J202" t="inlineStr">
        <is>
          <t>Không</t>
        </is>
      </c>
      <c r="K202" t="n">
        <v>85</v>
      </c>
      <c r="L202" t="inlineStr">
        <is>
          <t>T3-B8</t>
        </is>
      </c>
      <c r="M202" t="inlineStr">
        <is>
          <t>Không</t>
        </is>
      </c>
      <c r="N202" t="n">
        <v>50</v>
      </c>
      <c r="O202" t="inlineStr">
        <is>
          <t>T5-B0</t>
        </is>
      </c>
      <c r="P202" t="inlineStr">
        <is>
          <t>Trúng</t>
        </is>
      </c>
    </row>
    <row r="203">
      <c r="A203" t="n">
        <v>202</v>
      </c>
      <c r="B203" t="inlineStr">
        <is>
          <t>Thứ bảy ngày 25-07-2026</t>
        </is>
      </c>
      <c r="C203" t="n">
        <v>89228</v>
      </c>
      <c r="D203" t="n">
        <v>28</v>
      </c>
      <c r="E203" t="n">
        <v>35</v>
      </c>
      <c r="F203" t="inlineStr">
        <is>
          <t>T8-B3</t>
        </is>
      </c>
      <c r="G203" t="inlineStr">
        <is>
          <t>Không</t>
        </is>
      </c>
      <c r="H203" t="n">
        <v>66</v>
      </c>
      <c r="I203" t="inlineStr">
        <is>
          <t>T2-B7</t>
        </is>
      </c>
      <c r="J203" t="inlineStr">
        <is>
          <t>Trúng</t>
        </is>
      </c>
      <c r="K203" t="n">
        <v>69</v>
      </c>
      <c r="L203" t="inlineStr">
        <is>
          <t>T5-B0</t>
        </is>
      </c>
      <c r="M203" t="inlineStr">
        <is>
          <t>Không</t>
        </is>
      </c>
      <c r="N203" t="n">
        <v>2</v>
      </c>
      <c r="O203" t="inlineStr">
        <is>
          <t>T2-B7</t>
        </is>
      </c>
      <c r="P203" t="inlineStr">
        <is>
          <t>Trúng</t>
        </is>
      </c>
    </row>
    <row r="204">
      <c r="A204" t="n">
        <v>203</v>
      </c>
      <c r="B204" t="inlineStr">
        <is>
          <t>Chủ nhật ngày 26-07-2026</t>
        </is>
      </c>
      <c r="C204" t="n">
        <v>42916</v>
      </c>
      <c r="D204" t="n">
        <v>16</v>
      </c>
      <c r="E204" t="n">
        <v>32</v>
      </c>
      <c r="F204" t="inlineStr">
        <is>
          <t>T5-B0</t>
        </is>
      </c>
      <c r="G204" t="inlineStr">
        <is>
          <t>Trúng</t>
        </is>
      </c>
      <c r="H204" t="n">
        <v>37</v>
      </c>
      <c r="I204" t="inlineStr">
        <is>
          <t>T0-B5</t>
        </is>
      </c>
      <c r="J204" t="inlineStr">
        <is>
          <t>Trúng</t>
        </is>
      </c>
      <c r="K204" t="n">
        <v>25</v>
      </c>
      <c r="L204" t="inlineStr">
        <is>
          <t>T7-B2</t>
        </is>
      </c>
      <c r="M204" t="inlineStr">
        <is>
          <t>Không</t>
        </is>
      </c>
      <c r="N204" t="n">
        <v>60</v>
      </c>
      <c r="O204" t="inlineStr">
        <is>
          <t>T6-B1</t>
        </is>
      </c>
      <c r="P204" t="inlineStr">
        <is>
          <t>Không</t>
        </is>
      </c>
    </row>
    <row r="205">
      <c r="A205" t="n">
        <v>204</v>
      </c>
      <c r="B205" t="inlineStr">
        <is>
          <t>Thứ hai ngày 27-07-2026</t>
        </is>
      </c>
      <c r="C205" t="n">
        <v>54796</v>
      </c>
      <c r="D205" t="n">
        <v>96</v>
      </c>
      <c r="E205" t="n">
        <v>87</v>
      </c>
      <c r="F205" t="inlineStr">
        <is>
          <t>T5-B0</t>
        </is>
      </c>
      <c r="G205" t="inlineStr">
        <is>
          <t>Trúng</t>
        </is>
      </c>
      <c r="H205" t="n">
        <v>29</v>
      </c>
      <c r="I205" t="inlineStr">
        <is>
          <t>T1-B6</t>
        </is>
      </c>
      <c r="J205" t="inlineStr">
        <is>
          <t>Không</t>
        </is>
      </c>
      <c r="K205" t="n">
        <v>55</v>
      </c>
      <c r="L205" t="inlineStr">
        <is>
          <t>T0-B5</t>
        </is>
      </c>
      <c r="M205" t="inlineStr">
        <is>
          <t>Trúng</t>
        </is>
      </c>
      <c r="N205" t="n">
        <v>52</v>
      </c>
      <c r="O205" t="inlineStr">
        <is>
          <t>T7-B2</t>
        </is>
      </c>
      <c r="P205" t="inlineStr">
        <is>
          <t>Không</t>
        </is>
      </c>
    </row>
    <row r="206">
      <c r="A206" t="n">
        <v>205</v>
      </c>
      <c r="B206" t="inlineStr">
        <is>
          <t>Thứ ba ngày 28-07-2026</t>
        </is>
      </c>
      <c r="C206" t="n">
        <v>65000</v>
      </c>
      <c r="D206" t="n">
        <v>0</v>
      </c>
      <c r="E206" t="n">
        <v>8</v>
      </c>
      <c r="F206" t="inlineStr">
        <is>
          <t>T8-B3</t>
        </is>
      </c>
      <c r="G206" t="inlineStr">
        <is>
          <t>Không</t>
        </is>
      </c>
      <c r="H206" t="n">
        <v>63</v>
      </c>
      <c r="I206" t="inlineStr">
        <is>
          <t>T9-B4</t>
        </is>
      </c>
      <c r="J206" t="inlineStr">
        <is>
          <t>Không</t>
        </is>
      </c>
      <c r="K206" t="n">
        <v>56</v>
      </c>
      <c r="L206" t="inlineStr">
        <is>
          <t>T1-B6</t>
        </is>
      </c>
      <c r="M206" t="inlineStr">
        <is>
          <t>Trúng</t>
        </is>
      </c>
      <c r="N206" t="n">
        <v>46</v>
      </c>
      <c r="O206" t="inlineStr">
        <is>
          <t>T0-B5</t>
        </is>
      </c>
      <c r="P206" t="inlineStr">
        <is>
          <t>Không</t>
        </is>
      </c>
    </row>
    <row r="207">
      <c r="A207" t="n">
        <v>206</v>
      </c>
      <c r="B207" t="inlineStr">
        <is>
          <t>Thứ tư ngày 29-07-2026</t>
        </is>
      </c>
      <c r="C207" t="n">
        <v>39983</v>
      </c>
      <c r="D207" t="n">
        <v>83</v>
      </c>
      <c r="E207" t="n">
        <v>75</v>
      </c>
      <c r="F207" t="inlineStr">
        <is>
          <t>T2-B7</t>
        </is>
      </c>
      <c r="G207" t="inlineStr">
        <is>
          <t>Trúng</t>
        </is>
      </c>
      <c r="H207" t="n">
        <v>43</v>
      </c>
      <c r="I207" t="inlineStr">
        <is>
          <t>T7-B2</t>
        </is>
      </c>
      <c r="J207" t="inlineStr">
        <is>
          <t>Trúng</t>
        </is>
      </c>
      <c r="K207" t="n">
        <v>48</v>
      </c>
      <c r="L207" t="inlineStr">
        <is>
          <t>T2-B7</t>
        </is>
      </c>
      <c r="M207" t="inlineStr">
        <is>
          <t>Trúng</t>
        </is>
      </c>
      <c r="N207" t="n">
        <v>81</v>
      </c>
      <c r="O207" t="inlineStr">
        <is>
          <t>T9-B4</t>
        </is>
      </c>
      <c r="P207" t="inlineStr">
        <is>
          <t>Không</t>
        </is>
      </c>
    </row>
    <row r="208">
      <c r="A208" t="n">
        <v>207</v>
      </c>
      <c r="B208" t="inlineStr">
        <is>
          <t>Thứ năm ngày 30-07-2026</t>
        </is>
      </c>
      <c r="C208" t="n">
        <v>50834</v>
      </c>
      <c r="D208" t="n">
        <v>34</v>
      </c>
      <c r="E208" t="n">
        <v>6</v>
      </c>
      <c r="F208" t="inlineStr">
        <is>
          <t>T6-B1</t>
        </is>
      </c>
      <c r="G208" t="inlineStr">
        <is>
          <t>Trúng</t>
        </is>
      </c>
      <c r="H208" t="n">
        <v>82</v>
      </c>
      <c r="I208" t="inlineStr">
        <is>
          <t>T0-B5</t>
        </is>
      </c>
      <c r="J208" t="inlineStr">
        <is>
          <t>Không</t>
        </is>
      </c>
      <c r="K208" t="n">
        <v>36</v>
      </c>
      <c r="L208" t="inlineStr">
        <is>
          <t>T9-B4</t>
        </is>
      </c>
      <c r="M208" t="inlineStr">
        <is>
          <t>Không</t>
        </is>
      </c>
      <c r="N208" t="n">
        <v>90</v>
      </c>
      <c r="O208" t="inlineStr">
        <is>
          <t>T9-B4</t>
        </is>
      </c>
      <c r="P208" t="inlineStr">
        <is>
          <t>Không</t>
        </is>
      </c>
    </row>
    <row r="209">
      <c r="A209" t="n">
        <v>208</v>
      </c>
      <c r="B209" t="inlineStr">
        <is>
          <t>Thứ sáu ngày 31-07-2026</t>
        </is>
      </c>
      <c r="C209" t="n">
        <v>41710</v>
      </c>
      <c r="D209" t="n">
        <v>10</v>
      </c>
      <c r="E209" t="n">
        <v>15</v>
      </c>
      <c r="F209" t="inlineStr">
        <is>
          <t>T6-B1</t>
        </is>
      </c>
      <c r="G209" t="inlineStr">
        <is>
          <t>Không</t>
        </is>
      </c>
      <c r="H209" t="n">
        <v>90</v>
      </c>
      <c r="I209" t="inlineStr">
        <is>
          <t>T9-B4</t>
        </is>
      </c>
      <c r="J209" t="inlineStr">
        <is>
          <t>Không</t>
        </is>
      </c>
      <c r="K209" t="n">
        <v>4</v>
      </c>
      <c r="L209" t="inlineStr">
        <is>
          <t>T4-B9</t>
        </is>
      </c>
      <c r="M209" t="inlineStr">
        <is>
          <t>Không</t>
        </is>
      </c>
      <c r="N209" t="n">
        <v>83</v>
      </c>
      <c r="O209" t="inlineStr">
        <is>
          <t>T1-B6</t>
        </is>
      </c>
      <c r="P209" t="inlineStr">
        <is>
          <t>Không</t>
        </is>
      </c>
    </row>
    <row r="210">
      <c r="A210" t="n">
        <v>209</v>
      </c>
      <c r="B210" t="inlineStr">
        <is>
          <t>Thứ bảy ngày 01-08-2026</t>
        </is>
      </c>
      <c r="C210" t="n">
        <v>44823</v>
      </c>
      <c r="D210" t="n">
        <v>23</v>
      </c>
      <c r="E210" t="n">
        <v>56</v>
      </c>
      <c r="F210" t="inlineStr">
        <is>
          <t>T1-B6</t>
        </is>
      </c>
      <c r="G210" t="inlineStr">
        <is>
          <t>Không</t>
        </is>
      </c>
      <c r="H210" t="n">
        <v>80</v>
      </c>
      <c r="I210" t="inlineStr">
        <is>
          <t>T8-B3</t>
        </is>
      </c>
      <c r="J210" t="inlineStr">
        <is>
          <t>Không</t>
        </is>
      </c>
      <c r="K210" t="n">
        <v>52</v>
      </c>
      <c r="L210" t="inlineStr">
        <is>
          <t>T7-B2</t>
        </is>
      </c>
      <c r="M210" t="inlineStr">
        <is>
          <t>Không</t>
        </is>
      </c>
      <c r="N210" t="n">
        <v>90</v>
      </c>
      <c r="O210" t="inlineStr">
        <is>
          <t>T9-B4</t>
        </is>
      </c>
      <c r="P210" t="inlineStr">
        <is>
          <t>Trúng</t>
        </is>
      </c>
    </row>
    <row r="211">
      <c r="A211" t="n">
        <v>210</v>
      </c>
      <c r="B211" t="inlineStr">
        <is>
          <t>Chủ nhật ngày 02-08-2026</t>
        </is>
      </c>
      <c r="C211" t="n">
        <v>11909</v>
      </c>
      <c r="D211" t="n">
        <v>9</v>
      </c>
      <c r="E211" t="n">
        <v>52</v>
      </c>
      <c r="F211" t="inlineStr">
        <is>
          <t>T7-B2</t>
        </is>
      </c>
      <c r="G211" t="inlineStr">
        <is>
          <t>Không</t>
        </is>
      </c>
      <c r="H211" t="n">
        <v>80</v>
      </c>
      <c r="I211" t="inlineStr">
        <is>
          <t>T8-B3</t>
        </is>
      </c>
      <c r="J211" t="inlineStr">
        <is>
          <t>Không</t>
        </is>
      </c>
      <c r="K211" t="n">
        <v>91</v>
      </c>
      <c r="L211" t="inlineStr">
        <is>
          <t>T0-B5</t>
        </is>
      </c>
      <c r="M211" t="inlineStr">
        <is>
          <t>Không</t>
        </is>
      </c>
      <c r="N211" t="n">
        <v>54</v>
      </c>
      <c r="O211" t="inlineStr">
        <is>
          <t>T9-B4</t>
        </is>
      </c>
      <c r="P211" t="inlineStr">
        <is>
          <t>Không</t>
        </is>
      </c>
    </row>
    <row r="212">
      <c r="A212" t="n">
        <v>211</v>
      </c>
      <c r="B212" t="inlineStr">
        <is>
          <t>Thứ hai ngày 03-08-2026</t>
        </is>
      </c>
      <c r="C212" t="n">
        <v>79247</v>
      </c>
      <c r="D212" t="n">
        <v>47</v>
      </c>
      <c r="E212" t="n">
        <v>4</v>
      </c>
      <c r="F212" t="inlineStr">
        <is>
          <t>T4-B9</t>
        </is>
      </c>
      <c r="G212" t="inlineStr">
        <is>
          <t>Không</t>
        </is>
      </c>
      <c r="H212" t="n">
        <v>63</v>
      </c>
      <c r="I212" t="inlineStr">
        <is>
          <t>T9-B4</t>
        </is>
      </c>
      <c r="J212" t="inlineStr">
        <is>
          <t>Không</t>
        </is>
      </c>
      <c r="K212" t="n">
        <v>29</v>
      </c>
      <c r="L212" t="inlineStr">
        <is>
          <t>T1-B6</t>
        </is>
      </c>
      <c r="M212" t="inlineStr">
        <is>
          <t>Không</t>
        </is>
      </c>
      <c r="N212" t="n">
        <v>46</v>
      </c>
      <c r="O212" t="inlineStr">
        <is>
          <t>T0-B5</t>
        </is>
      </c>
      <c r="P212" t="inlineStr">
        <is>
          <t>Không</t>
        </is>
      </c>
    </row>
    <row r="213">
      <c r="A213" t="n">
        <v>212</v>
      </c>
      <c r="B213" t="inlineStr">
        <is>
          <t>Thứ ba ngày 04-08-2026</t>
        </is>
      </c>
      <c r="C213" t="n">
        <v>51125</v>
      </c>
      <c r="D213" t="n">
        <v>25</v>
      </c>
      <c r="E213" t="n">
        <v>78</v>
      </c>
      <c r="F213" t="inlineStr">
        <is>
          <t>T5-B0</t>
        </is>
      </c>
      <c r="G213" t="inlineStr">
        <is>
          <t>Không</t>
        </is>
      </c>
      <c r="H213" t="n">
        <v>84</v>
      </c>
      <c r="I213" t="inlineStr">
        <is>
          <t>T2-B7</t>
        </is>
      </c>
      <c r="J213" t="inlineStr">
        <is>
          <t>Không</t>
        </is>
      </c>
      <c r="K213" t="n">
        <v>44</v>
      </c>
      <c r="L213" t="inlineStr">
        <is>
          <t>T8-B3</t>
        </is>
      </c>
      <c r="M213" t="inlineStr">
        <is>
          <t>Không</t>
        </is>
      </c>
      <c r="N213" t="n">
        <v>82</v>
      </c>
      <c r="O213" t="inlineStr">
        <is>
          <t>T0-B5</t>
        </is>
      </c>
      <c r="P213" t="inlineStr">
        <is>
          <t>Không</t>
        </is>
      </c>
    </row>
    <row r="214">
      <c r="A214" t="n">
        <v>213</v>
      </c>
      <c r="B214" t="inlineStr">
        <is>
          <t>Thứ tư ngày 05-08-2026</t>
        </is>
      </c>
      <c r="C214" t="n">
        <v>59760</v>
      </c>
      <c r="D214" t="n">
        <v>60</v>
      </c>
      <c r="E214" t="n">
        <v>75</v>
      </c>
      <c r="F214" t="inlineStr">
        <is>
          <t>T2-B7</t>
        </is>
      </c>
      <c r="G214" t="inlineStr">
        <is>
          <t>Không</t>
        </is>
      </c>
      <c r="H214" t="n">
        <v>18</v>
      </c>
      <c r="I214" t="inlineStr">
        <is>
          <t>T9-B4</t>
        </is>
      </c>
      <c r="J214" t="inlineStr">
        <is>
          <t>Không</t>
        </is>
      </c>
      <c r="K214" t="n">
        <v>95</v>
      </c>
      <c r="L214" t="inlineStr">
        <is>
          <t>T4-B9</t>
        </is>
      </c>
      <c r="M214" t="inlineStr">
        <is>
          <t>Không</t>
        </is>
      </c>
      <c r="N214" t="n">
        <v>83</v>
      </c>
      <c r="O214" t="inlineStr">
        <is>
          <t>T1-B6</t>
        </is>
      </c>
      <c r="P214" t="inlineStr">
        <is>
          <t>Không</t>
        </is>
      </c>
    </row>
    <row r="215">
      <c r="A215" t="n">
        <v>214</v>
      </c>
      <c r="B215" t="inlineStr">
        <is>
          <t>Thứ năm ngày 06-08-2026</t>
        </is>
      </c>
      <c r="C215" t="n">
        <v>26167</v>
      </c>
      <c r="D215" t="n">
        <v>67</v>
      </c>
      <c r="E215" t="n">
        <v>35</v>
      </c>
      <c r="F215" t="inlineStr">
        <is>
          <t>T8-B3</t>
        </is>
      </c>
      <c r="G215" t="inlineStr">
        <is>
          <t>Không</t>
        </is>
      </c>
      <c r="H215" t="n">
        <v>69</v>
      </c>
      <c r="I215" t="inlineStr">
        <is>
          <t>T5-B0</t>
        </is>
      </c>
      <c r="J215" t="inlineStr">
        <is>
          <t>Không</t>
        </is>
      </c>
      <c r="K215" t="n">
        <v>95</v>
      </c>
      <c r="L215" t="inlineStr">
        <is>
          <t>T4-B9</t>
        </is>
      </c>
      <c r="M215" t="inlineStr">
        <is>
          <t>Không</t>
        </is>
      </c>
      <c r="N215" t="n">
        <v>89</v>
      </c>
      <c r="O215" t="inlineStr">
        <is>
          <t>T7-B2</t>
        </is>
      </c>
      <c r="P215" t="inlineStr">
        <is>
          <t>Không</t>
        </is>
      </c>
    </row>
    <row r="216">
      <c r="A216" t="n">
        <v>215</v>
      </c>
      <c r="B216" t="inlineStr">
        <is>
          <t>Thứ sáu ngày 07-08-2026</t>
        </is>
      </c>
      <c r="C216" t="n">
        <v>16479</v>
      </c>
      <c r="D216" t="n">
        <v>79</v>
      </c>
      <c r="E216" t="n">
        <v>47</v>
      </c>
      <c r="F216" t="inlineStr">
        <is>
          <t>T1-B6</t>
        </is>
      </c>
      <c r="G216" t="inlineStr">
        <is>
          <t>Không</t>
        </is>
      </c>
      <c r="H216" t="n">
        <v>81</v>
      </c>
      <c r="I216" t="inlineStr">
        <is>
          <t>T9-B4</t>
        </is>
      </c>
      <c r="J216" t="inlineStr">
        <is>
          <t>Trúng</t>
        </is>
      </c>
      <c r="K216" t="n">
        <v>44</v>
      </c>
      <c r="L216" t="inlineStr">
        <is>
          <t>T8-B3</t>
        </is>
      </c>
      <c r="M216" t="inlineStr">
        <is>
          <t>Không</t>
        </is>
      </c>
      <c r="N216" t="n">
        <v>80</v>
      </c>
      <c r="O216" t="inlineStr">
        <is>
          <t>T8-B3</t>
        </is>
      </c>
      <c r="P216" t="inlineStr">
        <is>
          <t>Không</t>
        </is>
      </c>
    </row>
    <row r="217">
      <c r="A217" t="n">
        <v>216</v>
      </c>
      <c r="B217" t="inlineStr">
        <is>
          <t>Thứ bảy ngày 08-08-2026</t>
        </is>
      </c>
      <c r="C217" t="n">
        <v>4922</v>
      </c>
      <c r="D217" t="n">
        <v>22</v>
      </c>
      <c r="E217" t="n">
        <v>90</v>
      </c>
      <c r="F217" t="inlineStr">
        <is>
          <t>T9-B4</t>
        </is>
      </c>
      <c r="G217" t="inlineStr">
        <is>
          <t>Không</t>
        </is>
      </c>
      <c r="H217" t="n">
        <v>78</v>
      </c>
      <c r="I217" t="inlineStr">
        <is>
          <t>T5-B0</t>
        </is>
      </c>
      <c r="J217" t="inlineStr">
        <is>
          <t>Không</t>
        </is>
      </c>
      <c r="K217" t="n">
        <v>80</v>
      </c>
      <c r="L217" t="inlineStr">
        <is>
          <t>T8-B3</t>
        </is>
      </c>
      <c r="M217" t="inlineStr">
        <is>
          <t>Trúng</t>
        </is>
      </c>
      <c r="N217" t="n">
        <v>95</v>
      </c>
      <c r="O217" t="inlineStr">
        <is>
          <t>T4-B9</t>
        </is>
      </c>
      <c r="P217" t="inlineStr">
        <is>
          <t>Không</t>
        </is>
      </c>
    </row>
    <row r="218">
      <c r="A218" t="n">
        <v>217</v>
      </c>
      <c r="B218" t="inlineStr">
        <is>
          <t>Chủ nhật ngày 09-08-2026</t>
        </is>
      </c>
      <c r="C218" t="n">
        <v>12221</v>
      </c>
      <c r="D218" t="n">
        <v>21</v>
      </c>
      <c r="E218" t="n">
        <v>21</v>
      </c>
      <c r="F218" t="inlineStr">
        <is>
          <t>T3-B8</t>
        </is>
      </c>
      <c r="G218" t="inlineStr">
        <is>
          <t>Không</t>
        </is>
      </c>
      <c r="H218" t="n">
        <v>77</v>
      </c>
      <c r="I218" t="inlineStr">
        <is>
          <t>T4-B9</t>
        </is>
      </c>
      <c r="J218" t="inlineStr">
        <is>
          <t>Không</t>
        </is>
      </c>
      <c r="K218" t="n">
        <v>29</v>
      </c>
      <c r="L218" t="inlineStr">
        <is>
          <t>T1-B6</t>
        </is>
      </c>
      <c r="M218" t="inlineStr">
        <is>
          <t>Không</t>
        </is>
      </c>
      <c r="N218" t="n">
        <v>97</v>
      </c>
      <c r="O218" t="inlineStr">
        <is>
          <t>T6-B1</t>
        </is>
      </c>
      <c r="P218" t="inlineStr">
        <is>
          <t>Không</t>
        </is>
      </c>
    </row>
    <row r="219">
      <c r="A219" t="n">
        <v>218</v>
      </c>
      <c r="B219" t="inlineStr">
        <is>
          <t>Thứ hai ngày 10-08-2026</t>
        </is>
      </c>
      <c r="C219" t="n">
        <v>92957</v>
      </c>
      <c r="D219" t="n">
        <v>57</v>
      </c>
      <c r="E219" t="n">
        <v>95</v>
      </c>
      <c r="F219" t="inlineStr">
        <is>
          <t>T4-B9</t>
        </is>
      </c>
      <c r="G219" t="inlineStr">
        <is>
          <t>Không</t>
        </is>
      </c>
      <c r="H219" t="n">
        <v>2</v>
      </c>
      <c r="I219" t="inlineStr">
        <is>
          <t>T2-B7</t>
        </is>
      </c>
      <c r="J219" t="inlineStr">
        <is>
          <t>Không</t>
        </is>
      </c>
      <c r="K219" t="n">
        <v>84</v>
      </c>
      <c r="L219" t="inlineStr">
        <is>
          <t>T2-B7</t>
        </is>
      </c>
      <c r="M219" t="inlineStr">
        <is>
          <t>Không</t>
        </is>
      </c>
      <c r="N219" t="n">
        <v>6</v>
      </c>
      <c r="O219" t="inlineStr">
        <is>
          <t>T6-B1</t>
        </is>
      </c>
      <c r="P219" t="inlineStr">
        <is>
          <t>Không</t>
        </is>
      </c>
    </row>
    <row r="220">
      <c r="A220" t="n">
        <v>219</v>
      </c>
      <c r="B220" t="inlineStr">
        <is>
          <t>Thứ ba ngày 11-08-2026</t>
        </is>
      </c>
      <c r="C220" t="n">
        <v>92191</v>
      </c>
      <c r="D220" t="n">
        <v>91</v>
      </c>
      <c r="E220" t="n">
        <v>22</v>
      </c>
      <c r="F220" t="inlineStr">
        <is>
          <t>T4-B9</t>
        </is>
      </c>
      <c r="G220" t="inlineStr">
        <is>
          <t>Không</t>
        </is>
      </c>
      <c r="H220" t="n">
        <v>92</v>
      </c>
      <c r="I220" t="inlineStr">
        <is>
          <t>T1-B6</t>
        </is>
      </c>
      <c r="J220" t="inlineStr">
        <is>
          <t>Không</t>
        </is>
      </c>
      <c r="K220" t="n">
        <v>40</v>
      </c>
      <c r="L220" t="inlineStr">
        <is>
          <t>T4-B9</t>
        </is>
      </c>
      <c r="M220" t="inlineStr">
        <is>
          <t>Không</t>
        </is>
      </c>
      <c r="N220" t="n">
        <v>0</v>
      </c>
      <c r="O220" t="inlineStr">
        <is>
          <t>T0-B5</t>
        </is>
      </c>
      <c r="P220" t="inlineStr">
        <is>
          <t>Không</t>
        </is>
      </c>
    </row>
    <row r="221">
      <c r="A221" t="n">
        <v>220</v>
      </c>
      <c r="B221" t="inlineStr">
        <is>
          <t>Thứ tư ngày 12-08-2026</t>
        </is>
      </c>
      <c r="C221" t="n">
        <v>82326</v>
      </c>
      <c r="D221" t="n">
        <v>26</v>
      </c>
      <c r="E221" t="n">
        <v>21</v>
      </c>
      <c r="F221" t="inlineStr">
        <is>
          <t>T3-B8</t>
        </is>
      </c>
      <c r="G221" t="inlineStr">
        <is>
          <t>Trúng</t>
        </is>
      </c>
      <c r="H221" t="n">
        <v>97</v>
      </c>
      <c r="I221" t="inlineStr">
        <is>
          <t>T6-B1</t>
        </is>
      </c>
      <c r="J221" t="inlineStr">
        <is>
          <t>Không</t>
        </is>
      </c>
      <c r="K221" t="n">
        <v>42</v>
      </c>
      <c r="L221" t="inlineStr">
        <is>
          <t>T6-B1</t>
        </is>
      </c>
      <c r="M221" t="inlineStr">
        <is>
          <t>Không</t>
        </is>
      </c>
      <c r="N221" t="n">
        <v>0</v>
      </c>
      <c r="O221" t="inlineStr">
        <is>
          <t>T0-B5</t>
        </is>
      </c>
      <c r="P221" t="inlineStr">
        <is>
          <t>Không</t>
        </is>
      </c>
    </row>
    <row r="222">
      <c r="A222" t="n">
        <v>221</v>
      </c>
      <c r="B222" t="inlineStr">
        <is>
          <t>Thứ năm ngày 13-08-2026</t>
        </is>
      </c>
      <c r="C222" t="n">
        <v>79344</v>
      </c>
      <c r="D222" t="n">
        <v>44</v>
      </c>
      <c r="E222" t="n">
        <v>14</v>
      </c>
      <c r="F222" t="inlineStr">
        <is>
          <t>T5-B0</t>
        </is>
      </c>
      <c r="G222" t="inlineStr">
        <is>
          <t>Không</t>
        </is>
      </c>
      <c r="H222" t="n">
        <v>26</v>
      </c>
      <c r="I222" t="inlineStr">
        <is>
          <t>T8-B3</t>
        </is>
      </c>
      <c r="J222" t="inlineStr">
        <is>
          <t>Không</t>
        </is>
      </c>
      <c r="K222" t="n">
        <v>19</v>
      </c>
      <c r="L222" t="inlineStr">
        <is>
          <t>T0-B5</t>
        </is>
      </c>
      <c r="M222" t="inlineStr">
        <is>
          <t>Không</t>
        </is>
      </c>
      <c r="N222" t="n">
        <v>34</v>
      </c>
      <c r="O222" t="inlineStr">
        <is>
          <t>T7-B2</t>
        </is>
      </c>
      <c r="P222" t="inlineStr">
        <is>
          <t>Không</t>
        </is>
      </c>
    </row>
    <row r="223">
      <c r="A223" t="n">
        <v>222</v>
      </c>
      <c r="B223" t="inlineStr">
        <is>
          <t>Thứ sáu ngày 14-08-2026</t>
        </is>
      </c>
      <c r="C223" t="n">
        <v>80018</v>
      </c>
      <c r="D223" t="n">
        <v>18</v>
      </c>
      <c r="E223" t="n">
        <v>43</v>
      </c>
      <c r="F223" t="inlineStr">
        <is>
          <t>T7-B2</t>
        </is>
      </c>
      <c r="G223" t="inlineStr">
        <is>
          <t>Không</t>
        </is>
      </c>
      <c r="H223" t="n">
        <v>54</v>
      </c>
      <c r="I223" t="inlineStr">
        <is>
          <t>T9-B4</t>
        </is>
      </c>
      <c r="J223" t="inlineStr">
        <is>
          <t>Không</t>
        </is>
      </c>
      <c r="K223" t="n">
        <v>69</v>
      </c>
      <c r="L223" t="inlineStr">
        <is>
          <t>T5-B0</t>
        </is>
      </c>
      <c r="M223" t="inlineStr">
        <is>
          <t>Trúng</t>
        </is>
      </c>
      <c r="N223" t="n">
        <v>64</v>
      </c>
      <c r="O223" t="inlineStr">
        <is>
          <t>T0-B5</t>
        </is>
      </c>
      <c r="P223" t="inlineStr">
        <is>
          <t>Trúng</t>
        </is>
      </c>
    </row>
    <row r="224">
      <c r="A224" t="n">
        <v>223</v>
      </c>
      <c r="B224" t="inlineStr">
        <is>
          <t>Thứ bảy ngày 15-08-2026</t>
        </is>
      </c>
      <c r="C224" t="n">
        <v>80278</v>
      </c>
      <c r="D224" t="n">
        <v>78</v>
      </c>
      <c r="E224" t="n">
        <v>33</v>
      </c>
      <c r="F224" t="inlineStr">
        <is>
          <t>T6-B1</t>
        </is>
      </c>
      <c r="G224" t="inlineStr">
        <is>
          <t>Không</t>
        </is>
      </c>
      <c r="H224" t="n">
        <v>66</v>
      </c>
      <c r="I224" t="inlineStr">
        <is>
          <t>T2-B7</t>
        </is>
      </c>
      <c r="J224" t="inlineStr">
        <is>
          <t>Không</t>
        </is>
      </c>
      <c r="K224" t="n">
        <v>52</v>
      </c>
      <c r="L224" t="inlineStr">
        <is>
          <t>T7-B2</t>
        </is>
      </c>
      <c r="M224" t="inlineStr">
        <is>
          <t>Không</t>
        </is>
      </c>
      <c r="N224" t="n">
        <v>4</v>
      </c>
      <c r="O224" t="inlineStr">
        <is>
          <t>T4-B9</t>
        </is>
      </c>
      <c r="P224" t="inlineStr">
        <is>
          <t>Không</t>
        </is>
      </c>
    </row>
    <row r="225">
      <c r="A225" t="n">
        <v>224</v>
      </c>
      <c r="B225" t="inlineStr">
        <is>
          <t>Chủ nhật ngày 16-08-2026</t>
        </is>
      </c>
      <c r="C225" t="n">
        <v>14696</v>
      </c>
      <c r="D225" t="n">
        <v>96</v>
      </c>
      <c r="E225" t="n">
        <v>73</v>
      </c>
      <c r="F225" t="inlineStr">
        <is>
          <t>T0-B5</t>
        </is>
      </c>
      <c r="G225" t="inlineStr">
        <is>
          <t>Không</t>
        </is>
      </c>
      <c r="H225" t="n">
        <v>89</v>
      </c>
      <c r="I225" t="inlineStr">
        <is>
          <t>T7-B2</t>
        </is>
      </c>
      <c r="J225" t="inlineStr">
        <is>
          <t>Trúng</t>
        </is>
      </c>
      <c r="K225" t="n">
        <v>52</v>
      </c>
      <c r="L225" t="inlineStr">
        <is>
          <t>T7-B2</t>
        </is>
      </c>
      <c r="M225" t="inlineStr">
        <is>
          <t>Trúng</t>
        </is>
      </c>
      <c r="N225" t="n">
        <v>54</v>
      </c>
      <c r="O225" t="inlineStr">
        <is>
          <t>T9-B4</t>
        </is>
      </c>
      <c r="P225" t="inlineStr">
        <is>
          <t>Không</t>
        </is>
      </c>
    </row>
    <row r="226">
      <c r="A226" t="n">
        <v>225</v>
      </c>
      <c r="B226" t="inlineStr">
        <is>
          <t>Thứ hai ngày 17-08-2026</t>
        </is>
      </c>
      <c r="C226" t="n">
        <v>1939</v>
      </c>
      <c r="D226" t="n">
        <v>39</v>
      </c>
      <c r="E226" t="n">
        <v>89</v>
      </c>
      <c r="F226" t="inlineStr">
        <is>
          <t>T7-B2</t>
        </is>
      </c>
      <c r="G226" t="inlineStr">
        <is>
          <t>Không</t>
        </is>
      </c>
      <c r="H226" t="n">
        <v>61</v>
      </c>
      <c r="I226" t="inlineStr">
        <is>
          <t>T7-B2</t>
        </is>
      </c>
      <c r="J226" t="inlineStr">
        <is>
          <t>Không</t>
        </is>
      </c>
      <c r="K226" t="n">
        <v>76</v>
      </c>
      <c r="L226" t="inlineStr">
        <is>
          <t>T3-B8</t>
        </is>
      </c>
      <c r="M226" t="inlineStr">
        <is>
          <t>Không</t>
        </is>
      </c>
      <c r="N226" t="n">
        <v>71</v>
      </c>
      <c r="O226" t="inlineStr">
        <is>
          <t>T8-B3</t>
        </is>
      </c>
      <c r="P226" t="inlineStr">
        <is>
          <t>Không</t>
        </is>
      </c>
    </row>
    <row r="227">
      <c r="A227" t="n">
        <v>226</v>
      </c>
      <c r="B227" t="inlineStr">
        <is>
          <t>Thứ ba ngày 18-08-2026</t>
        </is>
      </c>
      <c r="C227" t="n">
        <v>29183</v>
      </c>
      <c r="D227" t="n">
        <v>83</v>
      </c>
      <c r="E227" t="n">
        <v>51</v>
      </c>
      <c r="F227" t="inlineStr">
        <is>
          <t>T6-B1</t>
        </is>
      </c>
      <c r="G227" t="inlineStr">
        <is>
          <t>Không</t>
        </is>
      </c>
      <c r="H227" t="n">
        <v>4</v>
      </c>
      <c r="I227" t="inlineStr">
        <is>
          <t>T4-B9</t>
        </is>
      </c>
      <c r="J227" t="inlineStr">
        <is>
          <t>Không</t>
        </is>
      </c>
      <c r="K227" t="n">
        <v>92</v>
      </c>
      <c r="L227" t="inlineStr">
        <is>
          <t>T1-B6</t>
        </is>
      </c>
      <c r="M227" t="inlineStr">
        <is>
          <t>Không</t>
        </is>
      </c>
      <c r="N227" t="n">
        <v>13</v>
      </c>
      <c r="O227" t="inlineStr">
        <is>
          <t>T4-B9</t>
        </is>
      </c>
      <c r="P227" t="inlineStr">
        <is>
          <t>Không</t>
        </is>
      </c>
    </row>
    <row r="228">
      <c r="A228" t="n">
        <v>227</v>
      </c>
      <c r="B228" t="inlineStr">
        <is>
          <t>Thứ tư ngày 19-08-2026</t>
        </is>
      </c>
      <c r="C228" t="n">
        <v>13643</v>
      </c>
      <c r="D228" t="n">
        <v>43</v>
      </c>
      <c r="E228" t="n">
        <v>19</v>
      </c>
      <c r="F228" t="inlineStr">
        <is>
          <t>T0-B5</t>
        </is>
      </c>
      <c r="G228" t="inlineStr">
        <is>
          <t>Trúng</t>
        </is>
      </c>
      <c r="H228" t="n">
        <v>11</v>
      </c>
      <c r="I228" t="inlineStr">
        <is>
          <t>T2-B7</t>
        </is>
      </c>
      <c r="J228" t="inlineStr">
        <is>
          <t>Không</t>
        </is>
      </c>
      <c r="K228" t="n">
        <v>73</v>
      </c>
      <c r="L228" t="inlineStr">
        <is>
          <t>T0-B5</t>
        </is>
      </c>
      <c r="M228" t="inlineStr">
        <is>
          <t>Trúng</t>
        </is>
      </c>
      <c r="N228" t="n">
        <v>54</v>
      </c>
      <c r="O228" t="inlineStr">
        <is>
          <t>T9-B4</t>
        </is>
      </c>
      <c r="P228" t="inlineStr">
        <is>
          <t>Không</t>
        </is>
      </c>
    </row>
    <row r="229">
      <c r="A229" t="n">
        <v>228</v>
      </c>
      <c r="B229" t="inlineStr">
        <is>
          <t>Thứ năm ngày 20-08-2026</t>
        </is>
      </c>
      <c r="C229" t="n">
        <v>7523</v>
      </c>
      <c r="D229" t="n">
        <v>23</v>
      </c>
      <c r="E229" t="n">
        <v>88</v>
      </c>
      <c r="F229" t="inlineStr">
        <is>
          <t>T6-B1</t>
        </is>
      </c>
      <c r="G229" t="inlineStr">
        <is>
          <t>Trúng</t>
        </is>
      </c>
      <c r="H229" t="n">
        <v>34</v>
      </c>
      <c r="I229" t="inlineStr">
        <is>
          <t>T7-B2</t>
        </is>
      </c>
      <c r="J229" t="inlineStr">
        <is>
          <t>Không</t>
        </is>
      </c>
      <c r="K229" t="n">
        <v>47</v>
      </c>
      <c r="L229" t="inlineStr">
        <is>
          <t>T1-B6</t>
        </is>
      </c>
      <c r="M229" t="inlineStr">
        <is>
          <t>Trúng</t>
        </is>
      </c>
      <c r="N229" t="n">
        <v>0</v>
      </c>
      <c r="O229" t="inlineStr">
        <is>
          <t>T0-B5</t>
        </is>
      </c>
      <c r="P229" t="inlineStr">
        <is>
          <t>Không</t>
        </is>
      </c>
    </row>
    <row r="230">
      <c r="A230" t="n">
        <v>229</v>
      </c>
      <c r="B230" t="inlineStr">
        <is>
          <t>Thứ sáu ngày 21-08-2026</t>
        </is>
      </c>
      <c r="C230" t="n">
        <v>94533</v>
      </c>
      <c r="D230" t="n">
        <v>33</v>
      </c>
      <c r="E230" t="n">
        <v>95</v>
      </c>
      <c r="F230" t="inlineStr">
        <is>
          <t>T4-B9</t>
        </is>
      </c>
      <c r="G230" t="inlineStr">
        <is>
          <t>Trúng</t>
        </is>
      </c>
      <c r="H230" t="n">
        <v>35</v>
      </c>
      <c r="I230" t="inlineStr">
        <is>
          <t>T8-B3</t>
        </is>
      </c>
      <c r="J230" t="inlineStr">
        <is>
          <t>Không</t>
        </is>
      </c>
      <c r="K230" t="n">
        <v>99</v>
      </c>
      <c r="L230" t="inlineStr">
        <is>
          <t>T8-B3</t>
        </is>
      </c>
      <c r="M230" t="inlineStr">
        <is>
          <t>Không</t>
        </is>
      </c>
      <c r="N230" t="n">
        <v>67</v>
      </c>
      <c r="O230" t="inlineStr">
        <is>
          <t>T3-B8</t>
        </is>
      </c>
      <c r="P230" t="inlineStr">
        <is>
          <t>Không</t>
        </is>
      </c>
    </row>
    <row r="231">
      <c r="A231" t="n">
        <v>230</v>
      </c>
      <c r="B231" t="inlineStr">
        <is>
          <t>Thứ bảy ngày 22-08-2026</t>
        </is>
      </c>
      <c r="C231" t="n">
        <v>60213</v>
      </c>
      <c r="D231" t="n">
        <v>13</v>
      </c>
      <c r="E231" t="n">
        <v>26</v>
      </c>
      <c r="F231" t="inlineStr">
        <is>
          <t>T8-B3</t>
        </is>
      </c>
      <c r="G231" t="inlineStr">
        <is>
          <t>Không</t>
        </is>
      </c>
      <c r="H231" t="n">
        <v>9</v>
      </c>
      <c r="I231" t="inlineStr">
        <is>
          <t>T9-B4</t>
        </is>
      </c>
      <c r="J231" t="inlineStr">
        <is>
          <t>Không</t>
        </is>
      </c>
      <c r="K231" t="n">
        <v>6</v>
      </c>
      <c r="L231" t="inlineStr">
        <is>
          <t>T6-B1</t>
        </is>
      </c>
      <c r="M231" t="inlineStr">
        <is>
          <t>Trúng</t>
        </is>
      </c>
      <c r="N231" t="n">
        <v>64</v>
      </c>
      <c r="O231" t="inlineStr">
        <is>
          <t>T0-B5</t>
        </is>
      </c>
      <c r="P231" t="inlineStr">
        <is>
          <t>Không</t>
        </is>
      </c>
    </row>
    <row r="232">
      <c r="A232" t="n">
        <v>231</v>
      </c>
      <c r="B232" t="inlineStr">
        <is>
          <t>Chủ nhật ngày 23-08-2026</t>
        </is>
      </c>
      <c r="C232" t="n">
        <v>37938</v>
      </c>
      <c r="D232" t="n">
        <v>38</v>
      </c>
      <c r="E232" t="n">
        <v>68</v>
      </c>
      <c r="F232" t="inlineStr">
        <is>
          <t>T4-B9</t>
        </is>
      </c>
      <c r="G232" t="inlineStr">
        <is>
          <t>Không</t>
        </is>
      </c>
      <c r="H232" t="n">
        <v>87</v>
      </c>
      <c r="I232" t="inlineStr">
        <is>
          <t>T5-B0</t>
        </is>
      </c>
      <c r="J232" t="inlineStr">
        <is>
          <t>Không</t>
        </is>
      </c>
      <c r="K232" t="n">
        <v>38</v>
      </c>
      <c r="L232" t="inlineStr">
        <is>
          <t>T1-B6</t>
        </is>
      </c>
      <c r="M232" t="inlineStr">
        <is>
          <t>Không</t>
        </is>
      </c>
      <c r="N232" t="n">
        <v>99</v>
      </c>
      <c r="O232" t="inlineStr">
        <is>
          <t>T8-B3</t>
        </is>
      </c>
      <c r="P232" t="inlineStr">
        <is>
          <t>Trúng</t>
        </is>
      </c>
    </row>
    <row r="233">
      <c r="A233" t="n">
        <v>232</v>
      </c>
      <c r="B233" t="inlineStr">
        <is>
          <t>Thứ hai ngày 24-08-2026</t>
        </is>
      </c>
      <c r="C233" t="n">
        <v>36917</v>
      </c>
      <c r="D233" t="n">
        <v>17</v>
      </c>
      <c r="E233" t="n">
        <v>19</v>
      </c>
      <c r="F233" t="inlineStr">
        <is>
          <t>T0-B5</t>
        </is>
      </c>
      <c r="G233" t="inlineStr">
        <is>
          <t>Không</t>
        </is>
      </c>
      <c r="H233" t="n">
        <v>85</v>
      </c>
      <c r="I233" t="inlineStr">
        <is>
          <t>T3-B8</t>
        </is>
      </c>
      <c r="J233" t="inlineStr">
        <is>
          <t>Trúng</t>
        </is>
      </c>
      <c r="K233" t="n">
        <v>40</v>
      </c>
      <c r="L233" t="inlineStr">
        <is>
          <t>T4-B9</t>
        </is>
      </c>
      <c r="M233" t="inlineStr">
        <is>
          <t>Không</t>
        </is>
      </c>
      <c r="N233" t="n">
        <v>71</v>
      </c>
      <c r="O233" t="inlineStr">
        <is>
          <t>T8-B3</t>
        </is>
      </c>
      <c r="P233" t="inlineStr">
        <is>
          <t>Trúng</t>
        </is>
      </c>
    </row>
    <row r="234">
      <c r="A234" t="n">
        <v>233</v>
      </c>
      <c r="B234" t="inlineStr">
        <is>
          <t>Thứ ba ngày 25-08-2026</t>
        </is>
      </c>
      <c r="C234" t="n">
        <v>85080</v>
      </c>
      <c r="D234" t="n">
        <v>80</v>
      </c>
      <c r="E234" t="n">
        <v>91</v>
      </c>
      <c r="F234" t="inlineStr">
        <is>
          <t>T0-B5</t>
        </is>
      </c>
      <c r="G234" t="inlineStr">
        <is>
          <t>Không</t>
        </is>
      </c>
      <c r="H234" t="n">
        <v>9</v>
      </c>
      <c r="I234" t="inlineStr">
        <is>
          <t>T9-B4</t>
        </is>
      </c>
      <c r="J234" t="inlineStr">
        <is>
          <t>Không</t>
        </is>
      </c>
      <c r="K234" t="n">
        <v>45</v>
      </c>
      <c r="L234" t="inlineStr">
        <is>
          <t>T9-B4</t>
        </is>
      </c>
      <c r="M234" t="inlineStr">
        <is>
          <t>Không</t>
        </is>
      </c>
      <c r="N234" t="n">
        <v>84</v>
      </c>
      <c r="O234" t="inlineStr">
        <is>
          <t>T2-B7</t>
        </is>
      </c>
      <c r="P234" t="inlineStr">
        <is>
          <t>Trúng</t>
        </is>
      </c>
    </row>
    <row r="235">
      <c r="A235" t="n">
        <v>234</v>
      </c>
      <c r="B235" t="inlineStr">
        <is>
          <t>Thứ tư ngày 26-08-2026</t>
        </is>
      </c>
      <c r="C235" t="n">
        <v>85361</v>
      </c>
      <c r="D235" t="n">
        <v>61</v>
      </c>
      <c r="E235" t="n">
        <v>23</v>
      </c>
      <c r="F235" t="inlineStr">
        <is>
          <t>T5-B0</t>
        </is>
      </c>
      <c r="G235" t="inlineStr">
        <is>
          <t>Không</t>
        </is>
      </c>
      <c r="H235" t="n">
        <v>68</v>
      </c>
      <c r="I235" t="inlineStr">
        <is>
          <t>T4-B9</t>
        </is>
      </c>
      <c r="J235" t="inlineStr">
        <is>
          <t>Trúng</t>
        </is>
      </c>
      <c r="K235" t="n">
        <v>96</v>
      </c>
      <c r="L235" t="inlineStr">
        <is>
          <t>T5-B0</t>
        </is>
      </c>
      <c r="M235" t="inlineStr">
        <is>
          <t>Không</t>
        </is>
      </c>
      <c r="N235" t="n">
        <v>69</v>
      </c>
      <c r="O235" t="inlineStr">
        <is>
          <t>T5-B0</t>
        </is>
      </c>
      <c r="P235" t="inlineStr">
        <is>
          <t>Không</t>
        </is>
      </c>
    </row>
    <row r="236">
      <c r="A236" t="n">
        <v>235</v>
      </c>
      <c r="B236" t="inlineStr">
        <is>
          <t>Thứ năm ngày 27-08-2026</t>
        </is>
      </c>
      <c r="C236" t="n">
        <v>82645</v>
      </c>
      <c r="D236" t="n">
        <v>45</v>
      </c>
      <c r="E236" t="n">
        <v>3</v>
      </c>
      <c r="F236" t="inlineStr">
        <is>
          <t>T3-B8</t>
        </is>
      </c>
      <c r="G236" t="inlineStr">
        <is>
          <t>Không</t>
        </is>
      </c>
      <c r="H236" t="n">
        <v>86</v>
      </c>
      <c r="I236" t="inlineStr">
        <is>
          <t>T4-B9</t>
        </is>
      </c>
      <c r="J236" t="inlineStr">
        <is>
          <t>Trúng</t>
        </is>
      </c>
      <c r="K236" t="n">
        <v>61</v>
      </c>
      <c r="L236" t="inlineStr">
        <is>
          <t>T7-B2</t>
        </is>
      </c>
      <c r="M236" t="inlineStr">
        <is>
          <t>Không</t>
        </is>
      </c>
      <c r="N236" t="n">
        <v>71</v>
      </c>
      <c r="O236" t="inlineStr">
        <is>
          <t>T8-B3</t>
        </is>
      </c>
      <c r="P236" t="inlineStr">
        <is>
          <t>Không</t>
        </is>
      </c>
    </row>
    <row r="237">
      <c r="A237" t="n">
        <v>236</v>
      </c>
      <c r="B237" t="inlineStr">
        <is>
          <t>Thứ sáu ngày 28-08-2026</t>
        </is>
      </c>
      <c r="C237" t="n">
        <v>6168</v>
      </c>
      <c r="D237" t="n">
        <v>68</v>
      </c>
      <c r="E237" t="n">
        <v>96</v>
      </c>
      <c r="F237" t="inlineStr">
        <is>
          <t>T5-B0</t>
        </is>
      </c>
      <c r="G237" t="inlineStr">
        <is>
          <t>Trúng</t>
        </is>
      </c>
      <c r="H237" t="n">
        <v>59</v>
      </c>
      <c r="I237" t="inlineStr">
        <is>
          <t>T4-B9</t>
        </is>
      </c>
      <c r="J237" t="inlineStr">
        <is>
          <t>Không</t>
        </is>
      </c>
      <c r="K237" t="n">
        <v>82</v>
      </c>
      <c r="L237" t="inlineStr">
        <is>
          <t>T0-B5</t>
        </is>
      </c>
      <c r="M237" t="inlineStr">
        <is>
          <t>Trúng</t>
        </is>
      </c>
      <c r="N237" t="n">
        <v>7</v>
      </c>
      <c r="O237" t="inlineStr">
        <is>
          <t>T7-B2</t>
        </is>
      </c>
      <c r="P237" t="inlineStr">
        <is>
          <t>Không</t>
        </is>
      </c>
    </row>
    <row r="238">
      <c r="A238" t="n">
        <v>237</v>
      </c>
      <c r="B238" t="inlineStr">
        <is>
          <t>Thứ bảy ngày 29-08-2026</t>
        </is>
      </c>
      <c r="C238" t="n">
        <v>90737</v>
      </c>
      <c r="D238" t="n">
        <v>37</v>
      </c>
      <c r="E238" t="n">
        <v>62</v>
      </c>
      <c r="F238" t="inlineStr">
        <is>
          <t>T8-B3</t>
        </is>
      </c>
      <c r="G238" t="inlineStr">
        <is>
          <t>Không</t>
        </is>
      </c>
      <c r="H238" t="n">
        <v>43</v>
      </c>
      <c r="I238" t="inlineStr">
        <is>
          <t>T7-B2</t>
        </is>
      </c>
      <c r="J238" t="inlineStr">
        <is>
          <t>Không</t>
        </is>
      </c>
      <c r="K238" t="n">
        <v>34</v>
      </c>
      <c r="L238" t="inlineStr">
        <is>
          <t>T7-B2</t>
        </is>
      </c>
      <c r="M238" t="inlineStr">
        <is>
          <t>Không</t>
        </is>
      </c>
      <c r="N238" t="n">
        <v>1</v>
      </c>
      <c r="O238" t="inlineStr">
        <is>
          <t>T1-B6</t>
        </is>
      </c>
      <c r="P238" t="inlineStr">
        <is>
          <t>Không</t>
        </is>
      </c>
    </row>
    <row r="239">
      <c r="A239" t="n">
        <v>238</v>
      </c>
      <c r="B239" t="inlineStr">
        <is>
          <t>Chủ nhật ngày 30-08-2026</t>
        </is>
      </c>
      <c r="C239" t="n">
        <v>83772</v>
      </c>
      <c r="D239" t="n">
        <v>72</v>
      </c>
      <c r="E239" t="n">
        <v>66</v>
      </c>
      <c r="F239" t="inlineStr">
        <is>
          <t>T2-B7</t>
        </is>
      </c>
      <c r="G239" t="inlineStr">
        <is>
          <t>Không</t>
        </is>
      </c>
      <c r="H239" t="n">
        <v>21</v>
      </c>
      <c r="I239" t="inlineStr">
        <is>
          <t>T3-B8</t>
        </is>
      </c>
      <c r="J239" t="inlineStr">
        <is>
          <t>Trúng</t>
        </is>
      </c>
      <c r="K239" t="n">
        <v>34</v>
      </c>
      <c r="L239" t="inlineStr">
        <is>
          <t>T7-B2</t>
        </is>
      </c>
      <c r="M239" t="inlineStr">
        <is>
          <t>Không</t>
        </is>
      </c>
      <c r="N239" t="n">
        <v>78</v>
      </c>
      <c r="O239" t="inlineStr">
        <is>
          <t>T5-B0</t>
        </is>
      </c>
      <c r="P239" t="inlineStr">
        <is>
          <t>Không</t>
        </is>
      </c>
    </row>
    <row r="240">
      <c r="A240" t="n">
        <v>239</v>
      </c>
      <c r="B240" t="inlineStr">
        <is>
          <t>Thứ hai ngày 31-08-2026</t>
        </is>
      </c>
      <c r="C240" t="n">
        <v>35644</v>
      </c>
      <c r="D240" t="n">
        <v>44</v>
      </c>
      <c r="E240" t="n">
        <v>77</v>
      </c>
      <c r="F240" t="inlineStr">
        <is>
          <t>T4-B9</t>
        </is>
      </c>
      <c r="H240" t="n">
        <v>34</v>
      </c>
      <c r="I240" t="inlineStr">
        <is>
          <t>T7-B2</t>
        </is>
      </c>
      <c r="K240" t="n">
        <v>70</v>
      </c>
      <c r="L240" t="inlineStr">
        <is>
          <t>T7-B2</t>
        </is>
      </c>
      <c r="N240" t="n">
        <v>20</v>
      </c>
      <c r="O240" t="inlineStr">
        <is>
          <t>T2-B7</t>
        </is>
      </c>
    </row>
    <row r="241">
      <c r="A241" t="n">
        <v>240</v>
      </c>
      <c r="B241" t="inlineStr">
        <is>
          <t>Thứ ba ngày 01-09-2026</t>
        </is>
      </c>
      <c r="C241" t="n">
        <v>5521</v>
      </c>
      <c r="D241" t="n">
        <v>21</v>
      </c>
      <c r="E241" t="n">
        <v>63</v>
      </c>
      <c r="H241" t="n">
        <v>93</v>
      </c>
      <c r="K241" t="n">
        <v>51</v>
      </c>
      <c r="N241" t="n">
        <v>68</v>
      </c>
    </row>
    <row r="242">
      <c r="A242" t="n">
        <v>241</v>
      </c>
      <c r="B242" t="inlineStr">
        <is>
          <t>Thứ tư ngày 02-09-2026</t>
        </is>
      </c>
      <c r="C242" t="n">
        <v>44542</v>
      </c>
      <c r="D242" t="n">
        <v>42</v>
      </c>
      <c r="E242" t="n">
        <v>15</v>
      </c>
      <c r="H242" t="n">
        <v>64</v>
      </c>
      <c r="K242" t="n">
        <v>32</v>
      </c>
      <c r="N242" t="n">
        <v>10</v>
      </c>
    </row>
    <row r="243">
      <c r="A243" t="n">
        <v>242</v>
      </c>
      <c r="B243" t="inlineStr">
        <is>
          <t>Thứ năm ngày 03-09-2026</t>
        </is>
      </c>
      <c r="C243" t="inlineStr">
        <is>
          <t>39511</t>
        </is>
      </c>
      <c r="D243" t="inlineStr">
        <is>
          <t>11</t>
        </is>
      </c>
      <c r="E243" t="inlineStr">
        <is>
          <t>08</t>
        </is>
      </c>
      <c r="H243" t="inlineStr">
        <is>
          <t>44</t>
        </is>
      </c>
      <c r="K243" t="inlineStr">
        <is>
          <t>73</t>
        </is>
      </c>
      <c r="N243" t="inlineStr">
        <is>
          <t>71</t>
        </is>
      </c>
    </row>
    <row r="244">
      <c r="A244" t="n">
        <v>243</v>
      </c>
      <c r="B244" t="inlineStr">
        <is>
          <t>Thứ sáu ngày 04-09-2026</t>
        </is>
      </c>
      <c r="C244" t="n">
        <v>50066</v>
      </c>
      <c r="D244" t="n">
        <v>66</v>
      </c>
      <c r="E244" t="n">
        <v>6</v>
      </c>
      <c r="H244" t="n">
        <v>14</v>
      </c>
      <c r="K244" t="n">
        <v>74</v>
      </c>
      <c r="N244" t="n">
        <v>88</v>
      </c>
    </row>
    <row r="245">
      <c r="A245" t="n">
        <v>244</v>
      </c>
      <c r="B245" t="inlineStr">
        <is>
          <t>Thứ bảy ngày 05-09-2026</t>
        </is>
      </c>
      <c r="C245" t="n">
        <v>24037</v>
      </c>
      <c r="D245" t="n">
        <v>37</v>
      </c>
      <c r="E245" t="n">
        <v>88</v>
      </c>
      <c r="H245" t="n">
        <v>59</v>
      </c>
      <c r="K245" t="n">
        <v>31</v>
      </c>
      <c r="N245" t="n">
        <v>21</v>
      </c>
    </row>
    <row r="246">
      <c r="A246" t="n">
        <v>245</v>
      </c>
      <c r="B246" t="inlineStr">
        <is>
          <t>Thứ ba ngày 08-09-2026</t>
        </is>
      </c>
      <c r="C246" t="n">
        <v>39687</v>
      </c>
      <c r="D246" t="n">
        <v>87</v>
      </c>
      <c r="E246" t="n">
        <v>8</v>
      </c>
      <c r="H246" t="n">
        <v>38</v>
      </c>
      <c r="K246" t="n">
        <v>60</v>
      </c>
      <c r="N24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  <col width="40" customWidth="1" min="4" max="4"/>
  </cols>
  <sheetData>
    <row r="1">
      <c r="A1" s="1" t="inlineStr">
        <is>
          <t>Cửa Sổ / Mô Hình</t>
        </is>
      </c>
      <c r="B1" s="1" t="inlineStr">
        <is>
          <t>Tỷ Lệ Trúng 2026</t>
        </is>
      </c>
      <c r="C1" s="1" t="inlineStr">
        <is>
          <t>Số Lần Trúng</t>
        </is>
      </c>
      <c r="D1" s="1" t="inlineStr">
        <is>
          <t>Đánh Giá Chiến Thuật</t>
        </is>
      </c>
    </row>
    <row r="2">
      <c r="A2" s="2" t="inlineStr">
        <is>
          <t>🎯 KHUNG NUÔI 1 NGÀY (Trúng Ngay)</t>
        </is>
      </c>
      <c r="B2" s="2" t="inlineStr">
        <is>
          <t>54.62%</t>
        </is>
      </c>
      <c r="C2" s="3" t="inlineStr">
        <is>
          <t>130 / 238 ngày</t>
        </is>
      </c>
      <c r="D2" s="3" t="inlineStr">
        <is>
          <t>Chơi Ngày Nào Biết Ngày Đó</t>
        </is>
      </c>
    </row>
    <row r="3">
      <c r="A3" s="2" t="inlineStr">
        <is>
          <t>🔥 KHUNG NUÔI 2 NGÀY (Nối Tiếp)</t>
        </is>
      </c>
      <c r="B3" s="2" t="inlineStr">
        <is>
          <t>72.5%</t>
        </is>
      </c>
      <c r="C3" s="3" t="inlineStr">
        <is>
          <t>208 / 238 ngày</t>
        </is>
      </c>
      <c r="D3" s="3" t="inlineStr">
        <is>
          <t>Vốn An Toàn - Tỷ Lệ Trúng &gt; 72%</t>
        </is>
      </c>
    </row>
    <row r="4">
      <c r="A4" s="2" t="inlineStr">
        <is>
          <t>🚀 KHUNG NUÔI 3 NGÀY (Max Khung)</t>
        </is>
      </c>
      <c r="B4" s="2" t="inlineStr">
        <is>
          <t>87.5%</t>
        </is>
      </c>
      <c r="C4" s="3" t="inlineStr">
        <is>
          <t>257 / 238 ngày</t>
        </is>
      </c>
      <c r="D4" s="3" t="inlineStr">
        <is>
          <t>Tối Ưu Cực Đại - Tỷ Lệ Trúng Gần 88%</t>
        </is>
      </c>
    </row>
    <row r="5">
      <c r="A5" s="2" t="inlineStr">
        <is>
          <t>Tuần 36 (Tuần Trước)</t>
        </is>
      </c>
      <c r="B5" s="2" t="inlineStr">
        <is>
          <t>Top 1: G7_2</t>
        </is>
      </c>
      <c r="C5" s="3" t="inlineStr">
        <is>
          <t>Top 2: G7_4</t>
        </is>
      </c>
      <c r="D5" s="3" t="inlineStr">
        <is>
          <t>Top 3: G7_1 (Loại G7_3)</t>
        </is>
      </c>
    </row>
    <row r="6">
      <c r="A6" s="2" t="inlineStr">
        <is>
          <t>Khung 30 Ngày Gần Nhất</t>
        </is>
      </c>
      <c r="B6" s="2" t="inlineStr">
        <is>
          <t>Top 1: G7_3 (23.3%)</t>
        </is>
      </c>
      <c r="C6" s="3" t="inlineStr">
        <is>
          <t>Top 2: G7_2 (20.0%)</t>
        </is>
      </c>
      <c r="D6" s="3" t="inlineStr">
        <is>
          <t>Top 3: G7_1 (16.7%) | Loại: G7_4</t>
        </is>
      </c>
    </row>
    <row r="7">
      <c r="A7" s="2" t="inlineStr">
        <is>
          <t>Khung 60 Ngày Gần Nhất</t>
        </is>
      </c>
      <c r="B7" s="2" t="inlineStr">
        <is>
          <t>Top 1: G7_3 (21.7%)</t>
        </is>
      </c>
      <c r="C7" s="3" t="inlineStr">
        <is>
          <t>Top 2: G7_1 (20.0%)</t>
        </is>
      </c>
      <c r="D7" s="3" t="inlineStr">
        <is>
          <t>Top 3: G7_2 (20.0%) | Loại: G7_4</t>
        </is>
      </c>
    </row>
    <row r="8">
      <c r="A8" s="2" t="inlineStr">
        <is>
          <t>Khung 90 Ngày Gần Nhất</t>
        </is>
      </c>
      <c r="B8" s="2" t="inlineStr">
        <is>
          <t>Top 1: G7_2 (20.0%)</t>
        </is>
      </c>
      <c r="C8" s="3" t="inlineStr">
        <is>
          <t>Top 2: G7_3 (20.0%)</t>
        </is>
      </c>
      <c r="D8" s="3" t="inlineStr">
        <is>
          <t>Top 3: G7_1 (16.7%) | Loại: G7_4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  <col width="19" customWidth="1" min="8" max="8"/>
    <col width="17" customWidth="1" min="9" max="9"/>
    <col width="31" customWidth="1" min="10" max="10"/>
  </cols>
  <sheetData>
    <row r="1">
      <c r="A1" s="1" t="inlineStr">
        <is>
          <t>Thứ Hạng</t>
        </is>
      </c>
      <c r="B1" s="1" t="inlineStr">
        <is>
          <t>Con Số</t>
        </is>
      </c>
      <c r="C1" s="1" t="inlineStr">
        <is>
          <t>Thuộc Tổng</t>
        </is>
      </c>
      <c r="D1" s="1" t="inlineStr">
        <is>
          <t>Chạm G7 Hợp Lệ</t>
        </is>
      </c>
      <c r="E1" s="1" t="inlineStr">
        <is>
          <t>TS 30 Ngày</t>
        </is>
      </c>
      <c r="F1" s="1" t="inlineStr">
        <is>
          <t>TS 60 Ngày</t>
        </is>
      </c>
      <c r="G1" s="1" t="inlineStr">
        <is>
          <t>TS 90 Ngày</t>
        </is>
      </c>
      <c r="H1" s="1" t="inlineStr">
        <is>
          <t>Nhịp Gan (ngày)</t>
        </is>
      </c>
      <c r="I1" s="1" t="inlineStr">
        <is>
          <t>Đánh Giá Nhịp</t>
        </is>
      </c>
      <c r="J1" s="1" t="inlineStr">
        <is>
          <t>Điểm Đồng Thuận Super-Score</t>
        </is>
      </c>
    </row>
    <row r="2">
      <c r="A2" s="2" t="inlineStr">
        <is>
          <t>Top 01</t>
        </is>
      </c>
      <c r="B2" s="2" t="inlineStr">
        <is>
          <t>39</t>
        </is>
      </c>
      <c r="C2" s="3" t="inlineStr">
        <is>
          <t>Tổng 2</t>
        </is>
      </c>
      <c r="D2" s="3" t="inlineStr">
        <is>
          <t>CÓ</t>
        </is>
      </c>
      <c r="E2" s="3" t="n">
        <v>1</v>
      </c>
      <c r="F2" s="3" t="n">
        <v>2</v>
      </c>
      <c r="G2" s="3" t="n">
        <v>3</v>
      </c>
      <c r="H2" s="3" t="n">
        <v>14</v>
      </c>
      <c r="I2" s="3" t="inlineStr">
        <is>
          <t>Nhịp Đẹp</t>
        </is>
      </c>
      <c r="J2" s="3" t="n">
        <v>45</v>
      </c>
    </row>
    <row r="3">
      <c r="A3" s="2" t="inlineStr">
        <is>
          <t>Top 02</t>
        </is>
      </c>
      <c r="B3" s="2" t="inlineStr">
        <is>
          <t>13</t>
        </is>
      </c>
      <c r="C3" s="3" t="inlineStr">
        <is>
          <t>Tổng 4</t>
        </is>
      </c>
      <c r="D3" s="3" t="inlineStr">
        <is>
          <t>CÓ</t>
        </is>
      </c>
      <c r="E3" s="3" t="n">
        <v>1</v>
      </c>
      <c r="F3" s="3" t="n">
        <v>1</v>
      </c>
      <c r="G3" s="3" t="n">
        <v>1</v>
      </c>
      <c r="H3" s="3" t="n">
        <v>9</v>
      </c>
      <c r="I3" s="3" t="inlineStr">
        <is>
          <t>Nhịp Đẹp</t>
        </is>
      </c>
      <c r="J3" s="3" t="n">
        <v>41</v>
      </c>
    </row>
    <row r="4">
      <c r="A4" s="2" t="inlineStr">
        <is>
          <t>Top 03</t>
        </is>
      </c>
      <c r="B4" s="2" t="inlineStr">
        <is>
          <t>22</t>
        </is>
      </c>
      <c r="C4" s="3" t="inlineStr">
        <is>
          <t>Tổng 4</t>
        </is>
      </c>
      <c r="D4" s="3" t="inlineStr">
        <is>
          <t>CÓ</t>
        </is>
      </c>
      <c r="E4" s="3" t="n">
        <v>1</v>
      </c>
      <c r="F4" s="3" t="n">
        <v>1</v>
      </c>
      <c r="G4" s="3" t="n">
        <v>1</v>
      </c>
      <c r="H4" s="3" t="n">
        <v>23</v>
      </c>
      <c r="I4" s="3" t="inlineStr">
        <is>
          <t>Nhịp Đẹp</t>
        </is>
      </c>
      <c r="J4" s="3" t="n">
        <v>41</v>
      </c>
    </row>
    <row r="5">
      <c r="A5" s="2" t="inlineStr">
        <is>
          <t>Top 04</t>
        </is>
      </c>
      <c r="B5" s="2" t="inlineStr">
        <is>
          <t>43</t>
        </is>
      </c>
      <c r="C5" s="3" t="inlineStr">
        <is>
          <t>Tổng 7</t>
        </is>
      </c>
      <c r="D5" s="3" t="inlineStr">
        <is>
          <t>CÓ</t>
        </is>
      </c>
      <c r="E5" s="3" t="n">
        <v>1</v>
      </c>
      <c r="F5" s="3" t="n">
        <v>1</v>
      </c>
      <c r="G5" s="3" t="n">
        <v>1</v>
      </c>
      <c r="H5" s="3" t="n">
        <v>12</v>
      </c>
      <c r="I5" s="3" t="inlineStr">
        <is>
          <t>Nhịp Đẹp</t>
        </is>
      </c>
      <c r="J5" s="3" t="n">
        <v>41</v>
      </c>
    </row>
    <row r="6">
      <c r="A6" s="2" t="inlineStr">
        <is>
          <t>Top 05</t>
        </is>
      </c>
      <c r="B6" s="2" t="inlineStr">
        <is>
          <t>45</t>
        </is>
      </c>
      <c r="C6" s="3" t="inlineStr">
        <is>
          <t>Tổng 9</t>
        </is>
      </c>
      <c r="D6" s="3" t="inlineStr">
        <is>
          <t>CÓ</t>
        </is>
      </c>
      <c r="E6" s="3" t="n">
        <v>1</v>
      </c>
      <c r="F6" s="3" t="n">
        <v>1</v>
      </c>
      <c r="G6" s="3" t="n">
        <v>1</v>
      </c>
      <c r="H6" s="3" t="n">
        <v>4</v>
      </c>
      <c r="I6" s="3" t="inlineStr">
        <is>
          <t>Nhịp Đẹp</t>
        </is>
      </c>
      <c r="J6" s="3" t="n">
        <v>41</v>
      </c>
    </row>
    <row r="7">
      <c r="A7" s="2" t="inlineStr">
        <is>
          <t>Top 06</t>
        </is>
      </c>
      <c r="B7" s="2" t="inlineStr">
        <is>
          <t>57</t>
        </is>
      </c>
      <c r="C7" s="3" t="inlineStr">
        <is>
          <t>Tổng 2</t>
        </is>
      </c>
      <c r="D7" s="3" t="inlineStr">
        <is>
          <t>CÓ</t>
        </is>
      </c>
      <c r="E7" s="3" t="n">
        <v>1</v>
      </c>
      <c r="F7" s="3" t="n">
        <v>1</v>
      </c>
      <c r="G7" s="3" t="n">
        <v>1</v>
      </c>
      <c r="H7" s="3" t="n">
        <v>21</v>
      </c>
      <c r="I7" s="3" t="inlineStr">
        <is>
          <t>Nhịp Đẹp</t>
        </is>
      </c>
      <c r="J7" s="3" t="n">
        <v>41</v>
      </c>
    </row>
    <row r="8">
      <c r="A8" s="2" t="inlineStr">
        <is>
          <t>Top 07</t>
        </is>
      </c>
      <c r="B8" s="2" t="inlineStr">
        <is>
          <t>68</t>
        </is>
      </c>
      <c r="C8" s="3" t="inlineStr">
        <is>
          <t>Tổng 4</t>
        </is>
      </c>
      <c r="D8" s="3" t="inlineStr">
        <is>
          <t>KHÔNG</t>
        </is>
      </c>
      <c r="E8" s="3" t="n">
        <v>1</v>
      </c>
      <c r="F8" s="3" t="n">
        <v>1</v>
      </c>
      <c r="G8" s="3" t="n">
        <v>2</v>
      </c>
      <c r="H8" s="3" t="n">
        <v>3</v>
      </c>
      <c r="I8" s="3" t="inlineStr">
        <is>
          <t>Nhịp Đẹp</t>
        </is>
      </c>
      <c r="J8" s="3" t="n">
        <v>37</v>
      </c>
    </row>
    <row r="9">
      <c r="A9" s="2" t="inlineStr">
        <is>
          <t>Top 08</t>
        </is>
      </c>
      <c r="B9" s="2" t="inlineStr">
        <is>
          <t>18</t>
        </is>
      </c>
      <c r="C9" s="3" t="inlineStr">
        <is>
          <t>Tổng 9</t>
        </is>
      </c>
      <c r="D9" s="3" t="inlineStr">
        <is>
          <t>KHÔNG</t>
        </is>
      </c>
      <c r="E9" s="3" t="n">
        <v>1</v>
      </c>
      <c r="F9" s="3" t="n">
        <v>1</v>
      </c>
      <c r="G9" s="3" t="n">
        <v>1</v>
      </c>
      <c r="H9" s="3" t="n">
        <v>17</v>
      </c>
      <c r="I9" s="3" t="inlineStr">
        <is>
          <t>Nhịp Đẹp</t>
        </is>
      </c>
      <c r="J9" s="3" t="n">
        <v>36</v>
      </c>
    </row>
    <row r="10">
      <c r="A10" s="2" t="inlineStr">
        <is>
          <t>Top 09</t>
        </is>
      </c>
      <c r="B10" s="2" t="inlineStr">
        <is>
          <t>61</t>
        </is>
      </c>
      <c r="C10" s="3" t="inlineStr">
        <is>
          <t>Tổng 7</t>
        </is>
      </c>
      <c r="D10" s="3" t="inlineStr">
        <is>
          <t>KHÔNG</t>
        </is>
      </c>
      <c r="E10" s="3" t="n">
        <v>1</v>
      </c>
      <c r="F10" s="3" t="n">
        <v>1</v>
      </c>
      <c r="G10" s="3" t="n">
        <v>1</v>
      </c>
      <c r="H10" s="3" t="n">
        <v>5</v>
      </c>
      <c r="I10" s="3" t="inlineStr">
        <is>
          <t>Nhịp Đẹp</t>
        </is>
      </c>
      <c r="J10" s="3" t="n">
        <v>36</v>
      </c>
    </row>
    <row r="11">
      <c r="A11" s="2" t="inlineStr">
        <is>
          <t>Top 10</t>
        </is>
      </c>
      <c r="B11" s="2" t="inlineStr">
        <is>
          <t>72</t>
        </is>
      </c>
      <c r="C11" s="3" t="inlineStr">
        <is>
          <t>Tổng 9</t>
        </is>
      </c>
      <c r="D11" s="3" t="inlineStr">
        <is>
          <t>CÓ</t>
        </is>
      </c>
      <c r="E11" s="3" t="n">
        <v>1</v>
      </c>
      <c r="F11" s="3" t="n">
        <v>1</v>
      </c>
      <c r="G11" s="3" t="n">
        <v>1</v>
      </c>
      <c r="H11" s="3" t="n">
        <v>1</v>
      </c>
      <c r="I11" s="3" t="inlineStr">
        <is>
          <t>Vừa Ra</t>
        </is>
      </c>
      <c r="J11" s="3" t="n">
        <v>36</v>
      </c>
    </row>
    <row r="12">
      <c r="A12" s="2" t="inlineStr">
        <is>
          <t>Top 11</t>
        </is>
      </c>
      <c r="B12" s="2" t="inlineStr">
        <is>
          <t>54</t>
        </is>
      </c>
      <c r="C12" s="3" t="inlineStr">
        <is>
          <t>Tổng 9</t>
        </is>
      </c>
      <c r="D12" s="3" t="inlineStr">
        <is>
          <t>CÓ</t>
        </is>
      </c>
      <c r="E12" s="3" t="n">
        <v>0</v>
      </c>
      <c r="F12" s="3" t="n">
        <v>2</v>
      </c>
      <c r="G12" s="3" t="n">
        <v>3</v>
      </c>
      <c r="H12" s="3" t="n">
        <v>39</v>
      </c>
      <c r="I12" s="3" t="inlineStr">
        <is>
          <t>Gan Dài</t>
        </is>
      </c>
      <c r="J12" s="3" t="n">
        <v>32</v>
      </c>
    </row>
    <row r="13">
      <c r="A13" s="2" t="inlineStr">
        <is>
          <t>Top 12</t>
        </is>
      </c>
      <c r="B13" s="2" t="inlineStr">
        <is>
          <t>09</t>
        </is>
      </c>
      <c r="C13" s="3" t="inlineStr">
        <is>
          <t>Tổng 9</t>
        </is>
      </c>
      <c r="D13" s="3" t="inlineStr">
        <is>
          <t>CÓ</t>
        </is>
      </c>
      <c r="E13" s="3" t="n">
        <v>1</v>
      </c>
      <c r="F13" s="3" t="n">
        <v>1</v>
      </c>
      <c r="G13" s="3" t="n">
        <v>1</v>
      </c>
      <c r="H13" s="3" t="n">
        <v>29</v>
      </c>
      <c r="I13" s="3" t="inlineStr">
        <is>
          <t>Gan Dài</t>
        </is>
      </c>
      <c r="J13" s="3" t="n">
        <v>31</v>
      </c>
    </row>
    <row r="14">
      <c r="A14" s="2" t="inlineStr">
        <is>
          <t>Top 13</t>
        </is>
      </c>
      <c r="B14" s="2" t="inlineStr">
        <is>
          <t>25</t>
        </is>
      </c>
      <c r="C14" s="3" t="inlineStr">
        <is>
          <t>Tổng 7</t>
        </is>
      </c>
      <c r="D14" s="3" t="inlineStr">
        <is>
          <t>CÓ</t>
        </is>
      </c>
      <c r="E14" s="3" t="n">
        <v>1</v>
      </c>
      <c r="F14" s="3" t="n">
        <v>1</v>
      </c>
      <c r="G14" s="3" t="n">
        <v>1</v>
      </c>
      <c r="H14" s="3" t="n">
        <v>27</v>
      </c>
      <c r="I14" s="3" t="inlineStr">
        <is>
          <t>Gan Dài</t>
        </is>
      </c>
      <c r="J14" s="3" t="n">
        <v>31</v>
      </c>
    </row>
    <row r="15">
      <c r="A15" s="2" t="inlineStr">
        <is>
          <t>Top 14</t>
        </is>
      </c>
      <c r="B15" s="2" t="inlineStr">
        <is>
          <t>34</t>
        </is>
      </c>
      <c r="C15" s="3" t="inlineStr">
        <is>
          <t>Tổng 7</t>
        </is>
      </c>
      <c r="D15" s="3" t="inlineStr">
        <is>
          <t>CÓ</t>
        </is>
      </c>
      <c r="E15" s="3" t="n">
        <v>0</v>
      </c>
      <c r="F15" s="3" t="n">
        <v>1</v>
      </c>
      <c r="G15" s="3" t="n">
        <v>1</v>
      </c>
      <c r="H15" s="3" t="n">
        <v>32</v>
      </c>
      <c r="I15" s="3" t="inlineStr">
        <is>
          <t>Gan Dài</t>
        </is>
      </c>
      <c r="J15" s="3" t="n">
        <v>28</v>
      </c>
    </row>
    <row r="16">
      <c r="A16" s="2" t="inlineStr">
        <is>
          <t>Top 15</t>
        </is>
      </c>
      <c r="B16" s="2" t="inlineStr">
        <is>
          <t>63</t>
        </is>
      </c>
      <c r="C16" s="3" t="inlineStr">
        <is>
          <t>Tổng 9</t>
        </is>
      </c>
      <c r="D16" s="3" t="inlineStr">
        <is>
          <t>CÓ</t>
        </is>
      </c>
      <c r="E16" s="3" t="n">
        <v>0</v>
      </c>
      <c r="F16" s="3" t="n">
        <v>1</v>
      </c>
      <c r="G16" s="3" t="n">
        <v>1</v>
      </c>
      <c r="H16" s="3" t="n">
        <v>46</v>
      </c>
      <c r="I16" s="3" t="inlineStr">
        <is>
          <t>Gan Dài</t>
        </is>
      </c>
      <c r="J16" s="3" t="n">
        <v>28</v>
      </c>
    </row>
    <row r="17">
      <c r="A17" s="2" t="inlineStr">
        <is>
          <t>Top 16</t>
        </is>
      </c>
      <c r="B17" s="2" t="inlineStr">
        <is>
          <t>70</t>
        </is>
      </c>
      <c r="C17" s="3" t="inlineStr">
        <is>
          <t>Tổng 7</t>
        </is>
      </c>
      <c r="D17" s="3" t="inlineStr">
        <is>
          <t>CÓ</t>
        </is>
      </c>
      <c r="E17" s="3" t="n">
        <v>0</v>
      </c>
      <c r="F17" s="3" t="n">
        <v>1</v>
      </c>
      <c r="G17" s="3" t="n">
        <v>1</v>
      </c>
      <c r="H17" s="3" t="n">
        <v>41</v>
      </c>
      <c r="I17" s="3" t="inlineStr">
        <is>
          <t>Gan Dài</t>
        </is>
      </c>
      <c r="J17" s="3" t="n">
        <v>28</v>
      </c>
    </row>
    <row r="18">
      <c r="A18" s="2" t="inlineStr">
        <is>
          <t>Top 17</t>
        </is>
      </c>
      <c r="B18" s="2" t="inlineStr">
        <is>
          <t>90</t>
        </is>
      </c>
      <c r="C18" s="3" t="inlineStr">
        <is>
          <t>Tổng 9</t>
        </is>
      </c>
      <c r="D18" s="3" t="inlineStr">
        <is>
          <t>CÓ</t>
        </is>
      </c>
      <c r="E18" s="3" t="n">
        <v>0</v>
      </c>
      <c r="F18" s="3" t="n">
        <v>1</v>
      </c>
      <c r="G18" s="3" t="n">
        <v>1</v>
      </c>
      <c r="H18" s="3" t="n">
        <v>44</v>
      </c>
      <c r="I18" s="3" t="inlineStr">
        <is>
          <t>Gan Dài</t>
        </is>
      </c>
      <c r="J18" s="3" t="n">
        <v>28</v>
      </c>
    </row>
    <row r="19">
      <c r="A19" s="2" t="inlineStr">
        <is>
          <t>Top 18</t>
        </is>
      </c>
      <c r="B19" s="2" t="inlineStr">
        <is>
          <t>36</t>
        </is>
      </c>
      <c r="C19" s="3" t="inlineStr">
        <is>
          <t>Tổng 9</t>
        </is>
      </c>
      <c r="D19" s="3" t="inlineStr">
        <is>
          <t>CÓ</t>
        </is>
      </c>
      <c r="E19" s="3" t="n">
        <v>0</v>
      </c>
      <c r="F19" s="3" t="n">
        <v>0</v>
      </c>
      <c r="G19" s="3" t="n">
        <v>2</v>
      </c>
      <c r="H19" s="3" t="n">
        <v>70</v>
      </c>
      <c r="I19" s="3" t="inlineStr">
        <is>
          <t>Gan Dài</t>
        </is>
      </c>
      <c r="J19" s="3" t="n">
        <v>27</v>
      </c>
    </row>
    <row r="20">
      <c r="A20" s="2" t="inlineStr">
        <is>
          <t>Top 19</t>
        </is>
      </c>
      <c r="B20" s="2" t="inlineStr">
        <is>
          <t>38</t>
        </is>
      </c>
      <c r="C20" s="3" t="inlineStr">
        <is>
          <t>Tổng 1</t>
        </is>
      </c>
      <c r="D20" s="3" t="inlineStr">
        <is>
          <t>CÓ</t>
        </is>
      </c>
      <c r="E20" s="3" t="n">
        <v>1</v>
      </c>
      <c r="F20" s="3" t="n">
        <v>3</v>
      </c>
      <c r="G20" s="3" t="n">
        <v>3</v>
      </c>
      <c r="H20" s="3" t="n">
        <v>8</v>
      </c>
      <c r="I20" s="3" t="inlineStr">
        <is>
          <t>Nhịp Đẹp</t>
        </is>
      </c>
      <c r="J20" s="3" t="n">
        <v>27</v>
      </c>
    </row>
    <row r="21">
      <c r="A21" s="2" t="inlineStr">
        <is>
          <t>Top 20</t>
        </is>
      </c>
      <c r="B21" s="2" t="inlineStr">
        <is>
          <t>83</t>
        </is>
      </c>
      <c r="C21" s="3" t="inlineStr">
        <is>
          <t>Tổng 1</t>
        </is>
      </c>
      <c r="D21" s="3" t="inlineStr">
        <is>
          <t>CÓ</t>
        </is>
      </c>
      <c r="E21" s="3" t="n">
        <v>1</v>
      </c>
      <c r="F21" s="3" t="n">
        <v>2</v>
      </c>
      <c r="G21" s="3" t="n">
        <v>5</v>
      </c>
      <c r="H21" s="3" t="n">
        <v>13</v>
      </c>
      <c r="I21" s="3" t="inlineStr">
        <is>
          <t>Nhịp Đẹp</t>
        </is>
      </c>
      <c r="J21" s="3" t="n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3" customWidth="1" min="4" max="4"/>
    <col width="19" customWidth="1" min="5" max="5"/>
    <col width="18" customWidth="1" min="6" max="6"/>
    <col width="13" customWidth="1" min="7" max="7"/>
    <col width="19" customWidth="1" min="8" max="8"/>
    <col width="18" customWidth="1" min="9" max="9"/>
    <col width="13" customWidth="1" min="10" max="10"/>
    <col width="19" customWidth="1" min="11" max="11"/>
    <col width="18" customWidth="1" min="12" max="12"/>
    <col width="13" customWidth="1" min="13" max="13"/>
    <col width="19" customWidth="1" min="14" max="14"/>
    <col width="28" customWidth="1" min="15" max="15"/>
    <col width="54" customWidth="1" min="16" max="16"/>
    <col width="44" customWidth="1" min="17" max="17"/>
    <col width="30" customWidth="1" min="18" max="18"/>
  </cols>
  <sheetData>
    <row r="1">
      <c r="A1" s="1" t="inlineStr">
        <is>
          <t>Thứ Trong Tuần</t>
        </is>
      </c>
      <c r="B1" s="1" t="inlineStr">
        <is>
          <t>Số Ngày</t>
        </is>
      </c>
      <c r="C1" s="1" t="inlineStr">
        <is>
          <t>G7.1 Trực Diện</t>
        </is>
      </c>
      <c r="D1" s="1" t="inlineStr">
        <is>
          <t>G7.1 Bóng</t>
        </is>
      </c>
      <c r="E1" s="1" t="inlineStr">
        <is>
          <t>G7.1 Tổng Trúng</t>
        </is>
      </c>
      <c r="F1" s="1" t="inlineStr">
        <is>
          <t>G7.2 Trực Diện</t>
        </is>
      </c>
      <c r="G1" s="1" t="inlineStr">
        <is>
          <t>G7.2 Bóng</t>
        </is>
      </c>
      <c r="H1" s="1" t="inlineStr">
        <is>
          <t>G7.2 Tổng Trúng</t>
        </is>
      </c>
      <c r="I1" s="1" t="inlineStr">
        <is>
          <t>G7.3 Trực Diện</t>
        </is>
      </c>
      <c r="J1" s="1" t="inlineStr">
        <is>
          <t>G7.3 Bóng</t>
        </is>
      </c>
      <c r="K1" s="1" t="inlineStr">
        <is>
          <t>G7.3 Tổng Trúng</t>
        </is>
      </c>
      <c r="L1" s="1" t="inlineStr">
        <is>
          <t>G7.4 Trực Diện</t>
        </is>
      </c>
      <c r="M1" s="1" t="inlineStr">
        <is>
          <t>G7.4 Bóng</t>
        </is>
      </c>
      <c r="N1" s="1" t="inlineStr">
        <is>
          <t>G7.4 Tổng Trúng</t>
        </is>
      </c>
      <c r="O1" s="1" t="inlineStr">
        <is>
          <t>Tỷ lệ ăn Chạm G7 gốc (%)</t>
        </is>
      </c>
      <c r="P1" s="1" t="inlineStr">
        <is>
          <t>Tỷ lệ ăn khi ép [Chạm Chính B9 x Tổng/Bóng G7] (%)</t>
        </is>
      </c>
      <c r="Q1" s="1" t="inlineStr">
        <is>
          <t>Số lượng con số bình quân sau khi hạ dàn</t>
        </is>
      </c>
      <c r="R1" s="1" t="inlineStr">
        <is>
          <t>Đánh Giá Vị Trí G7 Ưu Tiên</t>
        </is>
      </c>
    </row>
    <row r="2">
      <c r="A2" s="2" t="inlineStr">
        <is>
          <t>Thứ Hai</t>
        </is>
      </c>
      <c r="B2" s="2" t="inlineStr">
        <is>
          <t>33 ngày</t>
        </is>
      </c>
      <c r="C2" s="3" t="inlineStr">
        <is>
          <t>2 (6.1%)</t>
        </is>
      </c>
      <c r="D2" s="3" t="inlineStr">
        <is>
          <t>4 (12.1%)</t>
        </is>
      </c>
      <c r="E2" s="3" t="inlineStr">
        <is>
          <t>6 (18.2%)</t>
        </is>
      </c>
      <c r="F2" s="3" t="inlineStr">
        <is>
          <t>1 (3.0%)</t>
        </is>
      </c>
      <c r="G2" s="3" t="inlineStr">
        <is>
          <t>4 (12.1%)</t>
        </is>
      </c>
      <c r="H2" s="3" t="inlineStr">
        <is>
          <t>5 (15.2%)</t>
        </is>
      </c>
      <c r="I2" s="3" t="inlineStr">
        <is>
          <t>6 (18.2%)</t>
        </is>
      </c>
      <c r="J2" s="3" t="inlineStr">
        <is>
          <t>2 (6.1%)</t>
        </is>
      </c>
      <c r="K2" s="3" t="inlineStr">
        <is>
          <t>8 (24.2%)</t>
        </is>
      </c>
      <c r="L2" s="3" t="inlineStr">
        <is>
          <t>2 (6.1%)</t>
        </is>
      </c>
      <c r="M2" s="3" t="inlineStr">
        <is>
          <t>3 (9.1%)</t>
        </is>
      </c>
      <c r="N2" s="3" t="inlineStr">
        <is>
          <t>5 (15.2%)</t>
        </is>
      </c>
      <c r="O2" s="3" t="inlineStr">
        <is>
          <t>26 (78.8%)</t>
        </is>
      </c>
      <c r="P2" s="3" t="inlineStr">
        <is>
          <t>15 (45.5%)</t>
        </is>
      </c>
      <c r="Q2" s="3" t="inlineStr">
        <is>
          <t>TB ~48 con</t>
        </is>
      </c>
      <c r="R2" s="3" t="inlineStr">
        <is>
          <t>Tối Ưu Theo Thứ</t>
        </is>
      </c>
    </row>
    <row r="3">
      <c r="A3" s="2" t="inlineStr">
        <is>
          <t>Thứ Ba</t>
        </is>
      </c>
      <c r="B3" s="2" t="inlineStr">
        <is>
          <t>33 ngày</t>
        </is>
      </c>
      <c r="C3" s="3" t="inlineStr">
        <is>
          <t>0 (0.0%)</t>
        </is>
      </c>
      <c r="D3" s="3" t="inlineStr">
        <is>
          <t>3 (9.1%)</t>
        </is>
      </c>
      <c r="E3" s="3" t="inlineStr">
        <is>
          <t>3 (9.1%)</t>
        </is>
      </c>
      <c r="F3" s="3" t="inlineStr">
        <is>
          <t>2 (6.1%)</t>
        </is>
      </c>
      <c r="G3" s="3" t="inlineStr">
        <is>
          <t>5 (15.2%)</t>
        </is>
      </c>
      <c r="H3" s="3" t="inlineStr">
        <is>
          <t>7 (21.2%)</t>
        </is>
      </c>
      <c r="I3" s="3" t="inlineStr">
        <is>
          <t>1 (3.0%)</t>
        </is>
      </c>
      <c r="J3" s="3" t="inlineStr">
        <is>
          <t>4 (12.1%)</t>
        </is>
      </c>
      <c r="K3" s="3" t="inlineStr">
        <is>
          <t>5 (15.2%)</t>
        </is>
      </c>
      <c r="L3" s="3" t="inlineStr">
        <is>
          <t>2 (6.1%)</t>
        </is>
      </c>
      <c r="M3" s="3" t="inlineStr">
        <is>
          <t>3 (9.1%)</t>
        </is>
      </c>
      <c r="N3" s="3" t="inlineStr">
        <is>
          <t>5 (15.2%)</t>
        </is>
      </c>
      <c r="O3" s="3" t="inlineStr">
        <is>
          <t>26 (78.8%)</t>
        </is>
      </c>
      <c r="P3" s="3" t="inlineStr">
        <is>
          <t>13 (39.4%)</t>
        </is>
      </c>
      <c r="Q3" s="3" t="inlineStr">
        <is>
          <t>TB ~48 con</t>
        </is>
      </c>
      <c r="R3" s="3" t="inlineStr">
        <is>
          <t>Tối Ưu Theo Thứ</t>
        </is>
      </c>
    </row>
    <row r="4">
      <c r="A4" s="2" t="inlineStr">
        <is>
          <t>Thứ Tư</t>
        </is>
      </c>
      <c r="B4" s="2" t="inlineStr">
        <is>
          <t>33 ngày</t>
        </is>
      </c>
      <c r="C4" s="3" t="inlineStr">
        <is>
          <t>3 (9.1%)</t>
        </is>
      </c>
      <c r="D4" s="3" t="inlineStr">
        <is>
          <t>6 (18.2%)</t>
        </is>
      </c>
      <c r="E4" s="3" t="inlineStr">
        <is>
          <t>9 (27.3%)</t>
        </is>
      </c>
      <c r="F4" s="3" t="inlineStr">
        <is>
          <t>2 (6.1%)</t>
        </is>
      </c>
      <c r="G4" s="3" t="inlineStr">
        <is>
          <t>3 (9.1%)</t>
        </is>
      </c>
      <c r="H4" s="3" t="inlineStr">
        <is>
          <t>5 (15.2%)</t>
        </is>
      </c>
      <c r="I4" s="3" t="inlineStr">
        <is>
          <t>1 (3.0%)</t>
        </is>
      </c>
      <c r="J4" s="3" t="inlineStr">
        <is>
          <t>3 (9.1%)</t>
        </is>
      </c>
      <c r="K4" s="3" t="inlineStr">
        <is>
          <t>4 (12.1%)</t>
        </is>
      </c>
      <c r="L4" s="3" t="inlineStr">
        <is>
          <t>0 (0.0%)</t>
        </is>
      </c>
      <c r="M4" s="3" t="inlineStr">
        <is>
          <t>1 (3.0%)</t>
        </is>
      </c>
      <c r="N4" s="3" t="inlineStr">
        <is>
          <t>1 (3.0%)</t>
        </is>
      </c>
      <c r="O4" s="3" t="inlineStr">
        <is>
          <t>32 (97.0%)</t>
        </is>
      </c>
      <c r="P4" s="3" t="inlineStr">
        <is>
          <t>13 (39.4%)</t>
        </is>
      </c>
      <c r="Q4" s="3" t="inlineStr">
        <is>
          <t>TB ~48 con</t>
        </is>
      </c>
      <c r="R4" s="3" t="inlineStr">
        <is>
          <t>Tối Ưu Theo Thứ</t>
        </is>
      </c>
    </row>
    <row r="5">
      <c r="A5" s="2" t="inlineStr">
        <is>
          <t>Thứ Năm</t>
        </is>
      </c>
      <c r="B5" s="2" t="inlineStr">
        <is>
          <t>34 ngày</t>
        </is>
      </c>
      <c r="C5" s="3" t="inlineStr">
        <is>
          <t>3 (8.8%)</t>
        </is>
      </c>
      <c r="D5" s="3" t="inlineStr">
        <is>
          <t>8 (23.5%)</t>
        </is>
      </c>
      <c r="E5" s="3" t="inlineStr">
        <is>
          <t>11 (32.4%)</t>
        </is>
      </c>
      <c r="F5" s="3" t="inlineStr">
        <is>
          <t>3 (8.8%)</t>
        </is>
      </c>
      <c r="G5" s="3" t="inlineStr">
        <is>
          <t>1 (2.9%)</t>
        </is>
      </c>
      <c r="H5" s="3" t="inlineStr">
        <is>
          <t>4 (11.8%)</t>
        </is>
      </c>
      <c r="I5" s="3" t="inlineStr">
        <is>
          <t>3 (8.8%)</t>
        </is>
      </c>
      <c r="J5" s="3" t="inlineStr">
        <is>
          <t>9 (26.5%)</t>
        </is>
      </c>
      <c r="K5" s="3" t="inlineStr">
        <is>
          <t>12 (35.3%)</t>
        </is>
      </c>
      <c r="L5" s="3" t="inlineStr">
        <is>
          <t>2 (5.9%)</t>
        </is>
      </c>
      <c r="M5" s="3" t="inlineStr">
        <is>
          <t>2 (5.9%)</t>
        </is>
      </c>
      <c r="N5" s="3" t="inlineStr">
        <is>
          <t>4 (11.8%)</t>
        </is>
      </c>
      <c r="O5" s="3" t="inlineStr">
        <is>
          <t>28 (82.4%)</t>
        </is>
      </c>
      <c r="P5" s="3" t="inlineStr">
        <is>
          <t>20 (58.8%)</t>
        </is>
      </c>
      <c r="Q5" s="3" t="inlineStr">
        <is>
          <t>TB ~48 con</t>
        </is>
      </c>
      <c r="R5" s="3" t="inlineStr">
        <is>
          <t>Tối Ưu Theo Thứ</t>
        </is>
      </c>
    </row>
    <row r="6">
      <c r="A6" s="2" t="inlineStr">
        <is>
          <t>Thứ Sáu</t>
        </is>
      </c>
      <c r="B6" s="2" t="inlineStr">
        <is>
          <t>35 ngày</t>
        </is>
      </c>
      <c r="C6" s="3" t="inlineStr">
        <is>
          <t>1 (2.9%)</t>
        </is>
      </c>
      <c r="D6" s="3" t="inlineStr">
        <is>
          <t>1 (2.9%)</t>
        </is>
      </c>
      <c r="E6" s="3" t="inlineStr">
        <is>
          <t>2 (5.7%)</t>
        </is>
      </c>
      <c r="F6" s="3" t="inlineStr">
        <is>
          <t>3 (8.6%)</t>
        </is>
      </c>
      <c r="G6" s="3" t="inlineStr">
        <is>
          <t>3 (8.6%)</t>
        </is>
      </c>
      <c r="H6" s="3" t="inlineStr">
        <is>
          <t>6 (17.1%)</t>
        </is>
      </c>
      <c r="I6" s="3" t="inlineStr">
        <is>
          <t>4 (11.4%)</t>
        </is>
      </c>
      <c r="J6" s="3" t="inlineStr">
        <is>
          <t>6 (17.1%)</t>
        </is>
      </c>
      <c r="K6" s="3" t="inlineStr">
        <is>
          <t>10 (28.6%)</t>
        </is>
      </c>
      <c r="L6" s="3" t="inlineStr">
        <is>
          <t>1 (2.9%)</t>
        </is>
      </c>
      <c r="M6" s="3" t="inlineStr">
        <is>
          <t>6 (17.1%)</t>
        </is>
      </c>
      <c r="N6" s="3" t="inlineStr">
        <is>
          <t>7 (20.0%)</t>
        </is>
      </c>
      <c r="O6" s="3" t="inlineStr">
        <is>
          <t>30 (85.7%)</t>
        </is>
      </c>
      <c r="P6" s="3" t="inlineStr">
        <is>
          <t>14 (40.0%)</t>
        </is>
      </c>
      <c r="Q6" s="3" t="inlineStr">
        <is>
          <t>TB ~48 con</t>
        </is>
      </c>
      <c r="R6" s="3" t="inlineStr">
        <is>
          <t>Tối Ưu Theo Thứ</t>
        </is>
      </c>
    </row>
    <row r="7">
      <c r="A7" s="2" t="inlineStr">
        <is>
          <t>Thứ Bảy</t>
        </is>
      </c>
      <c r="B7" s="2" t="inlineStr">
        <is>
          <t>35 ngày</t>
        </is>
      </c>
      <c r="C7" s="3" t="inlineStr">
        <is>
          <t>5 (14.3%)</t>
        </is>
      </c>
      <c r="D7" s="3" t="inlineStr">
        <is>
          <t>1 (2.9%)</t>
        </is>
      </c>
      <c r="E7" s="3" t="inlineStr">
        <is>
          <t>6 (17.1%)</t>
        </is>
      </c>
      <c r="F7" s="3" t="inlineStr">
        <is>
          <t>2 (5.7%)</t>
        </is>
      </c>
      <c r="G7" s="3" t="inlineStr">
        <is>
          <t>6 (17.1%)</t>
        </is>
      </c>
      <c r="H7" s="3" t="inlineStr">
        <is>
          <t>8 (22.9%)</t>
        </is>
      </c>
      <c r="I7" s="3" t="inlineStr">
        <is>
          <t>1 (2.9%)</t>
        </is>
      </c>
      <c r="J7" s="3" t="inlineStr">
        <is>
          <t>5 (14.3%)</t>
        </is>
      </c>
      <c r="K7" s="3" t="inlineStr">
        <is>
          <t>6 (17.1%)</t>
        </is>
      </c>
      <c r="L7" s="3" t="inlineStr">
        <is>
          <t>2 (5.7%)</t>
        </is>
      </c>
      <c r="M7" s="3" t="inlineStr">
        <is>
          <t>5 (14.3%)</t>
        </is>
      </c>
      <c r="N7" s="3" t="inlineStr">
        <is>
          <t>7 (20.0%)</t>
        </is>
      </c>
      <c r="O7" s="3" t="inlineStr">
        <is>
          <t>30 (85.7%)</t>
        </is>
      </c>
      <c r="P7" s="3" t="inlineStr">
        <is>
          <t>15 (42.9%)</t>
        </is>
      </c>
      <c r="Q7" s="3" t="inlineStr">
        <is>
          <t>TB ~48 con</t>
        </is>
      </c>
      <c r="R7" s="3" t="inlineStr">
        <is>
          <t>Tối Ưu Theo Thứ</t>
        </is>
      </c>
    </row>
    <row r="8">
      <c r="A8" s="2" t="inlineStr">
        <is>
          <t>Chủ Nhật</t>
        </is>
      </c>
      <c r="B8" s="2" t="inlineStr">
        <is>
          <t>35 ngày</t>
        </is>
      </c>
      <c r="C8" s="3" t="inlineStr">
        <is>
          <t>2 (5.7%)</t>
        </is>
      </c>
      <c r="D8" s="3" t="inlineStr">
        <is>
          <t>1 (2.9%)</t>
        </is>
      </c>
      <c r="E8" s="3" t="inlineStr">
        <is>
          <t>3 (8.6%)</t>
        </is>
      </c>
      <c r="F8" s="3" t="inlineStr">
        <is>
          <t>3 (8.6%)</t>
        </is>
      </c>
      <c r="G8" s="3" t="inlineStr">
        <is>
          <t>5 (14.3%)</t>
        </is>
      </c>
      <c r="H8" s="3" t="inlineStr">
        <is>
          <t>8 (22.9%)</t>
        </is>
      </c>
      <c r="I8" s="3" t="inlineStr">
        <is>
          <t>3 (8.6%)</t>
        </is>
      </c>
      <c r="J8" s="3" t="inlineStr">
        <is>
          <t>2 (5.7%)</t>
        </is>
      </c>
      <c r="K8" s="3" t="inlineStr">
        <is>
          <t>5 (14.3%)</t>
        </is>
      </c>
      <c r="L8" s="3" t="inlineStr">
        <is>
          <t>4 (11.4%)</t>
        </is>
      </c>
      <c r="M8" s="3" t="inlineStr">
        <is>
          <t>3 (8.6%)</t>
        </is>
      </c>
      <c r="N8" s="3" t="inlineStr">
        <is>
          <t>7 (20.0%)</t>
        </is>
      </c>
      <c r="O8" s="3" t="inlineStr">
        <is>
          <t>30 (85.7%)</t>
        </is>
      </c>
      <c r="P8" s="3" t="inlineStr">
        <is>
          <t>15 (42.9%)</t>
        </is>
      </c>
      <c r="Q8" s="3" t="inlineStr">
        <is>
          <t>TB ~48 con</t>
        </is>
      </c>
      <c r="R8" s="3" t="inlineStr">
        <is>
          <t>Tối Ưu Theo Thứ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65" customWidth="1" min="2" max="2"/>
  </cols>
  <sheetData>
    <row r="1">
      <c r="A1" s="1" t="inlineStr">
        <is>
          <t>Hạng Mục Dự Đoán</t>
        </is>
      </c>
      <c r="B1" s="1" t="inlineStr">
        <is>
          <t>Chi Tiết Kế Thừa &amp; Dự Đoán Theo Thứ</t>
        </is>
      </c>
    </row>
    <row r="2">
      <c r="A2" s="2" t="inlineStr">
        <is>
          <t>Hạng Mục Dự Đoán</t>
        </is>
      </c>
      <c r="B2" s="2" t="inlineStr">
        <is>
          <t>Chi Tiết Kế Thừa &amp; Dự Đoán Theo Thứ</t>
        </is>
      </c>
    </row>
    <row r="3">
      <c r="A3" s="2" t="inlineStr">
        <is>
          <t>Ngày Dự Đoán Tiếp Theo</t>
        </is>
      </c>
      <c r="B3" s="2" t="inlineStr">
        <is>
          <t>Thứ Ba (Kế thừa phong độ Thứ Ba năm 2026)</t>
        </is>
      </c>
    </row>
    <row r="4">
      <c r="A4" s="2" t="inlineStr">
        <is>
          <t>Top 2 Vị Trí G7 Ưu Tiên</t>
        </is>
      </c>
      <c r="B4" s="2" t="inlineStr">
        <is>
          <t>G7.3, G7.4</t>
        </is>
      </c>
    </row>
    <row r="5">
      <c r="A5" s="2" t="inlineStr">
        <is>
          <t>Các Tổng &amp; Bóng Ưu Tiên Nổ</t>
        </is>
      </c>
      <c r="B5" s="2" t="inlineStr">
        <is>
          <t>Tổng 2, Tổng 7</t>
        </is>
      </c>
    </row>
    <row r="6">
      <c r="A6" s="2" t="inlineStr">
        <is>
          <t>Tập Chạm Ngày Ưu Tiên</t>
        </is>
      </c>
      <c r="B6" s="2" t="inlineStr">
        <is>
          <t>02345789</t>
        </is>
      </c>
    </row>
    <row r="7">
      <c r="A7" s="2" t="inlineStr">
        <is>
          <t>Cầu Ghép Góc (G7.1[0] + G7.4[1])</t>
        </is>
      </c>
      <c r="B7" s="2" t="inlineStr">
        <is>
          <t>Tổng 7 - Bóng 2</t>
        </is>
      </c>
    </row>
    <row r="8">
      <c r="A8" s="2" t="inlineStr">
        <is>
          <t>Dàn Giao Thoa Dự Đoán (~47 con)</t>
        </is>
      </c>
      <c r="B8" s="2" t="inlineStr">
        <is>
          <t>02, 07, 20, 25, 34, 39, 43, 48, 52, 57, 70, 75, 84, 89, 93, 98</t>
        </is>
      </c>
    </row>
    <row r="9">
      <c r="A9" s="2" t="inlineStr">
        <is>
          <t>Dàn Hạ Số Hỏa Lực Top 20</t>
        </is>
      </c>
      <c r="B9" s="2" t="inlineStr">
        <is>
          <t>39, 43, 57, 25, 89, 70, 34, 93, 52, 84, 07, 75, 02, 20, 98, 48</t>
        </is>
      </c>
    </row>
    <row r="10">
      <c r="A10" s="4" t="inlineStr">
        <is>
          <t>--- XU HƯỚNG VỊ TRÍ G7 THEO TỪNG THỨ (2026) ---</t>
        </is>
      </c>
      <c r="B10" s="4" t="inlineStr"/>
    </row>
    <row r="11">
      <c r="A11" s="2" t="inlineStr">
        <is>
          <t>Phong Độ Thứ Hai</t>
        </is>
      </c>
      <c r="B11" s="2" t="inlineStr">
        <is>
          <t>Top 1 Vị Trí G7.3 (Trúng 8/33 ngày - 24.2%)</t>
        </is>
      </c>
    </row>
    <row r="12">
      <c r="A12" s="2" t="inlineStr">
        <is>
          <t>Phong Độ Thứ Ba</t>
        </is>
      </c>
      <c r="B12" s="2" t="inlineStr">
        <is>
          <t>Top 1 Vị Trí G7.2 (Trúng 7/33 ngày - 21.2%)</t>
        </is>
      </c>
    </row>
    <row r="13">
      <c r="A13" s="2" t="inlineStr">
        <is>
          <t>Phong Độ Thứ Tư</t>
        </is>
      </c>
      <c r="B13" s="2" t="inlineStr">
        <is>
          <t>Top 1 Vị Trí G7.1 (Trúng 9/33 ngày - 27.3%)</t>
        </is>
      </c>
    </row>
    <row r="14">
      <c r="A14" s="2" t="inlineStr">
        <is>
          <t>Phong Độ Thứ Năm</t>
        </is>
      </c>
      <c r="B14" s="2" t="inlineStr">
        <is>
          <t>Top 1 Vị Trí G7.3 (Trúng 12/34 ngày - 35.3%)</t>
        </is>
      </c>
    </row>
    <row r="15">
      <c r="A15" s="2" t="inlineStr">
        <is>
          <t>Phong Độ Thứ Sáu</t>
        </is>
      </c>
      <c r="B15" s="2" t="inlineStr">
        <is>
          <t>Top 1 Vị Trí G7.3 (Trúng 10/35 ngày - 28.6%)</t>
        </is>
      </c>
    </row>
    <row r="16">
      <c r="A16" s="2" t="inlineStr">
        <is>
          <t>Phong Độ Thứ Bảy</t>
        </is>
      </c>
      <c r="B16" s="2" t="inlineStr">
        <is>
          <t>Top 1 Vị Trí G7.2 (Trúng 8/35 ngày - 22.9%)</t>
        </is>
      </c>
    </row>
    <row r="17">
      <c r="A17" s="2" t="inlineStr">
        <is>
          <t>Phong Độ Chủ Nhật</t>
        </is>
      </c>
      <c r="B17" s="2" t="inlineStr">
        <is>
          <t>Top 1 Vị Trí G7.2 (Trúng 8/35 ngày - 22.9%)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4" customWidth="1" min="3" max="3"/>
    <col width="24" customWidth="1" min="4" max="4"/>
    <col width="24" customWidth="1" min="5" max="5"/>
    <col width="24" customWidth="1" min="6" max="6"/>
    <col width="29" customWidth="1" min="7" max="7"/>
    <col width="31" customWidth="1" min="8" max="8"/>
  </cols>
  <sheetData>
    <row r="1">
      <c r="A1" s="1" t="inlineStr">
        <is>
          <t>Thứ Trong Tuần</t>
        </is>
      </c>
      <c r="B1" s="1" t="inlineStr">
        <is>
          <t>Số Ngày Phân Tích</t>
        </is>
      </c>
      <c r="C1" s="1" t="inlineStr">
        <is>
          <t>G7.1 Trúng Tổng/Bóng</t>
        </is>
      </c>
      <c r="D1" s="1" t="inlineStr">
        <is>
          <t>G7.2 Trúng Tổng/Bóng</t>
        </is>
      </c>
      <c r="E1" s="1" t="inlineStr">
        <is>
          <t>G7.3 Trúng Tổng/Bóng</t>
        </is>
      </c>
      <c r="F1" s="1" t="inlineStr">
        <is>
          <t>G7.4 Trúng Tổng/Bóng</t>
        </is>
      </c>
      <c r="G1" s="1" t="inlineStr">
        <is>
          <t>Vị Trí G7 Tối Ưu Nhất</t>
        </is>
      </c>
      <c r="H1" s="1" t="inlineStr">
        <is>
          <t>Khuyên Dùng Đánh Theo Thứ</t>
        </is>
      </c>
    </row>
    <row r="2">
      <c r="A2" s="2" t="inlineStr">
        <is>
          <t>Thứ Hai</t>
        </is>
      </c>
      <c r="B2" s="2" t="inlineStr">
        <is>
          <t>33 ngày</t>
        </is>
      </c>
      <c r="C2" s="3" t="inlineStr">
        <is>
          <t>6 lần (18.2%)</t>
        </is>
      </c>
      <c r="D2" s="3" t="inlineStr">
        <is>
          <t>5 lần (15.2%)</t>
        </is>
      </c>
      <c r="E2" s="3" t="inlineStr">
        <is>
          <t>8 lần (24.2%)</t>
        </is>
      </c>
      <c r="F2" s="3" t="inlineStr">
        <is>
          <t>5 lần (15.2%)</t>
        </is>
      </c>
      <c r="G2" s="3" t="inlineStr">
        <is>
          <t>Top 1: G7.3 | Top 2: G7.1</t>
        </is>
      </c>
      <c r="H2" s="3" t="inlineStr">
        <is>
          <t>Ưu tiên ép Tổng G7.3 &amp; G7.1</t>
        </is>
      </c>
    </row>
    <row r="3">
      <c r="A3" s="2" t="inlineStr">
        <is>
          <t>Thứ Ba</t>
        </is>
      </c>
      <c r="B3" s="2" t="inlineStr">
        <is>
          <t>33 ngày</t>
        </is>
      </c>
      <c r="C3" s="3" t="inlineStr">
        <is>
          <t>3 lần (9.1%)</t>
        </is>
      </c>
      <c r="D3" s="3" t="inlineStr">
        <is>
          <t>7 lần (21.2%)</t>
        </is>
      </c>
      <c r="E3" s="3" t="inlineStr">
        <is>
          <t>5 lần (15.2%)</t>
        </is>
      </c>
      <c r="F3" s="3" t="inlineStr">
        <is>
          <t>5 lần (15.2%)</t>
        </is>
      </c>
      <c r="G3" s="3" t="inlineStr">
        <is>
          <t>Top 1: G7.2 | Top 2: G7.3</t>
        </is>
      </c>
      <c r="H3" s="3" t="inlineStr">
        <is>
          <t>Ưu tiên ép Tổng G7.2 &amp; G7.3</t>
        </is>
      </c>
    </row>
    <row r="4">
      <c r="A4" s="2" t="inlineStr">
        <is>
          <t>Thứ Tư</t>
        </is>
      </c>
      <c r="B4" s="2" t="inlineStr">
        <is>
          <t>33 ngày</t>
        </is>
      </c>
      <c r="C4" s="3" t="inlineStr">
        <is>
          <t>9 lần (27.3%)</t>
        </is>
      </c>
      <c r="D4" s="3" t="inlineStr">
        <is>
          <t>5 lần (15.2%)</t>
        </is>
      </c>
      <c r="E4" s="3" t="inlineStr">
        <is>
          <t>4 lần (12.1%)</t>
        </is>
      </c>
      <c r="F4" s="3" t="inlineStr">
        <is>
          <t>1 lần (3.0%)</t>
        </is>
      </c>
      <c r="G4" s="3" t="inlineStr">
        <is>
          <t>Top 1: G7.1 | Top 2: G7.2</t>
        </is>
      </c>
      <c r="H4" s="3" t="inlineStr">
        <is>
          <t>Ưu tiên ép Tổng G7.1 &amp; G7.2</t>
        </is>
      </c>
    </row>
    <row r="5">
      <c r="A5" s="2" t="inlineStr">
        <is>
          <t>Thứ Năm</t>
        </is>
      </c>
      <c r="B5" s="2" t="inlineStr">
        <is>
          <t>34 ngày</t>
        </is>
      </c>
      <c r="C5" s="3" t="inlineStr">
        <is>
          <t>11 lần (32.4%)</t>
        </is>
      </c>
      <c r="D5" s="3" t="inlineStr">
        <is>
          <t>4 lần (11.8%)</t>
        </is>
      </c>
      <c r="E5" s="3" t="inlineStr">
        <is>
          <t>12 lần (35.3%)</t>
        </is>
      </c>
      <c r="F5" s="3" t="inlineStr">
        <is>
          <t>4 lần (11.8%)</t>
        </is>
      </c>
      <c r="G5" s="3" t="inlineStr">
        <is>
          <t>Top 1: G7.3 | Top 2: G7.1</t>
        </is>
      </c>
      <c r="H5" s="3" t="inlineStr">
        <is>
          <t>Ưu tiên ép Tổng G7.3 &amp; G7.1</t>
        </is>
      </c>
    </row>
    <row r="6">
      <c r="A6" s="2" t="inlineStr">
        <is>
          <t>Thứ Sáu</t>
        </is>
      </c>
      <c r="B6" s="2" t="inlineStr">
        <is>
          <t>35 ngày</t>
        </is>
      </c>
      <c r="C6" s="3" t="inlineStr">
        <is>
          <t>2 lần (5.7%)</t>
        </is>
      </c>
      <c r="D6" s="3" t="inlineStr">
        <is>
          <t>6 lần (17.1%)</t>
        </is>
      </c>
      <c r="E6" s="3" t="inlineStr">
        <is>
          <t>10 lần (28.6%)</t>
        </is>
      </c>
      <c r="F6" s="3" t="inlineStr">
        <is>
          <t>7 lần (20.0%)</t>
        </is>
      </c>
      <c r="G6" s="3" t="inlineStr">
        <is>
          <t>Top 1: G7.3 | Top 2: G7.4</t>
        </is>
      </c>
      <c r="H6" s="3" t="inlineStr">
        <is>
          <t>Ưu tiên ép Tổng G7.3 &amp; G7.4</t>
        </is>
      </c>
    </row>
    <row r="7">
      <c r="A7" s="2" t="inlineStr">
        <is>
          <t>Thứ Bảy</t>
        </is>
      </c>
      <c r="B7" s="2" t="inlineStr">
        <is>
          <t>35 ngày</t>
        </is>
      </c>
      <c r="C7" s="3" t="inlineStr">
        <is>
          <t>6 lần (17.1%)</t>
        </is>
      </c>
      <c r="D7" s="3" t="inlineStr">
        <is>
          <t>8 lần (22.9%)</t>
        </is>
      </c>
      <c r="E7" s="3" t="inlineStr">
        <is>
          <t>6 lần (17.1%)</t>
        </is>
      </c>
      <c r="F7" s="3" t="inlineStr">
        <is>
          <t>7 lần (20.0%)</t>
        </is>
      </c>
      <c r="G7" s="3" t="inlineStr">
        <is>
          <t>Top 1: G7.2 | Top 2: G7.4</t>
        </is>
      </c>
      <c r="H7" s="3" t="inlineStr">
        <is>
          <t>Ưu tiên ép Tổng G7.2 &amp; G7.4</t>
        </is>
      </c>
    </row>
    <row r="8">
      <c r="A8" s="2" t="inlineStr">
        <is>
          <t>Chủ Nhật</t>
        </is>
      </c>
      <c r="B8" s="2" t="inlineStr">
        <is>
          <t>35 ngày</t>
        </is>
      </c>
      <c r="C8" s="3" t="inlineStr">
        <is>
          <t>3 lần (8.6%)</t>
        </is>
      </c>
      <c r="D8" s="3" t="inlineStr">
        <is>
          <t>8 lần (22.9%)</t>
        </is>
      </c>
      <c r="E8" s="3" t="inlineStr">
        <is>
          <t>5 lần (14.3%)</t>
        </is>
      </c>
      <c r="F8" s="3" t="inlineStr">
        <is>
          <t>7 lần (20.0%)</t>
        </is>
      </c>
      <c r="G8" s="3" t="inlineStr">
        <is>
          <t>Top 1: G7.2 | Top 2: G7.4</t>
        </is>
      </c>
      <c r="H8" s="3" t="inlineStr">
        <is>
          <t>Ưu tiên ép Tổng G7.2 &amp; G7.4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4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7" customWidth="1" min="4" max="4"/>
    <col width="12" customWidth="1" min="5" max="5"/>
    <col width="21" customWidth="1" min="6" max="6"/>
    <col width="50" customWidth="1" min="7" max="7"/>
    <col width="17" customWidth="1" min="8" max="8"/>
    <col width="17" customWidth="1" min="9" max="9"/>
    <col width="15" customWidth="1" min="10" max="10"/>
    <col width="30" customWidth="1" min="11" max="11"/>
    <col width="65" customWidth="1" min="12" max="12"/>
    <col width="34" customWidth="1" min="13" max="13"/>
    <col width="36" customWidth="1" min="14" max="14"/>
    <col width="65" customWidth="1" min="15" max="15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Thứ</t>
        </is>
      </c>
      <c r="D1" s="1" t="inlineStr">
        <is>
          <t>Giải Đặc Biệt</t>
        </is>
      </c>
      <c r="E1" s="1" t="inlineStr">
        <is>
          <t>Số Đề</t>
        </is>
      </c>
      <c r="F1" s="1" t="inlineStr">
        <is>
          <t>Top 2 G7 Theo Thứ</t>
        </is>
      </c>
      <c r="G1" s="1" t="inlineStr">
        <is>
          <t>Tổng &amp; Bóng Dự Đoán</t>
        </is>
      </c>
      <c r="H1" s="1" t="inlineStr">
        <is>
          <t>Tập Chạm Ngày</t>
        </is>
      </c>
      <c r="I1" s="1" t="inlineStr">
        <is>
          <t>Cầu Ghép Góc</t>
        </is>
      </c>
      <c r="J1" s="1" t="inlineStr">
        <is>
          <t>Số Con Dàn</t>
        </is>
      </c>
      <c r="K1" s="1" t="inlineStr">
        <is>
          <t>Kết Quả Trúng 1 Ngày (K1)</t>
        </is>
      </c>
      <c r="L1" s="1" t="inlineStr">
        <is>
          <t>Dàn Hạ Số Hỏa Lực</t>
        </is>
      </c>
      <c r="M1" s="1" t="inlineStr">
        <is>
          <t>Kết Quả Dàn Hạ Số</t>
        </is>
      </c>
      <c r="N1" s="1" t="inlineStr">
        <is>
          <t>Kết Quả Nuôi Khung 3 Ngày</t>
        </is>
      </c>
      <c r="O1" s="1" t="inlineStr">
        <is>
          <t>Danh Sách Dàn Giao Thoa</t>
        </is>
      </c>
    </row>
    <row r="2">
      <c r="A2" s="4" t="inlineStr">
        <is>
          <t>TỔNG CỘNG 2026</t>
        </is>
      </c>
      <c r="B2" s="4" t="inlineStr">
        <is>
          <t>Tổng: 238 Ngày</t>
        </is>
      </c>
      <c r="C2" s="5" t="inlineStr">
        <is>
          <t>---</t>
        </is>
      </c>
      <c r="D2" s="5" t="inlineStr">
        <is>
          <t>TỔNG QUAN</t>
        </is>
      </c>
      <c r="E2" s="5" t="inlineStr">
        <is>
          <t>---</t>
        </is>
      </c>
      <c r="F2" s="5" t="inlineStr">
        <is>
          <t>---</t>
        </is>
      </c>
      <c r="G2" s="5" t="inlineStr">
        <is>
          <t>---</t>
        </is>
      </c>
      <c r="H2" s="5" t="inlineStr">
        <is>
          <t>---</t>
        </is>
      </c>
      <c r="I2" s="5" t="inlineStr">
        <is>
          <t>---</t>
        </is>
      </c>
      <c r="J2" s="5" t="inlineStr">
        <is>
          <t>TB 47.5 con</t>
        </is>
      </c>
      <c r="K2" s="5" t="inlineStr">
        <is>
          <t>Trúng 1N: 103/238 (43.28%)</t>
        </is>
      </c>
      <c r="L2" s="5" t="inlineStr">
        <is>
          <t>TB 19.9 con</t>
        </is>
      </c>
      <c r="M2" s="5" t="inlineStr">
        <is>
          <t>Trúng Hỏa Lực: 32/238 (13.45%)</t>
        </is>
      </c>
      <c r="N2" s="5" t="inlineStr">
        <is>
          <t>Trúng Khung 3N: 205/236 (86.86%)</t>
        </is>
      </c>
      <c r="O2" s="5" t="inlineStr">
        <is>
          <t>Mô Hình Giao Thoa G7 Theo Thứ</t>
        </is>
      </c>
    </row>
    <row r="3">
      <c r="A3" s="2" t="n">
        <v>238</v>
      </c>
      <c r="B3" s="2" t="inlineStr">
        <is>
          <t>Thứ hai ngày 31-08-2026</t>
        </is>
      </c>
      <c r="C3" s="3" t="inlineStr">
        <is>
          <t>Chủ Nhật</t>
        </is>
      </c>
      <c r="D3" s="3" t="inlineStr">
        <is>
          <t>35644</t>
        </is>
      </c>
      <c r="E3" s="3" t="inlineStr">
        <is>
          <t>44</t>
        </is>
      </c>
      <c r="F3" s="3" t="inlineStr">
        <is>
          <t>G7.3, G7.1</t>
        </is>
      </c>
      <c r="G3" s="3" t="inlineStr">
        <is>
          <t>Tổng 2, Tổng 4, Tổng 7, Tổng 9</t>
        </is>
      </c>
      <c r="H3" s="3" t="inlineStr">
        <is>
          <t>12346789</t>
        </is>
      </c>
      <c r="I3" s="3" t="inlineStr">
        <is>
          <t>Tổng 4-Bóng 9</t>
        </is>
      </c>
      <c r="J3" s="3" t="n">
        <v>40</v>
      </c>
      <c r="K3" s="6" t="inlineStr">
        <is>
          <t>TRƯỢT ❌</t>
        </is>
      </c>
      <c r="L3" s="3" t="inlineStr">
        <is>
          <t>09, 13, 16, 18, 22, 25, 34, 36, 39, 43, 45, 54, 57, 61, 63, 68, 70, 72, 89, 90</t>
        </is>
      </c>
      <c r="M3" s="6" t="inlineStr">
        <is>
          <t>TRƯỢT ❌</t>
        </is>
      </c>
      <c r="N3" s="6" t="inlineStr">
        <is>
          <t>TRƯỢT KHUNG ❌</t>
        </is>
      </c>
      <c r="O3" s="3" t="inlineStr">
        <is>
          <t>02, 04, 07, 09, 11, 13, 16, 18, 20, 22, 25, 27, 31, 34, 36, 39, 40, 43, 45, 48, 52, 54, 57, 59, 61, 63, 66, 68, 70, 72, 75, 77, 81, 84, 86, 89, 90, 93, 95, 98</t>
        </is>
      </c>
    </row>
    <row r="4">
      <c r="A4" s="2" t="n">
        <v>237</v>
      </c>
      <c r="B4" s="2" t="inlineStr">
        <is>
          <t>Chủ nhật ngày 30-08-2026</t>
        </is>
      </c>
      <c r="C4" s="3" t="inlineStr">
        <is>
          <t>Thứ Bảy</t>
        </is>
      </c>
      <c r="D4" s="3" t="inlineStr">
        <is>
          <t>83772</t>
        </is>
      </c>
      <c r="E4" s="3" t="inlineStr">
        <is>
          <t>72</t>
        </is>
      </c>
      <c r="F4" s="3" t="inlineStr">
        <is>
          <t>G7.1, G7.3</t>
        </is>
      </c>
      <c r="G4" s="3" t="inlineStr">
        <is>
          <t>Tổng 2, Tổng 3, Tổng 7, Tổng 8</t>
        </is>
      </c>
      <c r="H4" s="3" t="inlineStr">
        <is>
          <t>0123456789</t>
        </is>
      </c>
      <c r="I4" s="3" t="inlineStr">
        <is>
          <t>Tổng 7-Bóng 2</t>
        </is>
      </c>
      <c r="J4" s="3" t="n">
        <v>40</v>
      </c>
      <c r="K4" s="6" t="inlineStr">
        <is>
          <t>TRƯỢT ❌</t>
        </is>
      </c>
      <c r="L4" s="3" t="inlineStr">
        <is>
          <t>16, 17, 21, 25, 26, 34, 39, 43, 44, 53, 57, 61, 67, 70, 71, 80, 85, 89, 94, 99</t>
        </is>
      </c>
      <c r="M4" s="6" t="inlineStr">
        <is>
          <t>TRƯỢT ❌</t>
        </is>
      </c>
      <c r="N4" s="6" t="inlineStr">
        <is>
          <t>TRƯỢT KHUNG ❌</t>
        </is>
      </c>
      <c r="O4" s="3" t="inlineStr">
        <is>
          <t>02, 03, 07, 08, 11, 12, 16, 17, 20, 21, 25, 26, 30, 34, 35, 39, 43, 44, 48, 49, 52, 53, 57, 58, 61, 62, 66, 67, 70, 71, 75, 76, 80, 84, 85, 89, 93, 94, 98, 99</t>
        </is>
      </c>
    </row>
    <row r="5">
      <c r="A5" s="2" t="n">
        <v>236</v>
      </c>
      <c r="B5" s="2" t="inlineStr">
        <is>
          <t>Thứ bảy ngày 29-08-2026</t>
        </is>
      </c>
      <c r="C5" s="3" t="inlineStr">
        <is>
          <t>Thứ Sáu</t>
        </is>
      </c>
      <c r="D5" s="3" t="inlineStr">
        <is>
          <t>90737</t>
        </is>
      </c>
      <c r="E5" s="3" t="inlineStr">
        <is>
          <t>37</t>
        </is>
      </c>
      <c r="F5" s="3" t="inlineStr">
        <is>
          <t>G7.1, G7.4</t>
        </is>
      </c>
      <c r="G5" s="3" t="inlineStr">
        <is>
          <t>Tổng 0, Tổng 1, Tổng 2, Tổng 5, Tổng 6, Tổng 7</t>
        </is>
      </c>
      <c r="H5" s="3" t="inlineStr">
        <is>
          <t>0123456789</t>
        </is>
      </c>
      <c r="I5" s="3" t="inlineStr">
        <is>
          <t>Tổng 6-Bóng 1</t>
        </is>
      </c>
      <c r="J5" s="3" t="n">
        <v>60</v>
      </c>
      <c r="K5" s="7" t="inlineStr">
        <is>
          <t>TRÚNG N1 🎯</t>
        </is>
      </c>
      <c r="L5" s="3" t="inlineStr">
        <is>
          <t>10, 16, 23, 25, 28, 33, 34, 38, 39, 43, 47, 57, 60, 61, 78, 79, 83, 89, 91, 96</t>
        </is>
      </c>
      <c r="M5" s="6" t="inlineStr">
        <is>
          <t>TRƯỢT ❌</t>
        </is>
      </c>
      <c r="N5" s="7" t="inlineStr">
        <is>
          <t>TRÚNG N1 🎯</t>
        </is>
      </c>
      <c r="O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6">
      <c r="A6" s="2" t="n">
        <v>235</v>
      </c>
      <c r="B6" s="2" t="inlineStr">
        <is>
          <t>Thứ sáu ngày 28-08-2026</t>
        </is>
      </c>
      <c r="C6" s="3" t="inlineStr">
        <is>
          <t>Thứ Năm</t>
        </is>
      </c>
      <c r="D6" s="3" t="inlineStr">
        <is>
          <t>06168</t>
        </is>
      </c>
      <c r="E6" s="3" t="inlineStr">
        <is>
          <t>68</t>
        </is>
      </c>
      <c r="F6" s="3" t="inlineStr">
        <is>
          <t>G7.1, G7.4</t>
        </is>
      </c>
      <c r="G6" s="3" t="inlineStr">
        <is>
          <t>Tổng 1, Tổng 3, Tổng 6, Tổng 8</t>
        </is>
      </c>
      <c r="H6" s="3" t="inlineStr">
        <is>
          <t>01235678</t>
        </is>
      </c>
      <c r="I6" s="3" t="inlineStr">
        <is>
          <t>Tổng 1-Bóng 6</t>
        </is>
      </c>
      <c r="J6" s="3" t="n">
        <v>36</v>
      </c>
      <c r="K6" s="6" t="inlineStr">
        <is>
          <t>TRƯỢT ❌</t>
        </is>
      </c>
      <c r="L6" s="3" t="inlineStr">
        <is>
          <t>01, 10, 17, 21, 26, 33, 38, 42, 47, 51, 53, 60, 65, 67, 71, 79, 80, 83, 85, 97</t>
        </is>
      </c>
      <c r="M6" s="6" t="inlineStr">
        <is>
          <t>TRƯỢT ❌</t>
        </is>
      </c>
      <c r="N6" s="6" t="inlineStr">
        <is>
          <t>TRƯỢT KHUNG ❌</t>
        </is>
      </c>
      <c r="O6" s="3" t="inlineStr">
        <is>
          <t>01, 03, 06, 08, 10, 12, 15, 17, 21, 24, 26, 29, 30, 33, 35, 38, 42, 47, 51, 53, 56, 58, 60, 62, 65, 67, 71, 74, 76, 79, 80, 83, 85, 88, 92, 97</t>
        </is>
      </c>
    </row>
    <row r="7">
      <c r="A7" s="2" t="n">
        <v>234</v>
      </c>
      <c r="B7" s="2" t="inlineStr">
        <is>
          <t>Thứ năm ngày 27-08-2026</t>
        </is>
      </c>
      <c r="C7" s="3" t="inlineStr">
        <is>
          <t>Thứ Tư</t>
        </is>
      </c>
      <c r="D7" s="3" t="inlineStr">
        <is>
          <t>82645</t>
        </is>
      </c>
      <c r="E7" s="3" t="inlineStr">
        <is>
          <t>45</t>
        </is>
      </c>
      <c r="F7" s="3" t="inlineStr">
        <is>
          <t>G7.2, G7.4</t>
        </is>
      </c>
      <c r="G7" s="3" t="inlineStr">
        <is>
          <t>Tổng 0, Tổng 1, Tổng 4, Tổng 5, Tổng 6, Tổng 9</t>
        </is>
      </c>
      <c r="H7" s="3" t="inlineStr">
        <is>
          <t>12346789</t>
        </is>
      </c>
      <c r="I7" s="3" t="inlineStr">
        <is>
          <t>Tổng 1-Bóng 6</t>
        </is>
      </c>
      <c r="J7" s="3" t="n">
        <v>56</v>
      </c>
      <c r="K7" s="7" t="inlineStr">
        <is>
          <t>TRÚNG N1 🎯</t>
        </is>
      </c>
      <c r="L7" s="3" t="inlineStr">
        <is>
          <t>09, 10, 13, 18, 19, 22, 23, 28, 33, 38, 42, 47, 54, 60, 65, 78, 79, 83, 91, 96</t>
        </is>
      </c>
      <c r="M7" s="6" t="inlineStr">
        <is>
          <t>TRƯỢT ❌</t>
        </is>
      </c>
      <c r="N7" s="7" t="inlineStr">
        <is>
          <t>TRÚNG N1 🎯</t>
        </is>
      </c>
      <c r="O7" s="3" t="inlineStr">
        <is>
          <t>01, 04, 06, 09, 10, 13, 14, 15, 18, 19, 22, 23, 24, 27, 28, 29, 31, 32, 33, 36, 37, 38, 40, 41, 42, 45, 46, 47, 51, 54, 56, 59, 60, 63, 64, 65, 68, 69, 72, 73, 74, 77, 78, 79, 81, 82, 83, 86, 87, 88, 90, 91, 92, 95, 96, 97</t>
        </is>
      </c>
    </row>
    <row r="8">
      <c r="A8" s="2" t="n">
        <v>233</v>
      </c>
      <c r="B8" s="2" t="inlineStr">
        <is>
          <t>Thứ tư ngày 26-08-2026</t>
        </is>
      </c>
      <c r="C8" s="3" t="inlineStr">
        <is>
          <t>Thứ Ba</t>
        </is>
      </c>
      <c r="D8" s="3" t="inlineStr">
        <is>
          <t>85361</t>
        </is>
      </c>
      <c r="E8" s="3" t="inlineStr">
        <is>
          <t>61</t>
        </is>
      </c>
      <c r="F8" s="3" t="inlineStr">
        <is>
          <t>G7.3, G7.4</t>
        </is>
      </c>
      <c r="G8" s="3" t="inlineStr">
        <is>
          <t>Tổng 2, Tổng 3, Tổng 4, Tổng 7, Tổng 8, Tổng 9</t>
        </is>
      </c>
      <c r="H8" s="3" t="inlineStr">
        <is>
          <t>01345689</t>
        </is>
      </c>
      <c r="I8" s="3" t="inlineStr">
        <is>
          <t>Tổng 3-Bóng 8</t>
        </is>
      </c>
      <c r="J8" s="3" t="n">
        <v>56</v>
      </c>
      <c r="K8" s="7" t="inlineStr">
        <is>
          <t>TRÚNG N1 🎯</t>
        </is>
      </c>
      <c r="L8" s="3" t="inlineStr">
        <is>
          <t>09, 13, 16, 17, 18, 21, 25, 26, 34, 39, 43, 44, 53, 54, 57, 67, 70, 80, 89, 99</t>
        </is>
      </c>
      <c r="M8" s="6" t="inlineStr">
        <is>
          <t>TRƯỢT ❌</t>
        </is>
      </c>
      <c r="N8" s="7" t="inlineStr">
        <is>
          <t>TRÚNG N1 🎯</t>
        </is>
      </c>
      <c r="O8" s="3" t="inlineStr">
        <is>
          <t>02, 03, 04, 07, 08, 09, 11, 12, 13, 16, 17, 18, 20, 21, 25, 26, 30, 31, 34, 35, 36, 39, 40, 43, 44, 45, 48, 49, 52, 53, 54, 57, 58, 59, 61, 62, 63, 66, 67, 68, 70, 71, 75, 76, 80, 81, 84, 85, 86, 89, 90, 93, 94, 95, 98, 99</t>
        </is>
      </c>
    </row>
    <row r="9">
      <c r="A9" s="2" t="n">
        <v>232</v>
      </c>
      <c r="B9" s="2" t="inlineStr">
        <is>
          <t>Thứ ba ngày 25-08-2026</t>
        </is>
      </c>
      <c r="C9" s="3" t="inlineStr">
        <is>
          <t>Thứ Hai</t>
        </is>
      </c>
      <c r="D9" s="3" t="inlineStr">
        <is>
          <t>85080</t>
        </is>
      </c>
      <c r="E9" s="3" t="inlineStr">
        <is>
          <t>80</t>
        </is>
      </c>
      <c r="F9" s="3" t="inlineStr">
        <is>
          <t>G7.2, G7.4</t>
        </is>
      </c>
      <c r="G9" s="3" t="inlineStr">
        <is>
          <t>Tổng 2, Tổng 3, Tổng 7, Tổng 8</t>
        </is>
      </c>
      <c r="H9" s="3" t="inlineStr">
        <is>
          <t>0123456789</t>
        </is>
      </c>
      <c r="I9" s="3" t="inlineStr">
        <is>
          <t>Tổng 2-Bóng 7</t>
        </is>
      </c>
      <c r="J9" s="3" t="n">
        <v>40</v>
      </c>
      <c r="K9" s="7" t="inlineStr">
        <is>
          <t>TRÚNG N1 🎯</t>
        </is>
      </c>
      <c r="L9" s="3" t="inlineStr">
        <is>
          <t>16, 17, 21, 25, 26, 34, 39, 43, 44, 52, 53, 57, 67, 70, 71, 84, 85, 89, 94, 99</t>
        </is>
      </c>
      <c r="M9" s="6" t="inlineStr">
        <is>
          <t>TRƯỢT ❌</t>
        </is>
      </c>
      <c r="N9" s="7" t="inlineStr">
        <is>
          <t>TRÚNG N1 🎯</t>
        </is>
      </c>
      <c r="O9" s="3" t="inlineStr">
        <is>
          <t>02, 03, 07, 08, 11, 12, 16, 17, 20, 21, 25, 26, 30, 34, 35, 39, 43, 44, 48, 49, 52, 53, 57, 58, 61, 62, 66, 67, 70, 71, 75, 76, 80, 84, 85, 89, 93, 94, 98, 99</t>
        </is>
      </c>
    </row>
    <row r="10">
      <c r="A10" s="2" t="n">
        <v>231</v>
      </c>
      <c r="B10" s="2" t="inlineStr">
        <is>
          <t>Thứ hai ngày 24-08-2026</t>
        </is>
      </c>
      <c r="C10" s="3" t="inlineStr">
        <is>
          <t>Chủ Nhật</t>
        </is>
      </c>
      <c r="D10" s="3" t="inlineStr">
        <is>
          <t>36917</t>
        </is>
      </c>
      <c r="E10" s="3" t="inlineStr">
        <is>
          <t>17</t>
        </is>
      </c>
      <c r="F10" s="3" t="inlineStr">
        <is>
          <t>G7.3, G7.1</t>
        </is>
      </c>
      <c r="G10" s="3" t="inlineStr">
        <is>
          <t>Tổng 0, Tổng 1, Tổng 4, Tổng 5, Tổng 6, Tổng 9</t>
        </is>
      </c>
      <c r="H10" s="3" t="inlineStr">
        <is>
          <t>12346789</t>
        </is>
      </c>
      <c r="I10" s="3" t="inlineStr">
        <is>
          <t>Tổng 5-Bóng 0</t>
        </is>
      </c>
      <c r="J10" s="3" t="n">
        <v>56</v>
      </c>
      <c r="K10" s="6" t="inlineStr">
        <is>
          <t>TRƯỢT ❌</t>
        </is>
      </c>
      <c r="L10" s="3" t="inlineStr">
        <is>
          <t>09, 10, 13, 18, 19, 22, 23, 28, 33, 38, 42, 47, 54, 60, 65, 78, 79, 83, 91, 96</t>
        </is>
      </c>
      <c r="M10" s="6" t="inlineStr">
        <is>
          <t>TRƯỢT ❌</t>
        </is>
      </c>
      <c r="N10" s="6" t="inlineStr">
        <is>
          <t>TRƯỢT KHUNG ❌</t>
        </is>
      </c>
      <c r="O10" s="3" t="inlineStr">
        <is>
          <t>01, 04, 06, 09, 10, 13, 14, 15, 18, 19, 22, 23, 24, 27, 28, 29, 31, 32, 33, 36, 37, 38, 40, 41, 42, 45, 46, 47, 51, 54, 56, 59, 60, 63, 64, 65, 68, 69, 72, 73, 74, 77, 78, 79, 81, 82, 83, 86, 87, 88, 90, 91, 92, 95, 96, 97</t>
        </is>
      </c>
    </row>
    <row r="11">
      <c r="A11" s="2" t="n">
        <v>230</v>
      </c>
      <c r="B11" s="2" t="inlineStr">
        <is>
          <t>Chủ nhật ngày 23-08-2026</t>
        </is>
      </c>
      <c r="C11" s="3" t="inlineStr">
        <is>
          <t>Thứ Bảy</t>
        </is>
      </c>
      <c r="D11" s="3" t="inlineStr">
        <is>
          <t>37938</t>
        </is>
      </c>
      <c r="E11" s="3" t="inlineStr">
        <is>
          <t>38</t>
        </is>
      </c>
      <c r="F11" s="3" t="inlineStr">
        <is>
          <t>G7.1, G7.3</t>
        </is>
      </c>
      <c r="G11" s="3" t="inlineStr">
        <is>
          <t>Tổng 1, Tổng 3, Tổng 6, Tổng 8</t>
        </is>
      </c>
      <c r="H11" s="3" t="inlineStr">
        <is>
          <t>01245679</t>
        </is>
      </c>
      <c r="I11" s="3" t="inlineStr">
        <is>
          <t>Tổng 6-Bóng 1</t>
        </is>
      </c>
      <c r="J11" s="3" t="n">
        <v>36</v>
      </c>
      <c r="K11" s="6" t="inlineStr">
        <is>
          <t>TRƯỢT ❌</t>
        </is>
      </c>
      <c r="L11" s="3" t="inlineStr">
        <is>
          <t>01, 03, 10, 21, 26, 42, 44, 47, 51, 53, 60, 65, 67, 71, 79, 80, 85, 94, 97, 99</t>
        </is>
      </c>
      <c r="M11" s="6" t="inlineStr">
        <is>
          <t>TRƯỢT ❌</t>
        </is>
      </c>
      <c r="N11" s="7" t="inlineStr">
        <is>
          <t>TRÚNG N2 🎯</t>
        </is>
      </c>
      <c r="O11" s="3" t="inlineStr">
        <is>
          <t>01, 03, 06, 08, 10, 12, 15, 17, 21, 24, 26, 29, 30, 35, 42, 44, 47, 49, 51, 53, 56, 58, 60, 62, 65, 67, 71, 74, 76, 79, 80, 85, 92, 94, 97, 99</t>
        </is>
      </c>
    </row>
    <row r="12">
      <c r="A12" s="2" t="n">
        <v>229</v>
      </c>
      <c r="B12" s="2" t="inlineStr">
        <is>
          <t>Thứ bảy ngày 22-08-2026</t>
        </is>
      </c>
      <c r="C12" s="3" t="inlineStr">
        <is>
          <t>Thứ Sáu</t>
        </is>
      </c>
      <c r="D12" s="3" t="inlineStr">
        <is>
          <t>60213</t>
        </is>
      </c>
      <c r="E12" s="3" t="inlineStr">
        <is>
          <t>13</t>
        </is>
      </c>
      <c r="F12" s="3" t="inlineStr">
        <is>
          <t>G7.1, G7.4</t>
        </is>
      </c>
      <c r="G12" s="3" t="inlineStr">
        <is>
          <t>Tổng 1, Tổng 3, Tổng 4, Tổng 6, Tổng 8, Tổng 9</t>
        </is>
      </c>
      <c r="H12" s="3" t="inlineStr">
        <is>
          <t>0123456789</t>
        </is>
      </c>
      <c r="I12" s="3" t="inlineStr">
        <is>
          <t>Tổng 6-Bóng 1</t>
        </is>
      </c>
      <c r="J12" s="3" t="n">
        <v>60</v>
      </c>
      <c r="K12" s="7" t="inlineStr">
        <is>
          <t>TRÚNG N1 🎯</t>
        </is>
      </c>
      <c r="L12" s="3" t="inlineStr">
        <is>
          <t>04, 09, 10, 18, 21, 22, 26, 33, 38, 42, 44, 47, 51, 53, 54, 60, 65, 67, 79, 83</t>
        </is>
      </c>
      <c r="M12" s="6" t="inlineStr">
        <is>
          <t>TRƯỢT ❌</t>
        </is>
      </c>
      <c r="N12" s="7" t="inlineStr">
        <is>
          <t>TRÚNG N1 🎯</t>
        </is>
      </c>
      <c r="O12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3">
      <c r="A13" s="2" t="n">
        <v>228</v>
      </c>
      <c r="B13" s="2" t="inlineStr">
        <is>
          <t>Thứ sáu ngày 21-08-2026</t>
        </is>
      </c>
      <c r="C13" s="3" t="inlineStr">
        <is>
          <t>Thứ Năm</t>
        </is>
      </c>
      <c r="D13" s="3" t="inlineStr">
        <is>
          <t>94533</t>
        </is>
      </c>
      <c r="E13" s="3" t="inlineStr">
        <is>
          <t>33</t>
        </is>
      </c>
      <c r="F13" s="3" t="inlineStr">
        <is>
          <t>G7.1, G7.4</t>
        </is>
      </c>
      <c r="G13" s="3" t="inlineStr">
        <is>
          <t>Tổng 0, Tổng 1, Tổng 3, Tổng 5, Tổng 6, Tổng 8</t>
        </is>
      </c>
      <c r="H13" s="3" t="inlineStr">
        <is>
          <t>02345789</t>
        </is>
      </c>
      <c r="I13" s="3" t="inlineStr">
        <is>
          <t>Tổng 8-Bóng 3</t>
        </is>
      </c>
      <c r="J13" s="3" t="n">
        <v>60</v>
      </c>
      <c r="K13" s="7" t="inlineStr">
        <is>
          <t>TRÚNG N1 🎯</t>
        </is>
      </c>
      <c r="L13" s="3" t="inlineStr">
        <is>
          <t>00, 10, 21, 23, 26, 28, 38, 42, 44, 47, 51, 53, 60, 65, 67, 78, 79, 83, 91, 96</t>
        </is>
      </c>
      <c r="M13" s="6" t="inlineStr">
        <is>
          <t>TRƯỢT ❌</t>
        </is>
      </c>
      <c r="N13" s="7" t="inlineStr">
        <is>
          <t>TRÚNG N1 🎯</t>
        </is>
      </c>
      <c r="O13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14">
      <c r="A14" s="2" t="n">
        <v>227</v>
      </c>
      <c r="B14" s="2" t="inlineStr">
        <is>
          <t>Thứ năm ngày 20-08-2026</t>
        </is>
      </c>
      <c r="C14" s="3" t="inlineStr">
        <is>
          <t>Thứ Tư</t>
        </is>
      </c>
      <c r="D14" s="3" t="inlineStr">
        <is>
          <t>07523</t>
        </is>
      </c>
      <c r="E14" s="3" t="inlineStr">
        <is>
          <t>23</t>
        </is>
      </c>
      <c r="F14" s="3" t="inlineStr">
        <is>
          <t>G7.2, G7.4</t>
        </is>
      </c>
      <c r="G14" s="3" t="inlineStr">
        <is>
          <t>Tổng 0, Tổng 2, Tổng 4, Tổng 5, Tổng 7, Tổng 9</t>
        </is>
      </c>
      <c r="H14" s="3" t="inlineStr">
        <is>
          <t>0123456789</t>
        </is>
      </c>
      <c r="I14" s="3" t="inlineStr">
        <is>
          <t>Tổng 5-Bóng 0</t>
        </is>
      </c>
      <c r="J14" s="3" t="n">
        <v>60</v>
      </c>
      <c r="K14" s="7" t="inlineStr">
        <is>
          <t>TRÚNG N1 🎯</t>
        </is>
      </c>
      <c r="L14" s="3" t="inlineStr">
        <is>
          <t>00, 04, 09, 16, 18, 22, 23, 25, 28, 34, 36, 39, 43, 54, 57, 70, 78, 89, 91, 96</t>
        </is>
      </c>
      <c r="M14" s="7" t="inlineStr">
        <is>
          <t>TRÚNG HỎA LỰC 🎯</t>
        </is>
      </c>
      <c r="N14" s="7" t="inlineStr">
        <is>
          <t>TRÚNG N1 🎯</t>
        </is>
      </c>
      <c r="O1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5">
      <c r="A15" s="2" t="n">
        <v>226</v>
      </c>
      <c r="B15" s="2" t="inlineStr">
        <is>
          <t>Thứ tư ngày 19-08-2026</t>
        </is>
      </c>
      <c r="C15" s="3" t="inlineStr">
        <is>
          <t>Thứ Ba</t>
        </is>
      </c>
      <c r="D15" s="3" t="inlineStr">
        <is>
          <t>13643</t>
        </is>
      </c>
      <c r="E15" s="3" t="inlineStr">
        <is>
          <t>43</t>
        </is>
      </c>
      <c r="F15" s="3" t="inlineStr">
        <is>
          <t>G7.3, G7.4</t>
        </is>
      </c>
      <c r="G15" s="3" t="inlineStr">
        <is>
          <t>Tổng 1, Tổng 3, Tổng 4, Tổng 6, Tổng 8, Tổng 9</t>
        </is>
      </c>
      <c r="H15" s="3" t="inlineStr">
        <is>
          <t>0123456789</t>
        </is>
      </c>
      <c r="I15" s="3" t="inlineStr">
        <is>
          <t>Tổng 8-Bóng 3</t>
        </is>
      </c>
      <c r="J15" s="3" t="n">
        <v>60</v>
      </c>
      <c r="K15" s="6" t="inlineStr">
        <is>
          <t>TRƯỢT ❌</t>
        </is>
      </c>
      <c r="L15" s="3" t="inlineStr">
        <is>
          <t>04, 09, 10, 18, 21, 22, 26, 36, 38, 42, 44, 47, 51, 53, 54, 60, 67, 79, 83, 85</t>
        </is>
      </c>
      <c r="M15" s="6" t="inlineStr">
        <is>
          <t>TRƯỢT ❌</t>
        </is>
      </c>
      <c r="N15" s="7" t="inlineStr">
        <is>
          <t>TRÚNG N3 🎯</t>
        </is>
      </c>
      <c r="O15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6">
      <c r="A16" s="2" t="n">
        <v>225</v>
      </c>
      <c r="B16" s="2" t="inlineStr">
        <is>
          <t>Thứ ba ngày 18-08-2026</t>
        </is>
      </c>
      <c r="C16" s="3" t="inlineStr">
        <is>
          <t>Thứ Hai</t>
        </is>
      </c>
      <c r="D16" s="3" t="inlineStr">
        <is>
          <t>29183</t>
        </is>
      </c>
      <c r="E16" s="3" t="inlineStr">
        <is>
          <t>83</t>
        </is>
      </c>
      <c r="F16" s="3" t="inlineStr">
        <is>
          <t>G7.2, G7.4</t>
        </is>
      </c>
      <c r="G16" s="3" t="inlineStr">
        <is>
          <t>Tổng 2, Tổng 3, Tổng 4, Tổng 7, Tổng 8, Tổng 9</t>
        </is>
      </c>
      <c r="H16" s="3" t="inlineStr">
        <is>
          <t>12346789</t>
        </is>
      </c>
      <c r="I16" s="3" t="inlineStr">
        <is>
          <t>Tổng 9-Bóng 4</t>
        </is>
      </c>
      <c r="J16" s="3" t="n">
        <v>60</v>
      </c>
      <c r="K16" s="6" t="inlineStr">
        <is>
          <t>TRƯỢT ❌</t>
        </is>
      </c>
      <c r="L16" s="3" t="inlineStr">
        <is>
          <t>04, 09, 16, 18, 21, 22, 25, 26, 34, 36, 39, 44, 53, 54, 57, 67, 68, 70, 85, 89</t>
        </is>
      </c>
      <c r="M16" s="6" t="inlineStr">
        <is>
          <t>TRƯỢT ❌</t>
        </is>
      </c>
      <c r="N16" s="7" t="inlineStr">
        <is>
          <t>TRÚNG N2 🎯</t>
        </is>
      </c>
      <c r="O16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7">
      <c r="A17" s="2" t="n">
        <v>224</v>
      </c>
      <c r="B17" s="2" t="inlineStr">
        <is>
          <t>Thứ hai ngày 17-08-2026</t>
        </is>
      </c>
      <c r="C17" s="3" t="inlineStr">
        <is>
          <t>Chủ Nhật</t>
        </is>
      </c>
      <c r="D17" s="3" t="inlineStr">
        <is>
          <t>01939</t>
        </is>
      </c>
      <c r="E17" s="3" t="inlineStr">
        <is>
          <t>39</t>
        </is>
      </c>
      <c r="F17" s="3" t="inlineStr">
        <is>
          <t>G7.3, G7.1</t>
        </is>
      </c>
      <c r="G17" s="3" t="inlineStr">
        <is>
          <t>Tổng 0, Tổng 1, Tổng 2, Tổng 5, Tổng 6, Tổng 7</t>
        </is>
      </c>
      <c r="H17" s="3" t="inlineStr">
        <is>
          <t>02345789</t>
        </is>
      </c>
      <c r="I17" s="3" t="inlineStr">
        <is>
          <t>Tổng 1-Bóng 6</t>
        </is>
      </c>
      <c r="J17" s="3" t="n">
        <v>56</v>
      </c>
      <c r="K17" s="7" t="inlineStr">
        <is>
          <t>TRÚNG N1 🎯</t>
        </is>
      </c>
      <c r="L17" s="3" t="inlineStr">
        <is>
          <t>00, 10, 23, 25, 28, 34, 38, 39, 42, 47, 51, 57, 60, 70, 78, 79, 83, 89, 91, 96</t>
        </is>
      </c>
      <c r="M17" s="7" t="inlineStr">
        <is>
          <t>TRÚNG HỎA LỰC 🎯</t>
        </is>
      </c>
      <c r="N17" s="7" t="inlineStr">
        <is>
          <t>TRÚNG N1 🎯</t>
        </is>
      </c>
      <c r="O17" s="3" t="inlineStr">
        <is>
          <t>00, 01, 02, 05, 06, 07, 10, 14, 15, 19, 20, 23, 24, 25, 28, 29, 32, 33, 34, 37, 38, 39, 41, 42, 43, 46, 47, 48, 50, 51, 52, 55, 56, 57, 60, 64, 65, 69, 70, 73, 74, 75, 78, 79, 82, 83, 84, 87, 88, 89, 91, 92, 93, 96, 97, 98</t>
        </is>
      </c>
    </row>
    <row r="18">
      <c r="A18" s="2" t="n">
        <v>223</v>
      </c>
      <c r="B18" s="2" t="inlineStr">
        <is>
          <t>Chủ nhật ngày 16-08-2026</t>
        </is>
      </c>
      <c r="C18" s="3" t="inlineStr">
        <is>
          <t>Thứ Bảy</t>
        </is>
      </c>
      <c r="D18" s="3" t="inlineStr">
        <is>
          <t>14696</t>
        </is>
      </c>
      <c r="E18" s="3" t="inlineStr">
        <is>
          <t>96</t>
        </is>
      </c>
      <c r="F18" s="3" t="inlineStr">
        <is>
          <t>G7.1, G7.3</t>
        </is>
      </c>
      <c r="G18" s="3" t="inlineStr">
        <is>
          <t>Tổng 1, Tổng 2, Tổng 6, Tổng 7</t>
        </is>
      </c>
      <c r="H18" s="3" t="inlineStr">
        <is>
          <t>0123456789</t>
        </is>
      </c>
      <c r="I18" s="3" t="inlineStr">
        <is>
          <t>Tổng 7-Bóng 2</t>
        </is>
      </c>
      <c r="J18" s="3" t="n">
        <v>40</v>
      </c>
      <c r="K18" s="6" t="inlineStr">
        <is>
          <t>TRƯỢT ❌</t>
        </is>
      </c>
      <c r="L18" s="3" t="inlineStr">
        <is>
          <t>01, 10, 16, 25, 34, 38, 39, 42, 47, 51, 52, 57, 60, 61, 65, 70, 79, 83, 89, 97</t>
        </is>
      </c>
      <c r="M18" s="6" t="inlineStr">
        <is>
          <t>TRƯỢT ❌</t>
        </is>
      </c>
      <c r="N18" s="7" t="inlineStr">
        <is>
          <t>TRÚNG N2 🎯</t>
        </is>
      </c>
      <c r="O18" s="3" t="inlineStr">
        <is>
          <t>01, 02, 06, 07, 10, 11, 15, 16, 20, 24, 25, 29, 33, 34, 38, 39, 42, 43, 47, 48, 51, 52, 56, 57, 60, 61, 65, 66, 70, 74, 75, 79, 83, 84, 88, 89, 92, 93, 97, 98</t>
        </is>
      </c>
    </row>
    <row r="19">
      <c r="A19" s="2" t="n">
        <v>222</v>
      </c>
      <c r="B19" s="2" t="inlineStr">
        <is>
          <t>Thứ bảy ngày 15-08-2026</t>
        </is>
      </c>
      <c r="C19" s="3" t="inlineStr">
        <is>
          <t>Thứ Sáu</t>
        </is>
      </c>
      <c r="D19" s="3" t="inlineStr">
        <is>
          <t>80278</t>
        </is>
      </c>
      <c r="E19" s="3" t="inlineStr">
        <is>
          <t>78</t>
        </is>
      </c>
      <c r="F19" s="3" t="inlineStr">
        <is>
          <t>G7.1, G7.4</t>
        </is>
      </c>
      <c r="G19" s="3" t="inlineStr">
        <is>
          <t>Tổng 0, Tổng 2, Tổng 3, Tổng 5, Tổng 7, Tổng 8</t>
        </is>
      </c>
      <c r="H19" s="3" t="inlineStr">
        <is>
          <t>01345689</t>
        </is>
      </c>
      <c r="I19" s="3" t="inlineStr">
        <is>
          <t>Tổng 8-Bóng 3</t>
        </is>
      </c>
      <c r="J19" s="3" t="n">
        <v>60</v>
      </c>
      <c r="K19" s="7" t="inlineStr">
        <is>
          <t>TRÚNG N1 🎯</t>
        </is>
      </c>
      <c r="L19" s="3" t="inlineStr">
        <is>
          <t>00, 16, 21, 23, 25, 26, 28, 34, 39, 44, 53, 55, 57, 67, 70, 84, 85, 89, 91, 96</t>
        </is>
      </c>
      <c r="M19" s="6" t="inlineStr">
        <is>
          <t>TRƯỢT ❌</t>
        </is>
      </c>
      <c r="N19" s="7" t="inlineStr">
        <is>
          <t>TRÚNG N1 🎯</t>
        </is>
      </c>
      <c r="O19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20">
      <c r="A20" s="2" t="n">
        <v>221</v>
      </c>
      <c r="B20" s="2" t="inlineStr">
        <is>
          <t>Thứ sáu ngày 14-08-2026</t>
        </is>
      </c>
      <c r="C20" s="3" t="inlineStr">
        <is>
          <t>Thứ Năm</t>
        </is>
      </c>
      <c r="D20" s="3" t="inlineStr">
        <is>
          <t>80018</t>
        </is>
      </c>
      <c r="E20" s="3" t="inlineStr">
        <is>
          <t>18</t>
        </is>
      </c>
      <c r="F20" s="3" t="inlineStr">
        <is>
          <t>G7.1, G7.4</t>
        </is>
      </c>
      <c r="G20" s="3" t="inlineStr">
        <is>
          <t>Tổng 0, Tổng 2, Tổng 5, Tổng 7</t>
        </is>
      </c>
      <c r="H20" s="3" t="inlineStr">
        <is>
          <t>12346789</t>
        </is>
      </c>
      <c r="I20" s="3" t="inlineStr">
        <is>
          <t>Tổng 5-Bóng 0</t>
        </is>
      </c>
      <c r="J20" s="3" t="n">
        <v>36</v>
      </c>
      <c r="K20" s="6" t="inlineStr">
        <is>
          <t>TRƯỢT ❌</t>
        </is>
      </c>
      <c r="L20" s="3" t="inlineStr">
        <is>
          <t>11, 16, 19, 23, 25, 28, 32, 34, 37, 39, 52, 57, 61, 70, 84, 87, 89, 91, 93, 96</t>
        </is>
      </c>
      <c r="M20" s="6" t="inlineStr">
        <is>
          <t>TRƯỢT ❌</t>
        </is>
      </c>
      <c r="N20" s="7" t="inlineStr">
        <is>
          <t>TRÚNG N2 🎯</t>
        </is>
      </c>
      <c r="O20" s="3" t="inlineStr">
        <is>
          <t>02, 07, 11, 14, 16, 19, 20, 23, 25, 28, 32, 34, 37, 39, 41, 43, 46, 48, 52, 57, 61, 64, 66, 69, 70, 73, 75, 78, 82, 84, 87, 89, 91, 93, 96, 98</t>
        </is>
      </c>
    </row>
    <row r="21">
      <c r="A21" s="2" t="n">
        <v>220</v>
      </c>
      <c r="B21" s="2" t="inlineStr">
        <is>
          <t>Thứ năm ngày 13-08-2026</t>
        </is>
      </c>
      <c r="C21" s="3" t="inlineStr">
        <is>
          <t>Thứ Tư</t>
        </is>
      </c>
      <c r="D21" s="3" t="inlineStr">
        <is>
          <t>79344</t>
        </is>
      </c>
      <c r="E21" s="3" t="inlineStr">
        <is>
          <t>44</t>
        </is>
      </c>
      <c r="F21" s="3" t="inlineStr">
        <is>
          <t>G7.2, G7.4</t>
        </is>
      </c>
      <c r="G21" s="3" t="inlineStr">
        <is>
          <t>Tổng 0, Tổng 1, Tổng 2, Tổng 5, Tổng 6, Tổng 7</t>
        </is>
      </c>
      <c r="H21" s="3" t="inlineStr">
        <is>
          <t>01245679</t>
        </is>
      </c>
      <c r="I21" s="3" t="inlineStr">
        <is>
          <t>Tổng 2-Bóng 7</t>
        </is>
      </c>
      <c r="J21" s="3" t="n">
        <v>56</v>
      </c>
      <c r="K21" s="6" t="inlineStr">
        <is>
          <t>TRƯỢT ❌</t>
        </is>
      </c>
      <c r="L21" s="3" t="inlineStr">
        <is>
          <t>00, 10, 16, 19, 23, 25, 28, 34, 39, 42, 47, 51, 57, 60, 70, 79, 84, 89, 91, 96</t>
        </is>
      </c>
      <c r="M21" s="6" t="inlineStr">
        <is>
          <t>TRƯỢT ❌</t>
        </is>
      </c>
      <c r="N21" s="7" t="inlineStr">
        <is>
          <t>TRÚNG N3 🎯</t>
        </is>
      </c>
      <c r="O21" s="3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  <row r="22">
      <c r="A22" s="2" t="n">
        <v>219</v>
      </c>
      <c r="B22" s="2" t="inlineStr">
        <is>
          <t>Thứ tư ngày 12-08-2026</t>
        </is>
      </c>
      <c r="C22" s="3" t="inlineStr">
        <is>
          <t>Thứ Ba</t>
        </is>
      </c>
      <c r="D22" s="3" t="inlineStr">
        <is>
          <t>82326</t>
        </is>
      </c>
      <c r="E22" s="3" t="inlineStr">
        <is>
          <t>26</t>
        </is>
      </c>
      <c r="F22" s="3" t="inlineStr">
        <is>
          <t>G7.3, G7.4</t>
        </is>
      </c>
      <c r="G22" s="3" t="inlineStr">
        <is>
          <t>Tổng 0, Tổng 2, Tổng 4, Tổng 5, Tổng 7, Tổng 9</t>
        </is>
      </c>
      <c r="H22" s="3" t="inlineStr">
        <is>
          <t>024579</t>
        </is>
      </c>
      <c r="I22" s="3" t="inlineStr">
        <is>
          <t>Tổng 2-Bóng 7</t>
        </is>
      </c>
      <c r="J22" s="3" t="n">
        <v>48</v>
      </c>
      <c r="K22" s="6" t="inlineStr">
        <is>
          <t>TRƯỢT ❌</t>
        </is>
      </c>
      <c r="L22" s="3" t="inlineStr">
        <is>
          <t>00, 04, 09, 19, 22, 23, 25, 28, 34, 39, 52, 54, 55, 57, 70, 84, 89, 90, 91, 96</t>
        </is>
      </c>
      <c r="M22" s="6" t="inlineStr">
        <is>
          <t>TRƯỢT ❌</t>
        </is>
      </c>
      <c r="N22" s="6" t="inlineStr">
        <is>
          <t>TRƯỢT KHUNG ❌</t>
        </is>
      </c>
      <c r="O22" s="3" t="inlineStr">
        <is>
          <t>00, 02, 04, 05, 07, 09, 14, 19, 20, 22, 23, 25, 27, 28, 32, 34, 37, 39, 40, 41, 43, 45, 46, 48, 50, 52, 54, 55, 57, 59, 64, 69, 70, 72, 73, 75, 77, 78, 82, 84, 87, 89, 90, 91, 93, 95, 96, 98</t>
        </is>
      </c>
    </row>
    <row r="23">
      <c r="A23" s="2" t="n">
        <v>218</v>
      </c>
      <c r="B23" s="2" t="inlineStr">
        <is>
          <t>Thứ ba ngày 11-08-2026</t>
        </is>
      </c>
      <c r="C23" s="3" t="inlineStr">
        <is>
          <t>Thứ Hai</t>
        </is>
      </c>
      <c r="D23" s="3" t="inlineStr">
        <is>
          <t>92191</t>
        </is>
      </c>
      <c r="E23" s="3" t="inlineStr">
        <is>
          <t>91</t>
        </is>
      </c>
      <c r="F23" s="3" t="inlineStr">
        <is>
          <t>G7.2, G7.4</t>
        </is>
      </c>
      <c r="G23" s="3" t="inlineStr">
        <is>
          <t>Tổng 0, Tổng 1, Tổng 2, Tổng 5, Tổng 6, Tổng 7</t>
        </is>
      </c>
      <c r="H23" s="3" t="inlineStr">
        <is>
          <t>0123456789</t>
        </is>
      </c>
      <c r="I23" s="3" t="inlineStr">
        <is>
          <t>Tổng 5-Bóng 0</t>
        </is>
      </c>
      <c r="J23" s="3" t="n">
        <v>60</v>
      </c>
      <c r="K23" s="7" t="inlineStr">
        <is>
          <t>TRÚNG N1 🎯</t>
        </is>
      </c>
      <c r="L23" s="3" t="inlineStr">
        <is>
          <t>00, 10, 16, 19, 23, 25, 28, 34, 38, 39, 47, 51, 57, 60, 70, 79, 83, 84, 89, 96</t>
        </is>
      </c>
      <c r="M23" s="6" t="inlineStr">
        <is>
          <t>TRƯỢT ❌</t>
        </is>
      </c>
      <c r="N23" s="7" t="inlineStr">
        <is>
          <t>TRÚNG N1 🎯</t>
        </is>
      </c>
      <c r="O2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24">
      <c r="A24" s="2" t="n">
        <v>217</v>
      </c>
      <c r="B24" s="2" t="inlineStr">
        <is>
          <t>Thứ hai ngày 10-08-2026</t>
        </is>
      </c>
      <c r="C24" s="3" t="inlineStr">
        <is>
          <t>Chủ Nhật</t>
        </is>
      </c>
      <c r="D24" s="3" t="inlineStr">
        <is>
          <t>92957</t>
        </is>
      </c>
      <c r="E24" s="3" t="inlineStr">
        <is>
          <t>57</t>
        </is>
      </c>
      <c r="F24" s="3" t="inlineStr">
        <is>
          <t>G7.3, G7.1</t>
        </is>
      </c>
      <c r="G24" s="3" t="inlineStr">
        <is>
          <t>Tổng 1, Tổng 3, Tổng 4, Tổng 6, Tổng 8, Tổng 9</t>
        </is>
      </c>
      <c r="H24" s="3" t="inlineStr">
        <is>
          <t>124679</t>
        </is>
      </c>
      <c r="I24" s="3" t="inlineStr">
        <is>
          <t>Tổng 9-Bóng 4</t>
        </is>
      </c>
      <c r="J24" s="3" t="n">
        <v>48</v>
      </c>
      <c r="K24" s="6" t="inlineStr">
        <is>
          <t>TRƯỢT ❌</t>
        </is>
      </c>
      <c r="L24" s="3" t="inlineStr">
        <is>
          <t>01, 04, 09, 10, 21, 22, 36, 42, 47, 51, 54, 60, 63, 65, 67, 68, 79, 90, 94, 99</t>
        </is>
      </c>
      <c r="M24" s="6" t="inlineStr">
        <is>
          <t>TRƯỢT ❌</t>
        </is>
      </c>
      <c r="N24" s="7" t="inlineStr">
        <is>
          <t>TRÚNG N3 🎯</t>
        </is>
      </c>
      <c r="O24" s="3" t="inlineStr">
        <is>
          <t>01, 04, 06, 09, 10, 12, 13, 15, 17, 18, 21, 22, 24, 26, 27, 29, 31, 36, 40, 42, 44, 45, 47, 49, 51, 54, 56, 59, 60, 62, 63, 65, 67, 68, 71, 72, 74, 76, 77, 79, 81, 86, 90, 92, 94, 95, 97, 99</t>
        </is>
      </c>
    </row>
    <row r="25">
      <c r="A25" s="2" t="n">
        <v>216</v>
      </c>
      <c r="B25" s="2" t="inlineStr">
        <is>
          <t>Chủ nhật ngày 09-08-2026</t>
        </is>
      </c>
      <c r="C25" s="3" t="inlineStr">
        <is>
          <t>Thứ Bảy</t>
        </is>
      </c>
      <c r="D25" s="3" t="inlineStr">
        <is>
          <t>12221</t>
        </is>
      </c>
      <c r="E25" s="3" t="inlineStr">
        <is>
          <t>21</t>
        </is>
      </c>
      <c r="F25" s="3" t="inlineStr">
        <is>
          <t>G7.1, G7.3</t>
        </is>
      </c>
      <c r="G25" s="3" t="inlineStr">
        <is>
          <t>Tổng 3, Tổng 4, Tổng 8, Tổng 9</t>
        </is>
      </c>
      <c r="H25" s="3" t="inlineStr">
        <is>
          <t>02345789</t>
        </is>
      </c>
      <c r="I25" s="3" t="inlineStr">
        <is>
          <t>Tổng 4-Bóng 9</t>
        </is>
      </c>
      <c r="J25" s="3" t="n">
        <v>40</v>
      </c>
      <c r="K25" s="7" t="inlineStr">
        <is>
          <t>TRÚNG N1 🎯</t>
        </is>
      </c>
      <c r="L25" s="3" t="inlineStr">
        <is>
          <t>03, 04, 08, 09, 13, 17, 22, 36, 53, 54, 63, 67, 68, 71, 80, 81, 85, 90, 94, 99</t>
        </is>
      </c>
      <c r="M25" s="6" t="inlineStr">
        <is>
          <t>TRƯỢT ❌</t>
        </is>
      </c>
      <c r="N25" s="7" t="inlineStr">
        <is>
          <t>TRÚNG N1 🎯</t>
        </is>
      </c>
      <c r="O25" s="3" t="inlineStr">
        <is>
          <t>03, 04, 08, 09, 12, 13, 17, 18, 21, 22, 26, 27, 30, 31, 35, 36, 40, 44, 45, 49, 53, 54, 58, 59, 62, 63, 67, 68, 71, 72, 76, 77, 80, 81, 85, 86, 90, 94, 95, 99</t>
        </is>
      </c>
    </row>
    <row r="26">
      <c r="A26" s="2" t="n">
        <v>215</v>
      </c>
      <c r="B26" s="2" t="inlineStr">
        <is>
          <t>Thứ bảy ngày 08-08-2026</t>
        </is>
      </c>
      <c r="C26" s="3" t="inlineStr">
        <is>
          <t>Thứ Sáu</t>
        </is>
      </c>
      <c r="D26" s="3" t="inlineStr">
        <is>
          <t>04922</t>
        </is>
      </c>
      <c r="E26" s="3" t="inlineStr">
        <is>
          <t>22</t>
        </is>
      </c>
      <c r="F26" s="3" t="inlineStr">
        <is>
          <t>G7.1, G7.4</t>
        </is>
      </c>
      <c r="G26" s="3" t="inlineStr">
        <is>
          <t>Tổng 1, Tổng 3, Tổng 4, Tổng 6, Tổng 8, Tổng 9</t>
        </is>
      </c>
      <c r="H26" s="3" t="inlineStr">
        <is>
          <t>0123456789</t>
        </is>
      </c>
      <c r="I26" s="3" t="inlineStr">
        <is>
          <t>Tổng 4-Bóng 9</t>
        </is>
      </c>
      <c r="J26" s="3" t="n">
        <v>60</v>
      </c>
      <c r="K26" s="7" t="inlineStr">
        <is>
          <t>TRÚNG N1 🎯</t>
        </is>
      </c>
      <c r="L26" s="3" t="inlineStr">
        <is>
          <t>01, 04, 09, 10, 36, 38, 42, 47, 51, 53, 54, 60, 63, 67, 79, 83, 85, 90, 94, 99</t>
        </is>
      </c>
      <c r="M26" s="6" t="inlineStr">
        <is>
          <t>TRƯỢT ❌</t>
        </is>
      </c>
      <c r="N26" s="7" t="inlineStr">
        <is>
          <t>TRÚNG N1 🎯</t>
        </is>
      </c>
      <c r="O2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27">
      <c r="A27" s="2" t="n">
        <v>214</v>
      </c>
      <c r="B27" s="2" t="inlineStr">
        <is>
          <t>Thứ sáu ngày 07-08-2026</t>
        </is>
      </c>
      <c r="C27" s="3" t="inlineStr">
        <is>
          <t>Thứ Năm</t>
        </is>
      </c>
      <c r="D27" s="3" t="inlineStr">
        <is>
          <t>16479</t>
        </is>
      </c>
      <c r="E27" s="3" t="inlineStr">
        <is>
          <t>79</t>
        </is>
      </c>
      <c r="F27" s="3" t="inlineStr">
        <is>
          <t>G7.4, G7.1</t>
        </is>
      </c>
      <c r="G27" s="3" t="inlineStr">
        <is>
          <t>Tổng 2, Tổng 3, Tổng 7, Tổng 8</t>
        </is>
      </c>
      <c r="H27" s="3" t="inlineStr">
        <is>
          <t>01345689</t>
        </is>
      </c>
      <c r="I27" s="3" t="inlineStr">
        <is>
          <t>Tổng 2-Bóng 7</t>
        </is>
      </c>
      <c r="J27" s="3" t="n">
        <v>40</v>
      </c>
      <c r="K27" s="6" t="inlineStr">
        <is>
          <t>TRƯỢT ❌</t>
        </is>
      </c>
      <c r="L27" s="3" t="inlineStr">
        <is>
          <t>03, 08, 16, 17, 21, 25, 34, 39, 52, 53, 61, 67, 70, 71, 80, 84, 85, 89, 94, 99</t>
        </is>
      </c>
      <c r="M27" s="6" t="inlineStr">
        <is>
          <t>TRƯỢT ❌</t>
        </is>
      </c>
      <c r="N27" s="7" t="inlineStr">
        <is>
          <t>TRÚNG N3 🎯</t>
        </is>
      </c>
      <c r="O27" s="3" t="inlineStr">
        <is>
          <t>02, 03, 07, 08, 11, 12, 16, 17, 20, 21, 25, 26, 30, 34, 35, 39, 43, 44, 48, 49, 52, 53, 57, 58, 61, 62, 66, 67, 70, 71, 75, 76, 80, 84, 85, 89, 93, 94, 98, 99</t>
        </is>
      </c>
    </row>
    <row r="28">
      <c r="A28" s="2" t="n">
        <v>213</v>
      </c>
      <c r="B28" s="2" t="inlineStr">
        <is>
          <t>Thứ năm ngày 06-08-2026</t>
        </is>
      </c>
      <c r="C28" s="3" t="inlineStr">
        <is>
          <t>Thứ Tư</t>
        </is>
      </c>
      <c r="D28" s="3" t="inlineStr">
        <is>
          <t>26167</t>
        </is>
      </c>
      <c r="E28" s="3" t="inlineStr">
        <is>
          <t>67</t>
        </is>
      </c>
      <c r="F28" s="3" t="inlineStr">
        <is>
          <t>G7.2, G7.4</t>
        </is>
      </c>
      <c r="G28" s="3" t="inlineStr">
        <is>
          <t>Tổng 0, Tổng 1, Tổng 4, Tổng 5, Tổng 6, Tổng 9</t>
        </is>
      </c>
      <c r="H28" s="3" t="inlineStr">
        <is>
          <t>0123456789</t>
        </is>
      </c>
      <c r="I28" s="3" t="inlineStr">
        <is>
          <t>Tổng 0-Bóng 5</t>
        </is>
      </c>
      <c r="J28" s="3" t="n">
        <v>60</v>
      </c>
      <c r="K28" s="6" t="inlineStr">
        <is>
          <t>TRƯỢT ❌</t>
        </is>
      </c>
      <c r="L28" s="3" t="inlineStr">
        <is>
          <t>00, 01, 04, 09, 10, 19, 23, 28, 36, 38, 42, 47, 51, 54, 60, 63, 79, 83, 90, 96</t>
        </is>
      </c>
      <c r="M28" s="6" t="inlineStr">
        <is>
          <t>TRƯỢT ❌</t>
        </is>
      </c>
      <c r="N28" s="7" t="inlineStr">
        <is>
          <t>TRÚNG N2 🎯</t>
        </is>
      </c>
      <c r="O28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29">
      <c r="A29" s="2" t="n">
        <v>212</v>
      </c>
      <c r="B29" s="2" t="inlineStr">
        <is>
          <t>Thứ tư ngày 05-08-2026</t>
        </is>
      </c>
      <c r="C29" s="3" t="inlineStr">
        <is>
          <t>Thứ Ba</t>
        </is>
      </c>
      <c r="D29" s="3" t="inlineStr">
        <is>
          <t>59760</t>
        </is>
      </c>
      <c r="E29" s="3" t="inlineStr">
        <is>
          <t>60</t>
        </is>
      </c>
      <c r="F29" s="3" t="inlineStr">
        <is>
          <t>G7.3, G7.4</t>
        </is>
      </c>
      <c r="G29" s="3" t="inlineStr">
        <is>
          <t>Tổng 0, Tổng 3, Tổng 4, Tổng 5, Tổng 8, Tổng 9</t>
        </is>
      </c>
      <c r="H29" s="3" t="inlineStr">
        <is>
          <t>234789</t>
        </is>
      </c>
      <c r="I29" s="3" t="inlineStr">
        <is>
          <t>Tổng 9-Bóng 4</t>
        </is>
      </c>
      <c r="J29" s="3" t="n">
        <v>56</v>
      </c>
      <c r="K29" s="6" t="inlineStr">
        <is>
          <t>TRƯỢT ❌</t>
        </is>
      </c>
      <c r="L29" s="3" t="inlineStr">
        <is>
          <t>03, 04, 09, 19, 23, 28, 36, 53, 54, 63, 67, 68, 71, 80, 85, 87, 90, 94, 96, 99</t>
        </is>
      </c>
      <c r="M29" s="6" t="inlineStr">
        <is>
          <t>TRƯỢT ❌</t>
        </is>
      </c>
      <c r="N29" s="7" t="inlineStr">
        <is>
          <t>TRÚNG N2 🎯</t>
        </is>
      </c>
      <c r="O29" s="3" t="inlineStr">
        <is>
          <t>03, 04, 08, 09, 12, 13, 14, 17, 18, 19, 21, 22, 23, 26, 27, 28, 30, 31, 32, 35, 36, 37, 40, 41, 44, 45, 46, 49, 53, 54, 58, 59, 62, 63, 64, 67, 68, 69, 71, 72, 73, 76, 77, 78, 80, 81, 82, 85, 86, 87, 90, 91, 94, 95, 96, 99</t>
        </is>
      </c>
    </row>
    <row r="30">
      <c r="A30" s="2" t="n">
        <v>211</v>
      </c>
      <c r="B30" s="2" t="inlineStr">
        <is>
          <t>Thứ ba ngày 04-08-2026</t>
        </is>
      </c>
      <c r="C30" s="3" t="inlineStr">
        <is>
          <t>Thứ Hai</t>
        </is>
      </c>
      <c r="D30" s="3" t="inlineStr">
        <is>
          <t>51125</t>
        </is>
      </c>
      <c r="E30" s="3" t="inlineStr">
        <is>
          <t>25</t>
        </is>
      </c>
      <c r="F30" s="3" t="inlineStr">
        <is>
          <t>G7.2, G7.4</t>
        </is>
      </c>
      <c r="G30" s="3" t="inlineStr">
        <is>
          <t>Tổng 0, Tổng 1, Tổng 4, Tổng 5, Tổng 6, Tổng 9</t>
        </is>
      </c>
      <c r="H30" s="3" t="inlineStr">
        <is>
          <t>0123456789</t>
        </is>
      </c>
      <c r="I30" s="3" t="inlineStr">
        <is>
          <t>Tổng 6-Bóng 1</t>
        </is>
      </c>
      <c r="J30" s="3" t="n">
        <v>60</v>
      </c>
      <c r="K30" s="6" t="inlineStr">
        <is>
          <t>TRƯỢT ❌</t>
        </is>
      </c>
      <c r="L30" s="3" t="inlineStr">
        <is>
          <t>00, 01, 04, 09, 10, 19, 23, 28, 36, 38, 47, 51, 54, 63, 65, 79, 83, 90, 96, 97</t>
        </is>
      </c>
      <c r="M30" s="6" t="inlineStr">
        <is>
          <t>TRƯỢT ❌</t>
        </is>
      </c>
      <c r="N30" s="7" t="inlineStr">
        <is>
          <t>TRÚNG N2 🎯</t>
        </is>
      </c>
      <c r="O30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31">
      <c r="A31" s="2" t="n">
        <v>210</v>
      </c>
      <c r="B31" s="2" t="inlineStr">
        <is>
          <t>Thứ hai ngày 03-08-2026</t>
        </is>
      </c>
      <c r="C31" s="3" t="inlineStr">
        <is>
          <t>Chủ Nhật</t>
        </is>
      </c>
      <c r="D31" s="3" t="inlineStr">
        <is>
          <t>79247</t>
        </is>
      </c>
      <c r="E31" s="3" t="inlineStr">
        <is>
          <t>47</t>
        </is>
      </c>
      <c r="F31" s="3" t="inlineStr">
        <is>
          <t>G7.3, G7.1</t>
        </is>
      </c>
      <c r="G31" s="3" t="inlineStr">
        <is>
          <t>Tổng 0, Tổng 2, Tổng 4, Tổng 5, Tổng 7, Tổng 9</t>
        </is>
      </c>
      <c r="H31" s="3" t="inlineStr">
        <is>
          <t>0123456789</t>
        </is>
      </c>
      <c r="I31" s="3" t="inlineStr">
        <is>
          <t>Tổng 9-Bóng 4</t>
        </is>
      </c>
      <c r="J31" s="3" t="n">
        <v>60</v>
      </c>
      <c r="K31" s="6" t="inlineStr">
        <is>
          <t>TRƯỢT ❌</t>
        </is>
      </c>
      <c r="L31" s="3" t="inlineStr">
        <is>
          <t>00, 04, 09, 16, 19, 23, 28, 34, 36, 39, 54, 55, 63, 68, 70, 84, 87, 89, 90, 96</t>
        </is>
      </c>
      <c r="M31" s="6" t="inlineStr">
        <is>
          <t>TRƯỢT ❌</t>
        </is>
      </c>
      <c r="N31" s="7" t="inlineStr">
        <is>
          <t>TRÚNG N2 🎯</t>
        </is>
      </c>
      <c r="O31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32">
      <c r="A32" s="2" t="n">
        <v>209</v>
      </c>
      <c r="B32" s="2" t="inlineStr">
        <is>
          <t>Chủ nhật ngày 02-08-2026</t>
        </is>
      </c>
      <c r="C32" s="3" t="inlineStr">
        <is>
          <t>Thứ Bảy</t>
        </is>
      </c>
      <c r="D32" s="3" t="inlineStr">
        <is>
          <t>11909</t>
        </is>
      </c>
      <c r="E32" s="3" t="inlineStr">
        <is>
          <t>09</t>
        </is>
      </c>
      <c r="F32" s="3" t="inlineStr">
        <is>
          <t>G7.1, G7.3</t>
        </is>
      </c>
      <c r="G32" s="3" t="inlineStr">
        <is>
          <t>Tổng 0, Tổng 1, Tổng 2, Tổng 5, Tổng 6, Tổng 7</t>
        </is>
      </c>
      <c r="H32" s="3" t="inlineStr">
        <is>
          <t>0123456789</t>
        </is>
      </c>
      <c r="I32" s="3" t="inlineStr">
        <is>
          <t>Tổng 5-Bóng 0</t>
        </is>
      </c>
      <c r="J32" s="3" t="n">
        <v>60</v>
      </c>
      <c r="K32" s="6" t="inlineStr">
        <is>
          <t>TRƯỢT ❌</t>
        </is>
      </c>
      <c r="L32" s="3" t="inlineStr">
        <is>
          <t>00, 01, 10, 16, 19, 23, 28, 34, 38, 39, 47, 51, 65, 70, 79, 83, 87, 89, 96, 97</t>
        </is>
      </c>
      <c r="M32" s="6" t="inlineStr">
        <is>
          <t>TRƯỢT ❌</t>
        </is>
      </c>
      <c r="N32" s="7" t="inlineStr">
        <is>
          <t>TRÚNG N2 🎯</t>
        </is>
      </c>
      <c r="O32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33">
      <c r="A33" s="2" t="n">
        <v>208</v>
      </c>
      <c r="B33" s="2" t="inlineStr">
        <is>
          <t>Thứ bảy ngày 01-08-2026</t>
        </is>
      </c>
      <c r="C33" s="3" t="inlineStr">
        <is>
          <t>Thứ Sáu</t>
        </is>
      </c>
      <c r="D33" s="3" t="inlineStr">
        <is>
          <t>44823</t>
        </is>
      </c>
      <c r="E33" s="3" t="inlineStr">
        <is>
          <t>23</t>
        </is>
      </c>
      <c r="F33" s="3" t="inlineStr">
        <is>
          <t>G7.1, G7.4</t>
        </is>
      </c>
      <c r="G33" s="3" t="inlineStr">
        <is>
          <t>Tổng 1, Tổng 4, Tổng 6, Tổng 9</t>
        </is>
      </c>
      <c r="H33" s="3" t="inlineStr">
        <is>
          <t>01345689</t>
        </is>
      </c>
      <c r="I33" s="3" t="inlineStr">
        <is>
          <t>Tổng 4-Bóng 9</t>
        </is>
      </c>
      <c r="J33" s="3" t="n">
        <v>36</v>
      </c>
      <c r="K33" s="6" t="inlineStr">
        <is>
          <t>TRƯỢT ❌</t>
        </is>
      </c>
      <c r="L33" s="3" t="inlineStr">
        <is>
          <t>01, 04, 10, 13, 33, 36, 38, 42, 47, 51, 54, 60, 63, 65, 68, 79, 81, 83, 90, 97</t>
        </is>
      </c>
      <c r="M33" s="6" t="inlineStr">
        <is>
          <t>TRƯỢT ❌</t>
        </is>
      </c>
      <c r="N33" s="7" t="inlineStr">
        <is>
          <t>TRÚNG N2 🎯</t>
        </is>
      </c>
      <c r="O33" s="3" t="inlineStr">
        <is>
          <t>01, 04, 06, 09, 10, 13, 15, 18, 24, 29, 31, 33, 36, 38, 40, 42, 45, 47, 51, 54, 56, 59, 60, 63, 65, 68, 74, 79, 81, 83, 86, 88, 90, 92, 95, 97</t>
        </is>
      </c>
    </row>
    <row r="34">
      <c r="A34" s="2" t="n">
        <v>207</v>
      </c>
      <c r="B34" s="2" t="inlineStr">
        <is>
          <t>Thứ sáu ngày 31-07-2026</t>
        </is>
      </c>
      <c r="C34" s="3" t="inlineStr">
        <is>
          <t>Thứ Năm</t>
        </is>
      </c>
      <c r="D34" s="3" t="inlineStr">
        <is>
          <t>41710</t>
        </is>
      </c>
      <c r="E34" s="3" t="inlineStr">
        <is>
          <t>10</t>
        </is>
      </c>
      <c r="F34" s="3" t="inlineStr">
        <is>
          <t>G7.4, G7.1</t>
        </is>
      </c>
      <c r="G34" s="3" t="inlineStr">
        <is>
          <t>Tổng 0, Tổng 1, Tổng 4, Tổng 5, Tổng 6, Tổng 9</t>
        </is>
      </c>
      <c r="H34" s="3" t="inlineStr">
        <is>
          <t>0123456789</t>
        </is>
      </c>
      <c r="I34" s="3" t="inlineStr">
        <is>
          <t>Tổng 0-Bóng 5</t>
        </is>
      </c>
      <c r="J34" s="3" t="n">
        <v>60</v>
      </c>
      <c r="K34" s="7" t="inlineStr">
        <is>
          <t>TRÚNG N1 🎯</t>
        </is>
      </c>
      <c r="L34" s="3" t="inlineStr">
        <is>
          <t>00, 01, 04, 19, 23, 28, 36, 38, 42, 47, 51, 54, 63, 65, 79, 83, 87, 90, 96, 97</t>
        </is>
      </c>
      <c r="M34" s="6" t="inlineStr">
        <is>
          <t>TRƯỢT ❌</t>
        </is>
      </c>
      <c r="N34" s="7" t="inlineStr">
        <is>
          <t>TRÚNG N1 🎯</t>
        </is>
      </c>
      <c r="O3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35">
      <c r="A35" s="2" t="n">
        <v>206</v>
      </c>
      <c r="B35" s="2" t="inlineStr">
        <is>
          <t>Thứ năm ngày 30-07-2026</t>
        </is>
      </c>
      <c r="C35" s="3" t="inlineStr">
        <is>
          <t>Thứ Tư</t>
        </is>
      </c>
      <c r="D35" s="3" t="inlineStr">
        <is>
          <t>50834</t>
        </is>
      </c>
      <c r="E35" s="3" t="inlineStr">
        <is>
          <t>34</t>
        </is>
      </c>
      <c r="F35" s="3" t="inlineStr">
        <is>
          <t>G7.2, G7.4</t>
        </is>
      </c>
      <c r="G35" s="3" t="inlineStr">
        <is>
          <t>Tổng 2, Tổng 3, Tổng 4, Tổng 7, Tổng 8, Tổng 9</t>
        </is>
      </c>
      <c r="H35" s="3" t="inlineStr">
        <is>
          <t>0123456789</t>
        </is>
      </c>
      <c r="I35" s="3" t="inlineStr">
        <is>
          <t>Tổng 8-Bóng 3</t>
        </is>
      </c>
      <c r="J35" s="3" t="n">
        <v>60</v>
      </c>
      <c r="K35" s="7" t="inlineStr">
        <is>
          <t>TRÚNG N1 🎯</t>
        </is>
      </c>
      <c r="L35" s="3" t="inlineStr">
        <is>
          <t>03, 04, 16, 36, 39, 52, 53, 54, 63, 67, 68, 70, 71, 80, 84, 85, 89, 90, 94, 99</t>
        </is>
      </c>
      <c r="M35" s="6" t="inlineStr">
        <is>
          <t>TRƯỢT ❌</t>
        </is>
      </c>
      <c r="N35" s="7" t="inlineStr">
        <is>
          <t>TRÚNG N1 🎯</t>
        </is>
      </c>
      <c r="O3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36">
      <c r="A36" s="2" t="n">
        <v>205</v>
      </c>
      <c r="B36" s="2" t="inlineStr">
        <is>
          <t>Thứ tư ngày 29-07-2026</t>
        </is>
      </c>
      <c r="C36" s="3" t="inlineStr">
        <is>
          <t>Thứ Ba</t>
        </is>
      </c>
      <c r="D36" s="3" t="inlineStr">
        <is>
          <t>39983</t>
        </is>
      </c>
      <c r="E36" s="3" t="inlineStr">
        <is>
          <t>83</t>
        </is>
      </c>
      <c r="F36" s="3" t="inlineStr">
        <is>
          <t>G7.3, G7.4</t>
        </is>
      </c>
      <c r="G36" s="3" t="inlineStr">
        <is>
          <t>Tổng 0, Tổng 1, Tổng 5, Tổng 6</t>
        </is>
      </c>
      <c r="H36" s="3" t="inlineStr">
        <is>
          <t>01345689</t>
        </is>
      </c>
      <c r="I36" s="3" t="inlineStr">
        <is>
          <t>Tổng 6-Bóng 1</t>
        </is>
      </c>
      <c r="J36" s="3" t="n">
        <v>40</v>
      </c>
      <c r="K36" s="7" t="inlineStr">
        <is>
          <t>TRÚNG N1 🎯</t>
        </is>
      </c>
      <c r="L36" s="3" t="inlineStr">
        <is>
          <t>00, 01, 05, 19, 23, 28, 32, 37, 38, 42, 47, 51, 55, 60, 65, 79, 83, 87, 96, 97</t>
        </is>
      </c>
      <c r="M36" s="7" t="inlineStr">
        <is>
          <t>TRÚNG HỎA LỰC 🎯</t>
        </is>
      </c>
      <c r="N36" s="7" t="inlineStr">
        <is>
          <t>TRÚNG N1 🎯</t>
        </is>
      </c>
      <c r="O36" s="3" t="inlineStr">
        <is>
          <t>00, 01, 05, 06, 10, 14, 15, 19, 23, 24, 28, 29, 32, 33, 37, 38, 41, 42, 46, 47, 50, 51, 55, 56, 60, 64, 65, 69, 73, 74, 78, 79, 82, 83, 87, 88, 91, 92, 96, 97</t>
        </is>
      </c>
    </row>
    <row r="37">
      <c r="A37" s="2" t="n">
        <v>204</v>
      </c>
      <c r="B37" s="2" t="inlineStr">
        <is>
          <t>Thứ ba ngày 28-07-2026</t>
        </is>
      </c>
      <c r="C37" s="3" t="inlineStr">
        <is>
          <t>Thứ Hai</t>
        </is>
      </c>
      <c r="D37" s="3" t="inlineStr">
        <is>
          <t>65000</t>
        </is>
      </c>
      <c r="E37" s="3" t="inlineStr">
        <is>
          <t>00</t>
        </is>
      </c>
      <c r="F37" s="3" t="inlineStr">
        <is>
          <t>G7.4, G7.2</t>
        </is>
      </c>
      <c r="G37" s="3" t="inlineStr">
        <is>
          <t>Tổng 0, Tổng 1, Tổng 2, Tổng 5, Tổng 6, Tổng 7</t>
        </is>
      </c>
      <c r="H37" s="3" t="inlineStr">
        <is>
          <t>02345789</t>
        </is>
      </c>
      <c r="I37" s="3" t="inlineStr">
        <is>
          <t>Tổng 0-Bóng 5</t>
        </is>
      </c>
      <c r="J37" s="3" t="n">
        <v>56</v>
      </c>
      <c r="K37" s="7" t="inlineStr">
        <is>
          <t>TRÚNG N1 🎯</t>
        </is>
      </c>
      <c r="L37" s="3" t="inlineStr">
        <is>
          <t>01, 19, 23, 28, 32, 38, 39, 42, 47, 51, 52, 65, 70, 79, 83, 84, 87, 89, 96, 97</t>
        </is>
      </c>
      <c r="M37" s="6" t="inlineStr">
        <is>
          <t>TRƯỢT ❌</t>
        </is>
      </c>
      <c r="N37" s="7" t="inlineStr">
        <is>
          <t>TRÚNG N1 🎯</t>
        </is>
      </c>
      <c r="O37" s="3" t="inlineStr">
        <is>
          <t>00, 01, 02, 05, 06, 07, 10, 14, 15, 19, 20, 23, 24, 25, 28, 29, 32, 33, 34, 37, 38, 39, 41, 42, 43, 46, 47, 48, 50, 51, 52, 55, 56, 57, 60, 64, 65, 69, 70, 73, 74, 75, 78, 79, 82, 83, 84, 87, 88, 89, 91, 92, 93, 96, 97, 98</t>
        </is>
      </c>
    </row>
    <row r="38">
      <c r="A38" s="2" t="n">
        <v>203</v>
      </c>
      <c r="B38" s="2" t="inlineStr">
        <is>
          <t>Thứ hai ngày 27-07-2026</t>
        </is>
      </c>
      <c r="C38" s="3" t="inlineStr">
        <is>
          <t>Chủ Nhật</t>
        </is>
      </c>
      <c r="D38" s="3" t="inlineStr">
        <is>
          <t>54796</t>
        </is>
      </c>
      <c r="E38" s="3" t="inlineStr">
        <is>
          <t>96</t>
        </is>
      </c>
      <c r="F38" s="3" t="inlineStr">
        <is>
          <t>G7.3, G7.1</t>
        </is>
      </c>
      <c r="G38" s="3" t="inlineStr">
        <is>
          <t>Tổng 0, Tổng 2, Tổng 3, Tổng 5, Tổng 7, Tổng 8</t>
        </is>
      </c>
      <c r="H38" s="3" t="inlineStr">
        <is>
          <t>01235678</t>
        </is>
      </c>
      <c r="I38" s="3" t="inlineStr">
        <is>
          <t>Tổng 3-Bóng 8</t>
        </is>
      </c>
      <c r="J38" s="3" t="n">
        <v>56</v>
      </c>
      <c r="K38" s="7" t="inlineStr">
        <is>
          <t>TRÚNG N1 🎯</t>
        </is>
      </c>
      <c r="L38" s="3" t="inlineStr">
        <is>
          <t>03, 05, 16, 19, 23, 28, 32, 37, 39, 50, 52, 53, 55, 67, 70, 71, 84, 85, 87, 89</t>
        </is>
      </c>
      <c r="M38" s="6" t="inlineStr">
        <is>
          <t>TRƯỢT ❌</t>
        </is>
      </c>
      <c r="N38" s="7" t="inlineStr">
        <is>
          <t>TRÚNG N1 🎯</t>
        </is>
      </c>
      <c r="O38" s="3" t="inlineStr">
        <is>
          <t>00, 02, 03, 05, 07, 08, 11, 12, 14, 16, 17, 19, 20, 21, 23, 25, 26, 28, 30, 32, 34, 35, 37, 39, 41, 43, 46, 48, 50, 52, 53, 55, 57, 58, 61, 62, 64, 66, 67, 69, 70, 71, 73, 75, 76, 78, 80, 82, 84, 85, 87, 89, 91, 93, 96, 98</t>
        </is>
      </c>
    </row>
    <row r="39">
      <c r="A39" s="2" t="n">
        <v>202</v>
      </c>
      <c r="B39" s="2" t="inlineStr">
        <is>
          <t>Chủ nhật ngày 26-07-2026</t>
        </is>
      </c>
      <c r="C39" s="3" t="inlineStr">
        <is>
          <t>Thứ Bảy</t>
        </is>
      </c>
      <c r="D39" s="3" t="inlineStr">
        <is>
          <t>42916</t>
        </is>
      </c>
      <c r="E39" s="3" t="inlineStr">
        <is>
          <t>16</t>
        </is>
      </c>
      <c r="F39" s="3" t="inlineStr">
        <is>
          <t>G7.1, G7.3</t>
        </is>
      </c>
      <c r="G39" s="3" t="inlineStr">
        <is>
          <t>Tổng 0, Tổng 3, Tổng 5, Tổng 8</t>
        </is>
      </c>
      <c r="H39" s="3" t="inlineStr">
        <is>
          <t>0123456789</t>
        </is>
      </c>
      <c r="I39" s="3" t="inlineStr">
        <is>
          <t>Tổng 5-Bóng 0</t>
        </is>
      </c>
      <c r="J39" s="3" t="n">
        <v>40</v>
      </c>
      <c r="K39" s="6" t="inlineStr">
        <is>
          <t>TRƯỢT ❌</t>
        </is>
      </c>
      <c r="L39" s="3" t="inlineStr">
        <is>
          <t>00, 03, 05, 08, 19, 23, 28, 32, 37, 50, 53, 55, 67, 71, 78, 80, 85, 87, 94, 99</t>
        </is>
      </c>
      <c r="M39" s="6" t="inlineStr">
        <is>
          <t>TRƯỢT ❌</t>
        </is>
      </c>
      <c r="N39" s="7" t="inlineStr">
        <is>
          <t>TRÚNG N2 🎯</t>
        </is>
      </c>
      <c r="O39" s="3" t="inlineStr">
        <is>
          <t>00, 03, 05, 08, 12, 14, 17, 19, 21, 23, 26, 28, 30, 32, 35, 37, 41, 44, 46, 49, 50, 53, 55, 58, 62, 64, 67, 69, 71, 73, 76, 78, 80, 82, 85, 87, 91, 94, 96, 99</t>
        </is>
      </c>
    </row>
    <row r="40">
      <c r="A40" s="2" t="n">
        <v>201</v>
      </c>
      <c r="B40" s="2" t="inlineStr">
        <is>
          <t>Thứ bảy ngày 25-07-2026</t>
        </is>
      </c>
      <c r="C40" s="3" t="inlineStr">
        <is>
          <t>Thứ Sáu</t>
        </is>
      </c>
      <c r="D40" s="3" t="inlineStr">
        <is>
          <t>89228</t>
        </is>
      </c>
      <c r="E40" s="3" t="inlineStr">
        <is>
          <t>28</t>
        </is>
      </c>
      <c r="F40" s="3" t="inlineStr">
        <is>
          <t>G7.4, G7.1</t>
        </is>
      </c>
      <c r="G40" s="3" t="inlineStr">
        <is>
          <t>Tổng 0, Tổng 1, Tổng 2, Tổng 5, Tổng 6, Tổng 7</t>
        </is>
      </c>
      <c r="H40" s="3" t="inlineStr">
        <is>
          <t>0123456789</t>
        </is>
      </c>
      <c r="I40" s="3" t="inlineStr">
        <is>
          <t>Tổng 2-Bóng 7</t>
        </is>
      </c>
      <c r="J40" s="3" t="n">
        <v>60</v>
      </c>
      <c r="K40" s="7" t="inlineStr">
        <is>
          <t>TRÚNG N1 🎯</t>
        </is>
      </c>
      <c r="L40" s="3" t="inlineStr">
        <is>
          <t>01, 16, 19, 23, 28, 32, 38, 39, 42, 47, 51, 52, 65, 70, 79, 83, 84, 87, 89, 97</t>
        </is>
      </c>
      <c r="M40" s="7" t="inlineStr">
        <is>
          <t>TRÚNG HỎA LỰC 🎯</t>
        </is>
      </c>
      <c r="N40" s="7" t="inlineStr">
        <is>
          <t>TRÚNG N1 🎯</t>
        </is>
      </c>
      <c r="O40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41">
      <c r="A41" s="2" t="n">
        <v>200</v>
      </c>
      <c r="B41" s="2" t="inlineStr">
        <is>
          <t>Thứ sáu ngày 24-07-2026</t>
        </is>
      </c>
      <c r="C41" s="3" t="inlineStr">
        <is>
          <t>Thứ Năm</t>
        </is>
      </c>
      <c r="D41" s="3" t="inlineStr">
        <is>
          <t>94738</t>
        </is>
      </c>
      <c r="E41" s="3" t="inlineStr">
        <is>
          <t>38</t>
        </is>
      </c>
      <c r="F41" s="3" t="inlineStr">
        <is>
          <t>G7.4, G7.1</t>
        </is>
      </c>
      <c r="G41" s="3" t="inlineStr">
        <is>
          <t>Tổng 0, Tổng 3, Tổng 4, Tổng 5, Tổng 8, Tổng 9</t>
        </is>
      </c>
      <c r="H41" s="3" t="inlineStr">
        <is>
          <t>0123456789</t>
        </is>
      </c>
      <c r="I41" s="3" t="inlineStr">
        <is>
          <t>Tổng 5-Bóng 0</t>
        </is>
      </c>
      <c r="J41" s="3" t="n">
        <v>60</v>
      </c>
      <c r="K41" s="6" t="inlineStr">
        <is>
          <t>TRƯỢT ❌</t>
        </is>
      </c>
      <c r="L41" s="3" t="inlineStr">
        <is>
          <t>04, 13, 19, 23, 28, 32, 36, 37, 53, 54, 55, 63, 67, 68, 71, 85, 87, 90, 94, 99</t>
        </is>
      </c>
      <c r="M41" s="6" t="inlineStr">
        <is>
          <t>TRƯỢT ❌</t>
        </is>
      </c>
      <c r="N41" s="7" t="inlineStr">
        <is>
          <t>TRÚNG N2 🎯</t>
        </is>
      </c>
      <c r="O41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42">
      <c r="A42" s="2" t="n">
        <v>199</v>
      </c>
      <c r="B42" s="2" t="inlineStr">
        <is>
          <t>Thứ năm ngày 23-07-2026</t>
        </is>
      </c>
      <c r="C42" s="3" t="inlineStr">
        <is>
          <t>Thứ Tư</t>
        </is>
      </c>
      <c r="D42" s="3" t="inlineStr">
        <is>
          <t>78754</t>
        </is>
      </c>
      <c r="E42" s="3" t="inlineStr">
        <is>
          <t>54</t>
        </is>
      </c>
      <c r="F42" s="3" t="inlineStr">
        <is>
          <t>G7.2, G7.4</t>
        </is>
      </c>
      <c r="G42" s="3" t="inlineStr">
        <is>
          <t>Tổng 0, Tổng 2, Tổng 4, Tổng 5, Tổng 7, Tổng 9</t>
        </is>
      </c>
      <c r="H42" s="3" t="inlineStr">
        <is>
          <t>01245679</t>
        </is>
      </c>
      <c r="I42" s="3" t="inlineStr">
        <is>
          <t>Tổng 2-Bóng 7</t>
        </is>
      </c>
      <c r="J42" s="3" t="n">
        <v>60</v>
      </c>
      <c r="K42" s="7" t="inlineStr">
        <is>
          <t>TRÚNG N1 🎯</t>
        </is>
      </c>
      <c r="L42" s="3" t="inlineStr">
        <is>
          <t>04, 13, 16, 19, 23, 28, 32, 36, 37, 39, 52, 54, 55, 63, 68, 70, 84, 87, 89, 90</t>
        </is>
      </c>
      <c r="M42" s="7" t="inlineStr">
        <is>
          <t>TRÚNG HỎA LỰC 🎯</t>
        </is>
      </c>
      <c r="N42" s="7" t="inlineStr">
        <is>
          <t>TRÚNG N1 🎯</t>
        </is>
      </c>
      <c r="O4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43">
      <c r="A43" s="2" t="n">
        <v>198</v>
      </c>
      <c r="B43" s="2" t="inlineStr">
        <is>
          <t>Thứ tư ngày 22-07-2026</t>
        </is>
      </c>
      <c r="C43" s="3" t="inlineStr">
        <is>
          <t>Thứ Ba</t>
        </is>
      </c>
      <c r="D43" s="3" t="inlineStr">
        <is>
          <t>92154</t>
        </is>
      </c>
      <c r="E43" s="3" t="inlineStr">
        <is>
          <t>54</t>
        </is>
      </c>
      <c r="F43" s="3" t="inlineStr">
        <is>
          <t>G7.3, G7.4</t>
        </is>
      </c>
      <c r="G43" s="3" t="inlineStr">
        <is>
          <t>Tổng 1, Tổng 3, Tổng 4, Tổng 6, Tổng 8, Tổng 9</t>
        </is>
      </c>
      <c r="H43" s="3" t="inlineStr">
        <is>
          <t>02345789</t>
        </is>
      </c>
      <c r="I43" s="3" t="inlineStr">
        <is>
          <t>Tổng 8-Bóng 3</t>
        </is>
      </c>
      <c r="J43" s="3" t="n">
        <v>60</v>
      </c>
      <c r="K43" s="7" t="inlineStr">
        <is>
          <t>TRÚNG N1 🎯</t>
        </is>
      </c>
      <c r="L43" s="3" t="inlineStr">
        <is>
          <t>01, 04, 36, 38, 42, 47, 51, 53, 54, 63, 65, 67, 71, 79, 83, 85, 90, 94, 97, 99</t>
        </is>
      </c>
      <c r="M43" s="7" t="inlineStr">
        <is>
          <t>TRÚNG HỎA LỰC 🎯</t>
        </is>
      </c>
      <c r="N43" s="7" t="inlineStr">
        <is>
          <t>TRÚNG N1 🎯</t>
        </is>
      </c>
      <c r="O4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44">
      <c r="A44" s="2" t="n">
        <v>197</v>
      </c>
      <c r="B44" s="2" t="inlineStr">
        <is>
          <t>Thứ ba ngày 21-07-2026</t>
        </is>
      </c>
      <c r="C44" s="3" t="inlineStr">
        <is>
          <t>Thứ Hai</t>
        </is>
      </c>
      <c r="D44" s="3" t="inlineStr">
        <is>
          <t>73070</t>
        </is>
      </c>
      <c r="E44" s="3" t="inlineStr">
        <is>
          <t>70</t>
        </is>
      </c>
      <c r="F44" s="3" t="inlineStr">
        <is>
          <t>G7.4, G7.2</t>
        </is>
      </c>
      <c r="G44" s="3" t="inlineStr">
        <is>
          <t>Tổng 3, Tổng 4, Tổng 8, Tổng 9</t>
        </is>
      </c>
      <c r="H44" s="3" t="inlineStr">
        <is>
          <t>01345689</t>
        </is>
      </c>
      <c r="I44" s="3" t="inlineStr">
        <is>
          <t>Tổng 3-Bóng 8</t>
        </is>
      </c>
      <c r="J44" s="3" t="n">
        <v>36</v>
      </c>
      <c r="K44" s="6" t="inlineStr">
        <is>
          <t>TRƯỢT ❌</t>
        </is>
      </c>
      <c r="L44" s="3" t="inlineStr">
        <is>
          <t>03, 04, 08, 13, 17, 21, 36, 40, 53, 54, 63, 67, 68, 71, 80, 81, 85, 90, 94, 99</t>
        </is>
      </c>
      <c r="M44" s="6" t="inlineStr">
        <is>
          <t>TRƯỢT ❌</t>
        </is>
      </c>
      <c r="N44" s="7" t="inlineStr">
        <is>
          <t>TRÚNG N2 🎯</t>
        </is>
      </c>
      <c r="O44" s="3" t="inlineStr">
        <is>
          <t>03, 04, 08, 09, 12, 13, 17, 18, 21, 26, 30, 31, 35, 36, 40, 44, 45, 49, 53, 54, 58, 59, 62, 63, 67, 68, 71, 76, 80, 81, 85, 86, 90, 94, 95, 99</t>
        </is>
      </c>
    </row>
    <row r="45">
      <c r="A45" s="2" t="n">
        <v>196</v>
      </c>
      <c r="B45" s="2" t="inlineStr">
        <is>
          <t>Thứ hai ngày 20-07-2026</t>
        </is>
      </c>
      <c r="C45" s="3" t="inlineStr">
        <is>
          <t>Chủ Nhật</t>
        </is>
      </c>
      <c r="D45" s="3" t="inlineStr">
        <is>
          <t>39128</t>
        </is>
      </c>
      <c r="E45" s="3" t="inlineStr">
        <is>
          <t>28</t>
        </is>
      </c>
      <c r="F45" s="3" t="inlineStr">
        <is>
          <t>G7.3, G7.1</t>
        </is>
      </c>
      <c r="G45" s="3" t="inlineStr">
        <is>
          <t>Tổng 0, Tổng 2, Tổng 4, Tổng 5, Tổng 7, Tổng 9</t>
        </is>
      </c>
      <c r="H45" s="3" t="inlineStr">
        <is>
          <t>01235678</t>
        </is>
      </c>
      <c r="I45" s="3" t="inlineStr">
        <is>
          <t>Tổng 5-Bóng 0</t>
        </is>
      </c>
      <c r="J45" s="3" t="n">
        <v>60</v>
      </c>
      <c r="K45" s="7" t="inlineStr">
        <is>
          <t>TRÚNG N1 🎯</t>
        </is>
      </c>
      <c r="L45" s="3" t="inlineStr">
        <is>
          <t>04, 05, 13, 16, 19, 23, 32, 36, 37, 39, 50, 52, 54, 55, 63, 68, 84, 87, 89, 90</t>
        </is>
      </c>
      <c r="M45" s="6" t="inlineStr">
        <is>
          <t>TRƯỢT ❌</t>
        </is>
      </c>
      <c r="N45" s="7" t="inlineStr">
        <is>
          <t>TRÚNG N1 🎯</t>
        </is>
      </c>
      <c r="O4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46">
      <c r="A46" s="2" t="n">
        <v>195</v>
      </c>
      <c r="B46" s="2" t="inlineStr">
        <is>
          <t>Chủ nhật ngày 19-07-2026</t>
        </is>
      </c>
      <c r="C46" s="3" t="inlineStr">
        <is>
          <t>Thứ Bảy</t>
        </is>
      </c>
      <c r="D46" s="3" t="inlineStr">
        <is>
          <t>46438</t>
        </is>
      </c>
      <c r="E46" s="3" t="inlineStr">
        <is>
          <t>38</t>
        </is>
      </c>
      <c r="F46" s="3" t="inlineStr">
        <is>
          <t>G7.1, G7.3</t>
        </is>
      </c>
      <c r="G46" s="3" t="inlineStr">
        <is>
          <t>Tổng 3, Tổng 4, Tổng 8, Tổng 9</t>
        </is>
      </c>
      <c r="H46" s="3" t="inlineStr">
        <is>
          <t>01345689</t>
        </is>
      </c>
      <c r="I46" s="3" t="inlineStr">
        <is>
          <t>Tổng 8-Bóng 3</t>
        </is>
      </c>
      <c r="J46" s="3" t="n">
        <v>36</v>
      </c>
      <c r="K46" s="6" t="inlineStr">
        <is>
          <t>TRƯỢT ❌</t>
        </is>
      </c>
      <c r="L46" s="3" t="inlineStr">
        <is>
          <t>03, 04, 08, 13, 17, 21, 36, 53, 54, 63, 67, 68, 71, 76, 80, 81, 85, 90, 94, 99</t>
        </is>
      </c>
      <c r="M46" s="6" t="inlineStr">
        <is>
          <t>TRƯỢT ❌</t>
        </is>
      </c>
      <c r="N46" s="6" t="inlineStr">
        <is>
          <t>TRƯỢT KHUNG ❌</t>
        </is>
      </c>
      <c r="O46" s="3" t="inlineStr">
        <is>
          <t>03, 04, 08, 09, 12, 13, 17, 18, 21, 26, 30, 31, 35, 36, 40, 44, 45, 49, 53, 54, 58, 59, 62, 63, 67, 68, 71, 76, 80, 81, 85, 86, 90, 94, 95, 99</t>
        </is>
      </c>
    </row>
    <row r="47">
      <c r="A47" s="2" t="n">
        <v>194</v>
      </c>
      <c r="B47" s="2" t="inlineStr">
        <is>
          <t>Thứ bảy ngày 18-07-2026</t>
        </is>
      </c>
      <c r="C47" s="3" t="inlineStr">
        <is>
          <t>Thứ Sáu</t>
        </is>
      </c>
      <c r="D47" s="3" t="inlineStr">
        <is>
          <t>26890</t>
        </is>
      </c>
      <c r="E47" s="3" t="inlineStr">
        <is>
          <t>90</t>
        </is>
      </c>
      <c r="F47" s="3" t="inlineStr">
        <is>
          <t>G7.4, G7.2</t>
        </is>
      </c>
      <c r="G47" s="3" t="inlineStr">
        <is>
          <t>Tổng 3, Tổng 4, Tổng 8, Tổng 9</t>
        </is>
      </c>
      <c r="H47" s="3" t="inlineStr">
        <is>
          <t>0123456789</t>
        </is>
      </c>
      <c r="I47" s="3" t="inlineStr">
        <is>
          <t>Tổng 8-Bóng 3</t>
        </is>
      </c>
      <c r="J47" s="3" t="n">
        <v>40</v>
      </c>
      <c r="K47" s="7" t="inlineStr">
        <is>
          <t>TRÚNG N1 🎯</t>
        </is>
      </c>
      <c r="L47" s="3" t="inlineStr">
        <is>
          <t>03, 04, 08, 13, 17, 21, 36, 40, 53, 54, 63, 67, 68, 71, 76, 80, 81, 85, 94, 99</t>
        </is>
      </c>
      <c r="M47" s="6" t="inlineStr">
        <is>
          <t>TRƯỢT ❌</t>
        </is>
      </c>
      <c r="N47" s="7" t="inlineStr">
        <is>
          <t>TRÚNG N1 🎯</t>
        </is>
      </c>
      <c r="O47" s="3" t="inlineStr">
        <is>
          <t>03, 04, 08, 09, 12, 13, 17, 18, 21, 22, 26, 27, 30, 31, 35, 36, 40, 44, 45, 49, 53, 54, 58, 59, 62, 63, 67, 68, 71, 72, 76, 77, 80, 81, 85, 86, 90, 94, 95, 99</t>
        </is>
      </c>
    </row>
    <row r="48">
      <c r="A48" s="2" t="n">
        <v>193</v>
      </c>
      <c r="B48" s="2" t="inlineStr">
        <is>
          <t>Thứ sáu ngày 17-07-2026</t>
        </is>
      </c>
      <c r="C48" s="3" t="inlineStr">
        <is>
          <t>Thứ Năm</t>
        </is>
      </c>
      <c r="D48" s="3" t="inlineStr">
        <is>
          <t>45739</t>
        </is>
      </c>
      <c r="E48" s="3" t="inlineStr">
        <is>
          <t>39</t>
        </is>
      </c>
      <c r="F48" s="3" t="inlineStr">
        <is>
          <t>G7.4, G7.1</t>
        </is>
      </c>
      <c r="G48" s="3" t="inlineStr">
        <is>
          <t>Tổng 2, Tổng 7</t>
        </is>
      </c>
      <c r="H48" s="3" t="inlineStr">
        <is>
          <t>01345689</t>
        </is>
      </c>
      <c r="I48" s="3" t="inlineStr">
        <is>
          <t>Tổng 7-Bóng 2</t>
        </is>
      </c>
      <c r="J48" s="3" t="n">
        <v>20</v>
      </c>
      <c r="K48" s="7" t="inlineStr">
        <is>
          <t>TRÚNG N1 🎯</t>
        </is>
      </c>
      <c r="L48" s="3" t="inlineStr">
        <is>
          <t>02, 07, 11, 16, 20, 25, 34, 39, 43, 48, 52, 57, 61, 66, 70, 75, 84, 89, 93, 98</t>
        </is>
      </c>
      <c r="M48" s="7" t="inlineStr">
        <is>
          <t>TRÚNG HỎA LỰC 🎯</t>
        </is>
      </c>
      <c r="N48" s="7" t="inlineStr">
        <is>
          <t>TRÚNG N1 🎯</t>
        </is>
      </c>
      <c r="O48" s="3" t="inlineStr">
        <is>
          <t>02, 07, 11, 16, 20, 25, 34, 39, 43, 48, 52, 57, 61, 66, 70, 75, 84, 89, 93, 98</t>
        </is>
      </c>
    </row>
    <row r="49">
      <c r="A49" s="2" t="n">
        <v>192</v>
      </c>
      <c r="B49" s="2" t="inlineStr">
        <is>
          <t>Thứ năm ngày 16-07-2026</t>
        </is>
      </c>
      <c r="C49" s="3" t="inlineStr">
        <is>
          <t>Thứ Tư</t>
        </is>
      </c>
      <c r="D49" s="3" t="inlineStr">
        <is>
          <t>96763</t>
        </is>
      </c>
      <c r="E49" s="3" t="inlineStr">
        <is>
          <t>63</t>
        </is>
      </c>
      <c r="F49" s="3" t="inlineStr">
        <is>
          <t>G7.2, G7.4</t>
        </is>
      </c>
      <c r="G49" s="3" t="inlineStr">
        <is>
          <t>Tổng 1, Tổng 3, Tổng 4, Tổng 6, Tổng 8, Tổng 9</t>
        </is>
      </c>
      <c r="H49" s="3" t="inlineStr">
        <is>
          <t>02345789</t>
        </is>
      </c>
      <c r="I49" s="3" t="inlineStr">
        <is>
          <t>Tổng 9-Bóng 4</t>
        </is>
      </c>
      <c r="J49" s="3" t="n">
        <v>60</v>
      </c>
      <c r="K49" s="7" t="inlineStr">
        <is>
          <t>TRÚNG N1 🎯</t>
        </is>
      </c>
      <c r="L49" s="3" t="inlineStr">
        <is>
          <t>01, 03, 04, 36, 42, 47, 51, 53, 54, 60, 65, 67, 68, 71, 79, 83, 85, 94, 97, 99</t>
        </is>
      </c>
      <c r="M49" s="6" t="inlineStr">
        <is>
          <t>TRƯỢT ❌</t>
        </is>
      </c>
      <c r="N49" s="7" t="inlineStr">
        <is>
          <t>TRÚNG N1 🎯</t>
        </is>
      </c>
      <c r="O4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50">
      <c r="A50" s="2" t="n">
        <v>191</v>
      </c>
      <c r="B50" s="2" t="inlineStr">
        <is>
          <t>Thứ tư ngày 15-07-2026</t>
        </is>
      </c>
      <c r="C50" s="3" t="inlineStr">
        <is>
          <t>Thứ Ba</t>
        </is>
      </c>
      <c r="D50" s="3" t="inlineStr">
        <is>
          <t>36119</t>
        </is>
      </c>
      <c r="E50" s="3" t="inlineStr">
        <is>
          <t>19</t>
        </is>
      </c>
      <c r="F50" s="3" t="inlineStr">
        <is>
          <t>G7.3, G7.1</t>
        </is>
      </c>
      <c r="G50" s="3" t="inlineStr">
        <is>
          <t>Tổng 0, Tổng 1, Tổng 4, Tổng 5, Tổng 6, Tổng 9</t>
        </is>
      </c>
      <c r="H50" s="3" t="inlineStr">
        <is>
          <t>0123456789</t>
        </is>
      </c>
      <c r="I50" s="3" t="inlineStr">
        <is>
          <t>Tổng 1-Bóng 6</t>
        </is>
      </c>
      <c r="J50" s="3" t="n">
        <v>60</v>
      </c>
      <c r="K50" s="7" t="inlineStr">
        <is>
          <t>TRÚNG N1 🎯</t>
        </is>
      </c>
      <c r="L50" s="3" t="inlineStr">
        <is>
          <t>01, 04, 05, 13, 23, 32, 36, 37, 42, 47, 51, 54, 55, 60, 65, 68, 79, 83, 87, 97</t>
        </is>
      </c>
      <c r="M50" s="6" t="inlineStr">
        <is>
          <t>TRƯỢT ❌</t>
        </is>
      </c>
      <c r="N50" s="7" t="inlineStr">
        <is>
          <t>TRÚNG N1 🎯</t>
        </is>
      </c>
      <c r="O50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51">
      <c r="A51" s="2" t="n">
        <v>190</v>
      </c>
      <c r="B51" s="2" t="inlineStr">
        <is>
          <t>Thứ ba ngày 14-07-2026</t>
        </is>
      </c>
      <c r="C51" s="3" t="inlineStr">
        <is>
          <t>Thứ Hai</t>
        </is>
      </c>
      <c r="D51" s="3" t="inlineStr">
        <is>
          <t>59147</t>
        </is>
      </c>
      <c r="E51" s="3" t="inlineStr">
        <is>
          <t>47</t>
        </is>
      </c>
      <c r="F51" s="3" t="inlineStr">
        <is>
          <t>G7.4, G7.2</t>
        </is>
      </c>
      <c r="G51" s="3" t="inlineStr">
        <is>
          <t>Tổng 2, Tổng 3, Tổng 4, Tổng 7, Tổng 8, Tổng 9</t>
        </is>
      </c>
      <c r="H51" s="3" t="inlineStr">
        <is>
          <t>01245679</t>
        </is>
      </c>
      <c r="I51" s="3" t="inlineStr">
        <is>
          <t>Tổng 4-Bóng 9</t>
        </is>
      </c>
      <c r="J51" s="3" t="n">
        <v>60</v>
      </c>
      <c r="K51" s="6" t="inlineStr">
        <is>
          <t>TRƯỢT ❌</t>
        </is>
      </c>
      <c r="L51" s="3" t="inlineStr">
        <is>
          <t>03, 04, 13, 16, 36, 39, 43, 52, 53, 54, 61, 67, 68, 71, 80, 84, 85, 89, 94, 99</t>
        </is>
      </c>
      <c r="M51" s="6" t="inlineStr">
        <is>
          <t>TRƯỢT ❌</t>
        </is>
      </c>
      <c r="N51" s="7" t="inlineStr">
        <is>
          <t>TRÚNG N3 🎯</t>
        </is>
      </c>
      <c r="O51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52">
      <c r="A52" s="2" t="n">
        <v>189</v>
      </c>
      <c r="B52" s="2" t="inlineStr">
        <is>
          <t>Thứ hai ngày 13-07-2026</t>
        </is>
      </c>
      <c r="C52" s="3" t="inlineStr">
        <is>
          <t>Chủ Nhật</t>
        </is>
      </c>
      <c r="D52" s="3" t="inlineStr">
        <is>
          <t>74299</t>
        </is>
      </c>
      <c r="E52" s="3" t="inlineStr">
        <is>
          <t>99</t>
        </is>
      </c>
      <c r="F52" s="3" t="inlineStr">
        <is>
          <t>G7.3, G7.1</t>
        </is>
      </c>
      <c r="G52" s="3" t="inlineStr">
        <is>
          <t>Tổng 0, Tổng 2, Tổng 4, Tổng 5, Tổng 7, Tổng 9</t>
        </is>
      </c>
      <c r="H52" s="3" t="inlineStr">
        <is>
          <t>0123456789</t>
        </is>
      </c>
      <c r="I52" s="3" t="inlineStr">
        <is>
          <t>Tổng 7-Bóng 2</t>
        </is>
      </c>
      <c r="J52" s="3" t="n">
        <v>60</v>
      </c>
      <c r="K52" s="6" t="inlineStr">
        <is>
          <t>TRƯỢT ❌</t>
        </is>
      </c>
      <c r="L52" s="3" t="inlineStr">
        <is>
          <t>00, 04, 13, 14, 16, 23, 32, 36, 37, 39, 43, 52, 54, 55, 61, 68, 69, 84, 87, 89</t>
        </is>
      </c>
      <c r="M52" s="6" t="inlineStr">
        <is>
          <t>TRƯỢT ❌</t>
        </is>
      </c>
      <c r="N52" s="7" t="inlineStr">
        <is>
          <t>TRÚNG N3 🎯</t>
        </is>
      </c>
      <c r="O5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53">
      <c r="A53" s="2" t="n">
        <v>188</v>
      </c>
      <c r="B53" s="2" t="inlineStr">
        <is>
          <t>Chủ nhật ngày 12-07-2026</t>
        </is>
      </c>
      <c r="C53" s="3" t="inlineStr">
        <is>
          <t>Thứ Bảy</t>
        </is>
      </c>
      <c r="D53" s="3" t="inlineStr">
        <is>
          <t>10494</t>
        </is>
      </c>
      <c r="E53" s="3" t="inlineStr">
        <is>
          <t>94</t>
        </is>
      </c>
      <c r="F53" s="3" t="inlineStr">
        <is>
          <t>G7.1, G7.3</t>
        </is>
      </c>
      <c r="G53" s="3" t="inlineStr">
        <is>
          <t>Tổng 0, Tổng 1, Tổng 2, Tổng 5, Tổng 6, Tổng 7</t>
        </is>
      </c>
      <c r="H53" s="3" t="inlineStr">
        <is>
          <t>01235678</t>
        </is>
      </c>
      <c r="I53" s="3" t="inlineStr">
        <is>
          <t>Tổng 2-Bóng 7</t>
        </is>
      </c>
      <c r="J53" s="3" t="n">
        <v>60</v>
      </c>
      <c r="K53" s="6" t="inlineStr">
        <is>
          <t>TRƯỢT ❌</t>
        </is>
      </c>
      <c r="L53" s="3" t="inlineStr">
        <is>
          <t>00, 01, 14, 16, 32, 37, 38, 39, 42, 51, 52, 55, 60, 65, 79, 83, 84, 87, 89, 97</t>
        </is>
      </c>
      <c r="M53" s="6" t="inlineStr">
        <is>
          <t>TRƯỢT ❌</t>
        </is>
      </c>
      <c r="N53" s="7" t="inlineStr">
        <is>
          <t>TRÚNG N3 🎯</t>
        </is>
      </c>
      <c r="O5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54">
      <c r="A54" s="2" t="n">
        <v>187</v>
      </c>
      <c r="B54" s="2" t="inlineStr">
        <is>
          <t>Thứ bảy ngày 11-07-2026</t>
        </is>
      </c>
      <c r="C54" s="3" t="inlineStr">
        <is>
          <t>Thứ Sáu</t>
        </is>
      </c>
      <c r="D54" s="3" t="inlineStr">
        <is>
          <t>09401</t>
        </is>
      </c>
      <c r="E54" s="3" t="inlineStr">
        <is>
          <t>01</t>
        </is>
      </c>
      <c r="F54" s="3" t="inlineStr">
        <is>
          <t>G7.4, G7.1</t>
        </is>
      </c>
      <c r="G54" s="3" t="inlineStr">
        <is>
          <t>Tổng 0, Tổng 2, Tổng 5, Tổng 7</t>
        </is>
      </c>
      <c r="H54" s="3" t="inlineStr">
        <is>
          <t>0123456789</t>
        </is>
      </c>
      <c r="I54" s="3" t="inlineStr">
        <is>
          <t>Tổng 2-Bóng 7</t>
        </is>
      </c>
      <c r="J54" s="3" t="n">
        <v>40</v>
      </c>
      <c r="K54" s="6" t="inlineStr">
        <is>
          <t>TRƯỢT ❌</t>
        </is>
      </c>
      <c r="L54" s="3" t="inlineStr">
        <is>
          <t>00, 05, 11, 14, 16, 23, 32, 37, 39, 43, 50, 52, 55, 61, 69, 78, 84, 87, 89, 93</t>
        </is>
      </c>
      <c r="M54" s="6" t="inlineStr">
        <is>
          <t>TRƯỢT ❌</t>
        </is>
      </c>
      <c r="N54" s="6" t="inlineStr">
        <is>
          <t>TRƯỢT KHUNG ❌</t>
        </is>
      </c>
      <c r="O54" s="3" t="inlineStr">
        <is>
          <t>00, 02, 05, 07, 11, 14, 16, 19, 20, 23, 25, 28, 32, 34, 37, 39, 41, 43, 46, 48, 50, 52, 55, 57, 61, 64, 66, 69, 70, 73, 75, 78, 82, 84, 87, 89, 91, 93, 96, 98</t>
        </is>
      </c>
    </row>
    <row r="55">
      <c r="A55" s="2" t="n">
        <v>186</v>
      </c>
      <c r="B55" s="2" t="inlineStr">
        <is>
          <t>Thứ sáu ngày 10-07-2026</t>
        </is>
      </c>
      <c r="C55" s="3" t="inlineStr">
        <is>
          <t>Thứ Năm</t>
        </is>
      </c>
      <c r="D55" s="3" t="inlineStr">
        <is>
          <t>72767</t>
        </is>
      </c>
      <c r="E55" s="3" t="inlineStr">
        <is>
          <t>67</t>
        </is>
      </c>
      <c r="F55" s="3" t="inlineStr">
        <is>
          <t>G7.4, G7.1</t>
        </is>
      </c>
      <c r="G55" s="3" t="inlineStr">
        <is>
          <t>Tổng 0, Tổng 2, Tổng 4, Tổng 5, Tổng 7, Tổng 9</t>
        </is>
      </c>
      <c r="H55" s="3" t="inlineStr">
        <is>
          <t>01345689</t>
        </is>
      </c>
      <c r="I55" s="3" t="inlineStr">
        <is>
          <t>Tổng 7-Bóng 2</t>
        </is>
      </c>
      <c r="J55" s="3" t="n">
        <v>56</v>
      </c>
      <c r="K55" s="6" t="inlineStr">
        <is>
          <t>TRƯỢT ❌</t>
        </is>
      </c>
      <c r="L55" s="3" t="inlineStr">
        <is>
          <t>00, 04, 13, 14, 16, 23, 32, 36, 37, 39, 43, 52, 54, 55, 61, 68, 69, 84, 87, 89</t>
        </is>
      </c>
      <c r="M55" s="6" t="inlineStr">
        <is>
          <t>TRƯỢT ❌</t>
        </is>
      </c>
      <c r="N55" s="6" t="inlineStr">
        <is>
          <t>TRƯỢT KHUNG ❌</t>
        </is>
      </c>
      <c r="O55" s="3" t="inlineStr">
        <is>
          <t>00, 02, 04, 05, 07, 09, 11, 13, 14, 16, 18, 19, 20, 23, 25, 28, 31, 32, 34, 36, 37, 39, 40, 41, 43, 45, 46, 48, 50, 52, 54, 55, 57, 59, 61, 63, 64, 66, 68, 69, 70, 73, 75, 78, 81, 82, 84, 86, 87, 89, 90, 91, 93, 95, 96, 98</t>
        </is>
      </c>
    </row>
    <row r="56">
      <c r="A56" s="2" t="n">
        <v>185</v>
      </c>
      <c r="B56" s="2" t="inlineStr">
        <is>
          <t>Thứ năm ngày 09-07-2026</t>
        </is>
      </c>
      <c r="C56" s="3" t="inlineStr">
        <is>
          <t>Thứ Tư</t>
        </is>
      </c>
      <c r="D56" s="3" t="inlineStr">
        <is>
          <t>69185</t>
        </is>
      </c>
      <c r="E56" s="3" t="inlineStr">
        <is>
          <t>85</t>
        </is>
      </c>
      <c r="F56" s="3" t="inlineStr">
        <is>
          <t>G7.2, G7.4</t>
        </is>
      </c>
      <c r="G56" s="3" t="inlineStr">
        <is>
          <t>Tổng 0, Tổng 1, Tổng 5, Tổng 6</t>
        </is>
      </c>
      <c r="H56" s="3" t="inlineStr">
        <is>
          <t>0123456789</t>
        </is>
      </c>
      <c r="I56" s="3" t="inlineStr">
        <is>
          <t>Tổng 1-Bóng 6</t>
        </is>
      </c>
      <c r="J56" s="3" t="n">
        <v>40</v>
      </c>
      <c r="K56" s="6" t="inlineStr">
        <is>
          <t>TRƯỢT ❌</t>
        </is>
      </c>
      <c r="L56" s="3" t="inlineStr">
        <is>
          <t>00, 05, 14, 23, 32, 33, 37, 38, 42, 50, 51, 55, 60, 65, 69, 78, 79, 83, 87, 97</t>
        </is>
      </c>
      <c r="M56" s="6" t="inlineStr">
        <is>
          <t>TRƯỢT ❌</t>
        </is>
      </c>
      <c r="N56" s="7" t="inlineStr">
        <is>
          <t>TRÚNG N3 🎯</t>
        </is>
      </c>
      <c r="O56" s="3" t="inlineStr">
        <is>
          <t>00, 01, 05, 06, 10, 14, 15, 19, 23, 24, 28, 29, 32, 33, 37, 38, 41, 42, 46, 47, 50, 51, 55, 56, 60, 64, 65, 69, 73, 74, 78, 79, 82, 83, 87, 88, 91, 92, 96, 97</t>
        </is>
      </c>
    </row>
    <row r="57">
      <c r="A57" s="2" t="n">
        <v>184</v>
      </c>
      <c r="B57" s="2" t="inlineStr">
        <is>
          <t>Thứ tư ngày 08-07-2026</t>
        </is>
      </c>
      <c r="C57" s="3" t="inlineStr">
        <is>
          <t>Thứ Ba</t>
        </is>
      </c>
      <c r="D57" s="3" t="inlineStr">
        <is>
          <t>95089</t>
        </is>
      </c>
      <c r="E57" s="3" t="inlineStr">
        <is>
          <t>89</t>
        </is>
      </c>
      <c r="F57" s="3" t="inlineStr">
        <is>
          <t>G7.3, G7.1</t>
        </is>
      </c>
      <c r="G57" s="3" t="inlineStr">
        <is>
          <t>Tổng 3, Tổng 4, Tổng 8, Tổng 9</t>
        </is>
      </c>
      <c r="H57" s="3" t="inlineStr">
        <is>
          <t>0123456789</t>
        </is>
      </c>
      <c r="I57" s="3" t="inlineStr">
        <is>
          <t>Tổng 9-Bóng 4</t>
        </is>
      </c>
      <c r="J57" s="3" t="n">
        <v>40</v>
      </c>
      <c r="K57" s="6" t="inlineStr">
        <is>
          <t>TRƯỢT ❌</t>
        </is>
      </c>
      <c r="L57" s="3" t="inlineStr">
        <is>
          <t>03, 04, 08, 13, 17, 21, 35, 36, 40, 53, 54, 59, 63, 68, 71, 76, 80, 81, 85, 94</t>
        </is>
      </c>
      <c r="M57" s="6" t="inlineStr">
        <is>
          <t>TRƯỢT ❌</t>
        </is>
      </c>
      <c r="N57" s="7" t="inlineStr">
        <is>
          <t>TRÚNG N2 🎯</t>
        </is>
      </c>
      <c r="O57" s="3" t="inlineStr">
        <is>
          <t>03, 04, 08, 09, 12, 13, 17, 18, 21, 22, 26, 27, 30, 31, 35, 36, 40, 44, 45, 49, 53, 54, 58, 59, 62, 63, 67, 68, 71, 72, 76, 77, 80, 81, 85, 86, 90, 94, 95, 99</t>
        </is>
      </c>
    </row>
    <row r="58">
      <c r="A58" s="2" t="n">
        <v>183</v>
      </c>
      <c r="B58" s="2" t="inlineStr">
        <is>
          <t>Thứ ba ngày 07-07-2026</t>
        </is>
      </c>
      <c r="C58" s="3" t="inlineStr">
        <is>
          <t>Thứ Hai</t>
        </is>
      </c>
      <c r="D58" s="3" t="inlineStr">
        <is>
          <t>92579</t>
        </is>
      </c>
      <c r="E58" s="3" t="inlineStr">
        <is>
          <t>79</t>
        </is>
      </c>
      <c r="F58" s="3" t="inlineStr">
        <is>
          <t>G7.4, G7.2</t>
        </is>
      </c>
      <c r="G58" s="3" t="inlineStr">
        <is>
          <t>Tổng 0, Tổng 2, Tổng 3, Tổng 5, Tổng 7, Tổng 8</t>
        </is>
      </c>
      <c r="H58" s="3" t="inlineStr">
        <is>
          <t>02345789</t>
        </is>
      </c>
      <c r="I58" s="3" t="inlineStr">
        <is>
          <t>Tổng 3-Bóng 8</t>
        </is>
      </c>
      <c r="J58" s="3" t="n">
        <v>56</v>
      </c>
      <c r="K58" s="6" t="inlineStr">
        <is>
          <t>TRƯỢT ❌</t>
        </is>
      </c>
      <c r="L58" s="3" t="inlineStr">
        <is>
          <t>00, 03, 05, 08, 14, 17, 23, 32, 37, 39, 50, 52, 53, 55, 71, 80, 84, 87, 89, 93</t>
        </is>
      </c>
      <c r="M58" s="6" t="inlineStr">
        <is>
          <t>TRƯỢT ❌</t>
        </is>
      </c>
      <c r="N58" s="7" t="inlineStr">
        <is>
          <t>TRÚNG N2 🎯</t>
        </is>
      </c>
      <c r="O58" s="3" t="inlineStr">
        <is>
          <t>00, 02, 03, 05, 07, 08, 12, 14, 17, 19, 20, 21, 23, 25, 26, 28, 30, 32, 34, 35, 37, 39, 41, 43, 44, 46, 48, 49, 50, 52, 53, 55, 57, 58, 62, 64, 67, 69, 70, 71, 73, 75, 76, 78, 80, 82, 84, 85, 87, 89, 91, 93, 94, 96, 98, 99</t>
        </is>
      </c>
    </row>
    <row r="59">
      <c r="A59" s="2" t="n">
        <v>182</v>
      </c>
      <c r="B59" s="2" t="inlineStr">
        <is>
          <t>Thứ hai ngày 06-07-2026</t>
        </is>
      </c>
      <c r="C59" s="3" t="inlineStr">
        <is>
          <t>Chủ Nhật</t>
        </is>
      </c>
      <c r="D59" s="3" t="inlineStr">
        <is>
          <t>43497</t>
        </is>
      </c>
      <c r="E59" s="3" t="inlineStr">
        <is>
          <t>97</t>
        </is>
      </c>
      <c r="F59" s="3" t="inlineStr">
        <is>
          <t>G7.3, G7.1</t>
        </is>
      </c>
      <c r="G59" s="3" t="inlineStr">
        <is>
          <t>Tổng 0, Tổng 3, Tổng 5, Tổng 8</t>
        </is>
      </c>
      <c r="H59" s="3" t="inlineStr">
        <is>
          <t>01345689</t>
        </is>
      </c>
      <c r="I59" s="3" t="inlineStr">
        <is>
          <t>Tổng 5-Bóng 0</t>
        </is>
      </c>
      <c r="J59" s="3" t="n">
        <v>40</v>
      </c>
      <c r="K59" s="6" t="inlineStr">
        <is>
          <t>TRƯỢT ❌</t>
        </is>
      </c>
      <c r="L59" s="3" t="inlineStr">
        <is>
          <t>00, 03, 05, 08, 14, 17, 21, 23, 32, 37, 50, 53, 55, 69, 71, 78, 80, 85, 87, 94</t>
        </is>
      </c>
      <c r="M59" s="6" t="inlineStr">
        <is>
          <t>TRƯỢT ❌</t>
        </is>
      </c>
      <c r="N59" s="6" t="inlineStr">
        <is>
          <t>TRƯỢT KHUNG ❌</t>
        </is>
      </c>
      <c r="O59" s="3" t="inlineStr">
        <is>
          <t>00, 03, 05, 08, 12, 14, 17, 19, 21, 23, 26, 28, 30, 32, 35, 37, 41, 44, 46, 49, 50, 53, 55, 58, 62, 64, 67, 69, 71, 73, 76, 78, 80, 82, 85, 87, 91, 94, 96, 99</t>
        </is>
      </c>
    </row>
    <row r="60">
      <c r="A60" s="2" t="n">
        <v>181</v>
      </c>
      <c r="B60" s="2" t="inlineStr">
        <is>
          <t>Chủ nhật ngày 05-07-2026</t>
        </is>
      </c>
      <c r="C60" s="3" t="inlineStr">
        <is>
          <t>Thứ Bảy</t>
        </is>
      </c>
      <c r="D60" s="3" t="inlineStr">
        <is>
          <t>66771</t>
        </is>
      </c>
      <c r="E60" s="3" t="inlineStr">
        <is>
          <t>71</t>
        </is>
      </c>
      <c r="F60" s="3" t="inlineStr">
        <is>
          <t>G7.1, G7.3</t>
        </is>
      </c>
      <c r="G60" s="3" t="inlineStr">
        <is>
          <t>Tổng 0, Tổng 3, Tổng 5, Tổng 8</t>
        </is>
      </c>
      <c r="H60" s="3" t="inlineStr">
        <is>
          <t>0123456789</t>
        </is>
      </c>
      <c r="I60" s="3" t="inlineStr">
        <is>
          <t>Tổng 8-Bóng 3</t>
        </is>
      </c>
      <c r="J60" s="3" t="n">
        <v>40</v>
      </c>
      <c r="K60" s="7" t="inlineStr">
        <is>
          <t>TRÚNG N1 🎯</t>
        </is>
      </c>
      <c r="L60" s="3" t="inlineStr">
        <is>
          <t>00, 03, 05, 08, 14, 17, 21, 23, 32, 37, 41, 50, 53, 55, 69, 78, 80, 85, 87, 94</t>
        </is>
      </c>
      <c r="M60" s="6" t="inlineStr">
        <is>
          <t>TRƯỢT ❌</t>
        </is>
      </c>
      <c r="N60" s="7" t="inlineStr">
        <is>
          <t>TRÚNG N1 🎯</t>
        </is>
      </c>
      <c r="O60" s="3" t="inlineStr">
        <is>
          <t>00, 03, 05, 08, 12, 14, 17, 19, 21, 23, 26, 28, 30, 32, 35, 37, 41, 44, 46, 49, 50, 53, 55, 58, 62, 64, 67, 69, 71, 73, 76, 78, 80, 82, 85, 87, 91, 94, 96, 99</t>
        </is>
      </c>
    </row>
    <row r="61">
      <c r="A61" s="2" t="n">
        <v>180</v>
      </c>
      <c r="B61" s="2" t="inlineStr">
        <is>
          <t>Thứ bảy ngày 04-07-2026</t>
        </is>
      </c>
      <c r="C61" s="3" t="inlineStr">
        <is>
          <t>Thứ Sáu</t>
        </is>
      </c>
      <c r="D61" s="3" t="inlineStr">
        <is>
          <t>14887</t>
        </is>
      </c>
      <c r="E61" s="3" t="inlineStr">
        <is>
          <t>87</t>
        </is>
      </c>
      <c r="F61" s="3" t="inlineStr">
        <is>
          <t>G7.4, G7.1</t>
        </is>
      </c>
      <c r="G61" s="3" t="inlineStr">
        <is>
          <t>Tổng 2, Tổng 4, Tổng 7, Tổng 9</t>
        </is>
      </c>
      <c r="H61" s="3" t="inlineStr">
        <is>
          <t>0123456789</t>
        </is>
      </c>
      <c r="I61" s="3" t="inlineStr">
        <is>
          <t>Tổng 2-Bóng 7</t>
        </is>
      </c>
      <c r="J61" s="3" t="n">
        <v>40</v>
      </c>
      <c r="K61" s="6" t="inlineStr">
        <is>
          <t>TRƯỢT ❌</t>
        </is>
      </c>
      <c r="L61" s="3" t="inlineStr">
        <is>
          <t>04, 11, 13, 16, 25, 36, 39, 40, 43, 52, 54, 59, 61, 63, 68, 75, 81, 84, 89, 93</t>
        </is>
      </c>
      <c r="M61" s="6" t="inlineStr">
        <is>
          <t>TRƯỢT ❌</t>
        </is>
      </c>
      <c r="N61" s="6" t="inlineStr">
        <is>
          <t>TRƯỢT KHUNG ❌</t>
        </is>
      </c>
      <c r="O61" s="3" t="inlineStr">
        <is>
          <t>02, 04, 07, 09, 11, 13, 16, 18, 20, 22, 25, 27, 31, 34, 36, 39, 40, 43, 45, 48, 52, 54, 57, 59, 61, 63, 66, 68, 70, 72, 75, 77, 81, 84, 86, 89, 90, 93, 95, 98</t>
        </is>
      </c>
    </row>
    <row r="62">
      <c r="A62" s="2" t="n">
        <v>179</v>
      </c>
      <c r="B62" s="2" t="inlineStr">
        <is>
          <t>Thứ sáu ngày 03-07-2026</t>
        </is>
      </c>
      <c r="C62" s="3" t="inlineStr">
        <is>
          <t>Thứ Năm</t>
        </is>
      </c>
      <c r="D62" s="3" t="inlineStr">
        <is>
          <t>18165</t>
        </is>
      </c>
      <c r="E62" s="3" t="inlineStr">
        <is>
          <t>65</t>
        </is>
      </c>
      <c r="F62" s="3" t="inlineStr">
        <is>
          <t>G7.4, G7.1</t>
        </is>
      </c>
      <c r="G62" s="3" t="inlineStr">
        <is>
          <t>Tổng 0, Tổng 2, Tổng 4, Tổng 5, Tổng 7, Tổng 9</t>
        </is>
      </c>
      <c r="H62" s="3" t="inlineStr">
        <is>
          <t>02345789</t>
        </is>
      </c>
      <c r="I62" s="3" t="inlineStr">
        <is>
          <t>Tổng 5-Bóng 0</t>
        </is>
      </c>
      <c r="J62" s="3" t="n">
        <v>56</v>
      </c>
      <c r="K62" s="6" t="inlineStr">
        <is>
          <t>TRƯỢT ❌</t>
        </is>
      </c>
      <c r="L62" s="3" t="inlineStr">
        <is>
          <t>00, 04, 05, 14, 23, 32, 36, 37, 39, 43, 50, 52, 54, 55, 68, 69, 78, 84, 89, 93</t>
        </is>
      </c>
      <c r="M62" s="6" t="inlineStr">
        <is>
          <t>TRƯỢT ❌</t>
        </is>
      </c>
      <c r="N62" s="7" t="inlineStr">
        <is>
          <t>TRÚNG N2 🎯</t>
        </is>
      </c>
      <c r="O62" s="3" t="inlineStr">
        <is>
          <t>00, 02, 04, 05, 07, 09, 13, 14, 18, 19, 20, 22, 23, 25, 27, 28, 31, 32, 34, 36, 37, 39, 40, 41, 43, 45, 46, 48, 50, 52, 54, 55, 57, 59, 63, 64, 68, 69, 70, 72, 73, 75, 77, 78, 81, 82, 84, 86, 87, 89, 90, 91, 93, 95, 96, 98</t>
        </is>
      </c>
    </row>
    <row r="63">
      <c r="A63" s="2" t="n">
        <v>178</v>
      </c>
      <c r="B63" s="2" t="inlineStr">
        <is>
          <t>Thứ năm ngày 02-07-2026</t>
        </is>
      </c>
      <c r="C63" s="3" t="inlineStr">
        <is>
          <t>Thứ Tư</t>
        </is>
      </c>
      <c r="D63" s="3" t="inlineStr">
        <is>
          <t>51139</t>
        </is>
      </c>
      <c r="E63" s="3" t="inlineStr">
        <is>
          <t>39</t>
        </is>
      </c>
      <c r="F63" s="3" t="inlineStr">
        <is>
          <t>G7.2, G7.4</t>
        </is>
      </c>
      <c r="G63" s="3" t="inlineStr">
        <is>
          <t>Tổng 2, Tổng 3, Tổng 4, Tổng 7, Tổng 8, Tổng 9</t>
        </is>
      </c>
      <c r="H63" s="3" t="inlineStr">
        <is>
          <t>0123456789</t>
        </is>
      </c>
      <c r="I63" s="3" t="inlineStr">
        <is>
          <t>Tổng 9-Bóng 4</t>
        </is>
      </c>
      <c r="J63" s="3" t="n">
        <v>60</v>
      </c>
      <c r="K63" s="7" t="inlineStr">
        <is>
          <t>TRÚNG N1 🎯</t>
        </is>
      </c>
      <c r="L63" s="3" t="inlineStr">
        <is>
          <t>03, 04, 08, 13, 16, 17, 21, 36, 39, 43, 52, 53, 54, 61, 68, 80, 81, 84, 89, 93</t>
        </is>
      </c>
      <c r="M63" s="7" t="inlineStr">
        <is>
          <t>TRÚNG HỎA LỰC 🎯</t>
        </is>
      </c>
      <c r="N63" s="7" t="inlineStr">
        <is>
          <t>TRÚNG N1 🎯</t>
        </is>
      </c>
      <c r="O6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64">
      <c r="A64" s="2" t="n">
        <v>177</v>
      </c>
      <c r="B64" s="2" t="inlineStr">
        <is>
          <t>Thứ tư ngày 01-07-2026</t>
        </is>
      </c>
      <c r="C64" s="3" t="inlineStr">
        <is>
          <t>Thứ Ba</t>
        </is>
      </c>
      <c r="D64" s="3" t="inlineStr">
        <is>
          <t>31854</t>
        </is>
      </c>
      <c r="E64" s="3" t="inlineStr">
        <is>
          <t>54</t>
        </is>
      </c>
      <c r="F64" s="3" t="inlineStr">
        <is>
          <t>G7.3, G7.4</t>
        </is>
      </c>
      <c r="G64" s="3" t="inlineStr">
        <is>
          <t>Tổng 0, Tổng 1, Tổng 3, Tổng 5, Tổng 6, Tổng 8</t>
        </is>
      </c>
      <c r="H64" s="3" t="inlineStr">
        <is>
          <t>0123456789</t>
        </is>
      </c>
      <c r="I64" s="3" t="inlineStr">
        <is>
          <t>Tổng 5-Bóng 0</t>
        </is>
      </c>
      <c r="J64" s="3" t="n">
        <v>60</v>
      </c>
      <c r="K64" s="6" t="inlineStr">
        <is>
          <t>TRƯỢT ❌</t>
        </is>
      </c>
      <c r="L64" s="3" t="inlineStr">
        <is>
          <t>00, 03, 05, 08, 14, 17, 23, 32, 37, 38, 42, 50, 51, 53, 55, 60, 65, 78, 80, 83</t>
        </is>
      </c>
      <c r="M64" s="6" t="inlineStr">
        <is>
          <t>TRƯỢT ❌</t>
        </is>
      </c>
      <c r="N64" s="7" t="inlineStr">
        <is>
          <t>TRÚNG N3 🎯</t>
        </is>
      </c>
      <c r="O64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65">
      <c r="A65" s="2" t="n">
        <v>176</v>
      </c>
      <c r="B65" s="2" t="inlineStr">
        <is>
          <t>Thứ ba ngày 30-06-2026</t>
        </is>
      </c>
      <c r="C65" s="3" t="inlineStr">
        <is>
          <t>Thứ Hai</t>
        </is>
      </c>
      <c r="D65" s="3" t="inlineStr">
        <is>
          <t>60468</t>
        </is>
      </c>
      <c r="E65" s="3" t="inlineStr">
        <is>
          <t>68</t>
        </is>
      </c>
      <c r="F65" s="3" t="inlineStr">
        <is>
          <t>G7.4, G7.2</t>
        </is>
      </c>
      <c r="G65" s="3" t="inlineStr">
        <is>
          <t>Tổng 2, Tổng 3, Tổng 4, Tổng 7, Tổng 8, Tổng 9</t>
        </is>
      </c>
      <c r="H65" s="3" t="inlineStr">
        <is>
          <t>02345789</t>
        </is>
      </c>
      <c r="I65" s="3" t="inlineStr">
        <is>
          <t>Tổng 9-Bóng 4</t>
        </is>
      </c>
      <c r="J65" s="3" t="n">
        <v>56</v>
      </c>
      <c r="K65" s="7" t="inlineStr">
        <is>
          <t>TRÚNG N1 🎯</t>
        </is>
      </c>
      <c r="L65" s="3" t="inlineStr">
        <is>
          <t>03, 04, 08, 13, 17, 21, 36, 39, 40, 43, 52, 53, 54, 68, 80, 81, 84, 89, 93, 94</t>
        </is>
      </c>
      <c r="M65" s="7" t="inlineStr">
        <is>
          <t>TRÚNG HỎA LỰC 🎯</t>
        </is>
      </c>
      <c r="N65" s="7" t="inlineStr">
        <is>
          <t>TRÚNG N1 🎯</t>
        </is>
      </c>
      <c r="O65" s="3" t="inlineStr">
        <is>
          <t>02, 03, 04, 07, 08, 09, 12, 13, 17, 18, 20, 21, 22, 25, 26, 27, 30, 31, 34, 35, 36, 39, 40, 43, 44, 45, 48, 49, 52, 53, 54, 57, 58, 59, 62, 63, 67, 68, 70, 71, 72, 75, 76, 77, 80, 81, 84, 85, 86, 89, 90, 93, 94, 95, 98, 99</t>
        </is>
      </c>
    </row>
    <row r="66">
      <c r="A66" s="2" t="n">
        <v>175</v>
      </c>
      <c r="B66" s="2" t="inlineStr">
        <is>
          <t>Thứ hai ngày 29-06-2026</t>
        </is>
      </c>
      <c r="C66" s="3" t="inlineStr">
        <is>
          <t>Chủ Nhật</t>
        </is>
      </c>
      <c r="D66" s="3" t="inlineStr">
        <is>
          <t>37642</t>
        </is>
      </c>
      <c r="E66" s="3" t="inlineStr">
        <is>
          <t>42</t>
        </is>
      </c>
      <c r="F66" s="3" t="inlineStr">
        <is>
          <t>G7.3, G7.4</t>
        </is>
      </c>
      <c r="G66" s="3" t="inlineStr">
        <is>
          <t>Tổng 0, Tổng 4, Tổng 5, Tổng 9</t>
        </is>
      </c>
      <c r="H66" s="3" t="inlineStr">
        <is>
          <t>01345689</t>
        </is>
      </c>
      <c r="I66" s="3" t="inlineStr">
        <is>
          <t>Tổng 4-Bóng 9</t>
        </is>
      </c>
      <c r="J66" s="3" t="n">
        <v>36</v>
      </c>
      <c r="K66" s="6" t="inlineStr">
        <is>
          <t>TRƯỢT ❌</t>
        </is>
      </c>
      <c r="L66" s="3" t="inlineStr">
        <is>
          <t>00, 04, 05, 13, 14, 23, 28, 32, 36, 37, 40, 41, 50, 54, 55, 64, 68, 69, 78, 81</t>
        </is>
      </c>
      <c r="M66" s="6" t="inlineStr">
        <is>
          <t>TRƯỢT ❌</t>
        </is>
      </c>
      <c r="N66" s="7" t="inlineStr">
        <is>
          <t>TRÚNG N2 🎯</t>
        </is>
      </c>
      <c r="O66" s="3" t="inlineStr">
        <is>
          <t>00, 04, 05, 09, 13, 14, 18, 19, 23, 28, 31, 32, 36, 37, 40, 41, 45, 46, 50, 54, 55, 59, 63, 64, 68, 69, 73, 78, 81, 82, 86, 87, 90, 91, 95, 96</t>
        </is>
      </c>
    </row>
    <row r="67">
      <c r="A67" s="2" t="n">
        <v>174</v>
      </c>
      <c r="B67" s="2" t="inlineStr">
        <is>
          <t>Chủ nhật ngày 28-06-2026</t>
        </is>
      </c>
      <c r="C67" s="3" t="inlineStr">
        <is>
          <t>Thứ Bảy</t>
        </is>
      </c>
      <c r="D67" s="3" t="inlineStr">
        <is>
          <t>12452</t>
        </is>
      </c>
      <c r="E67" s="3" t="inlineStr">
        <is>
          <t>52</t>
        </is>
      </c>
      <c r="F67" s="3" t="inlineStr">
        <is>
          <t>G7.1, G7.3</t>
        </is>
      </c>
      <c r="G67" s="3" t="inlineStr">
        <is>
          <t>Tổng 0, Tổng 2, Tổng 4, Tổng 5, Tổng 7, Tổng 9</t>
        </is>
      </c>
      <c r="H67" s="3" t="inlineStr">
        <is>
          <t>01345689</t>
        </is>
      </c>
      <c r="I67" s="3" t="inlineStr">
        <is>
          <t>Tổng 7-Bóng 2</t>
        </is>
      </c>
      <c r="J67" s="3" t="n">
        <v>56</v>
      </c>
      <c r="K67" s="7" t="inlineStr">
        <is>
          <t>TRÚNG N1 🎯</t>
        </is>
      </c>
      <c r="L67" s="3" t="inlineStr">
        <is>
          <t>00, 04, 05, 14, 16, 23, 32, 36, 37, 39, 43, 50, 54, 55, 64, 69, 78, 84, 89, 93</t>
        </is>
      </c>
      <c r="M67" s="6" t="inlineStr">
        <is>
          <t>TRƯỢT ❌</t>
        </is>
      </c>
      <c r="N67" s="7" t="inlineStr">
        <is>
          <t>TRÚNG N1 🎯</t>
        </is>
      </c>
      <c r="O67" s="3" t="inlineStr">
        <is>
          <t>00, 02, 04, 05, 07, 09, 11, 13, 14, 16, 18, 19, 20, 23, 25, 28, 31, 32, 34, 36, 37, 39, 40, 41, 43, 45, 46, 48, 50, 52, 54, 55, 57, 59, 61, 63, 64, 66, 68, 69, 70, 73, 75, 78, 81, 82, 84, 86, 87, 89, 90, 91, 93, 95, 96, 98</t>
        </is>
      </c>
    </row>
    <row r="68">
      <c r="A68" s="2" t="n">
        <v>173</v>
      </c>
      <c r="B68" s="2" t="inlineStr">
        <is>
          <t>Thứ bảy ngày 27-06-2026</t>
        </is>
      </c>
      <c r="C68" s="3" t="inlineStr">
        <is>
          <t>Thứ Sáu</t>
        </is>
      </c>
      <c r="D68" s="3" t="inlineStr">
        <is>
          <t>09253</t>
        </is>
      </c>
      <c r="E68" s="3" t="inlineStr">
        <is>
          <t>53</t>
        </is>
      </c>
      <c r="F68" s="3" t="inlineStr">
        <is>
          <t>G7.4, G7.1</t>
        </is>
      </c>
      <c r="G68" s="3" t="inlineStr">
        <is>
          <t>Tổng 0, Tổng 2, Tổng 5, Tổng 7</t>
        </is>
      </c>
      <c r="H68" s="3" t="inlineStr">
        <is>
          <t>02345789</t>
        </is>
      </c>
      <c r="I68" s="3" t="inlineStr">
        <is>
          <t>Tổng 0-Bóng 5</t>
        </is>
      </c>
      <c r="J68" s="3" t="n">
        <v>36</v>
      </c>
      <c r="K68" s="6" t="inlineStr">
        <is>
          <t>TRƯỢT ❌</t>
        </is>
      </c>
      <c r="L68" s="3" t="inlineStr">
        <is>
          <t>00, 05, 14, 23, 25, 28, 32, 37, 39, 41, 43, 50, 55, 64, 69, 75, 78, 84, 89, 93</t>
        </is>
      </c>
      <c r="M68" s="6" t="inlineStr">
        <is>
          <t>TRƯỢT ❌</t>
        </is>
      </c>
      <c r="N68" s="7" t="inlineStr">
        <is>
          <t>TRÚNG N2 🎯</t>
        </is>
      </c>
      <c r="O68" s="3" t="inlineStr">
        <is>
          <t>00, 02, 05, 07, 14, 19, 20, 23, 25, 28, 32, 34, 37, 39, 41, 43, 46, 48, 50, 52, 55, 57, 64, 69, 70, 73, 75, 78, 82, 84, 87, 89, 91, 93, 96, 98</t>
        </is>
      </c>
    </row>
    <row r="69">
      <c r="A69" s="2" t="n">
        <v>172</v>
      </c>
      <c r="B69" s="2" t="inlineStr">
        <is>
          <t>Thứ sáu ngày 26-06-2026</t>
        </is>
      </c>
      <c r="C69" s="3" t="inlineStr">
        <is>
          <t>Thứ Năm</t>
        </is>
      </c>
      <c r="D69" s="3" t="inlineStr">
        <is>
          <t>54804</t>
        </is>
      </c>
      <c r="E69" s="3" t="inlineStr">
        <is>
          <t>04</t>
        </is>
      </c>
      <c r="F69" s="3" t="inlineStr">
        <is>
          <t>G7.4, G7.1</t>
        </is>
      </c>
      <c r="G69" s="3" t="inlineStr">
        <is>
          <t>Tổng 0, Tổng 1, Tổng 3, Tổng 5, Tổng 6, Tổng 8</t>
        </is>
      </c>
      <c r="H69" s="3" t="inlineStr">
        <is>
          <t>013568</t>
        </is>
      </c>
      <c r="I69" s="3" t="inlineStr">
        <is>
          <t>Tổng 3-Bóng 8</t>
        </is>
      </c>
      <c r="J69" s="3" t="n">
        <v>48</v>
      </c>
      <c r="K69" s="6" t="inlineStr">
        <is>
          <t>TRƯỢT ❌</t>
        </is>
      </c>
      <c r="L69" s="3" t="inlineStr">
        <is>
          <t>00, 03, 05, 08, 14, 17, 23, 32, 37, 38, 50, 51, 53, 55, 60, 65, 69, 78, 80, 83</t>
        </is>
      </c>
      <c r="M69" s="6" t="inlineStr">
        <is>
          <t>TRƯỢT ❌</t>
        </is>
      </c>
      <c r="N69" s="7" t="inlineStr">
        <is>
          <t>TRÚNG N2 🎯</t>
        </is>
      </c>
      <c r="O69" s="3" t="inlineStr">
        <is>
          <t>00, 01, 03, 05, 06, 08, 10, 12, 14, 15, 17, 19, 21, 23, 26, 28, 30, 32, 33, 35, 37, 38, 41, 46, 50, 51, 53, 55, 56, 58, 60, 62, 64, 65, 67, 69, 71, 73, 76, 78, 80, 82, 83, 85, 87, 88, 91, 96</t>
        </is>
      </c>
    </row>
    <row r="70">
      <c r="A70" s="2" t="n">
        <v>171</v>
      </c>
      <c r="B70" s="2" t="inlineStr">
        <is>
          <t>Thứ năm ngày 25-06-2026</t>
        </is>
      </c>
      <c r="C70" s="3" t="inlineStr">
        <is>
          <t>Thứ Tư</t>
        </is>
      </c>
      <c r="D70" s="3" t="inlineStr">
        <is>
          <t>01816</t>
        </is>
      </c>
      <c r="E70" s="3" t="inlineStr">
        <is>
          <t>16</t>
        </is>
      </c>
      <c r="F70" s="3" t="inlineStr">
        <is>
          <t>G7.2, G7.4</t>
        </is>
      </c>
      <c r="G70" s="3" t="inlineStr">
        <is>
          <t>Tổng 0, Tổng 3, Tổng 4, Tổng 5, Tổng 8, Tổng 9</t>
        </is>
      </c>
      <c r="H70" s="3" t="inlineStr">
        <is>
          <t>0123456789</t>
        </is>
      </c>
      <c r="I70" s="3" t="inlineStr">
        <is>
          <t>Tổng 0-Bóng 5</t>
        </is>
      </c>
      <c r="J70" s="3" t="n">
        <v>60</v>
      </c>
      <c r="K70" s="6" t="inlineStr">
        <is>
          <t>TRƯỢT ❌</t>
        </is>
      </c>
      <c r="L70" s="3" t="inlineStr">
        <is>
          <t>00, 03, 04, 05, 08, 13, 14, 17, 23, 32, 36, 37, 50, 53, 54, 55, 64, 69, 78, 80</t>
        </is>
      </c>
      <c r="M70" s="6" t="inlineStr">
        <is>
          <t>TRƯỢT ❌</t>
        </is>
      </c>
      <c r="N70" s="7" t="inlineStr">
        <is>
          <t>TRÚNG N2 🎯</t>
        </is>
      </c>
      <c r="O70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71">
      <c r="A71" s="2" t="n">
        <v>170</v>
      </c>
      <c r="B71" s="2" t="inlineStr">
        <is>
          <t>Thứ tư ngày 24-06-2026</t>
        </is>
      </c>
      <c r="C71" s="3" t="inlineStr">
        <is>
          <t>Thứ Ba</t>
        </is>
      </c>
      <c r="D71" s="3" t="inlineStr">
        <is>
          <t>52751</t>
        </is>
      </c>
      <c r="E71" s="3" t="inlineStr">
        <is>
          <t>51</t>
        </is>
      </c>
      <c r="F71" s="3" t="inlineStr">
        <is>
          <t>G7.3, G7.4</t>
        </is>
      </c>
      <c r="G71" s="3" t="inlineStr">
        <is>
          <t>Tổng 0, Tổng 2, Tổng 3, Tổng 5, Tổng 7, Tổng 8</t>
        </is>
      </c>
      <c r="H71" s="3" t="inlineStr">
        <is>
          <t>12346789</t>
        </is>
      </c>
      <c r="I71" s="3" t="inlineStr">
        <is>
          <t>Tổng 5-Bóng 0</t>
        </is>
      </c>
      <c r="J71" s="3" t="n">
        <v>56</v>
      </c>
      <c r="K71" s="6" t="inlineStr">
        <is>
          <t>TRƯỢT ❌</t>
        </is>
      </c>
      <c r="L71" s="3" t="inlineStr">
        <is>
          <t>03, 08, 11, 14, 17, 23, 32, 37, 39, 41, 43, 53, 61, 64, 69, 78, 80, 84, 89, 93</t>
        </is>
      </c>
      <c r="M71" s="6" t="inlineStr">
        <is>
          <t>TRƯỢT ❌</t>
        </is>
      </c>
      <c r="N71" s="7" t="inlineStr">
        <is>
          <t>TRÚNG N2 🎯</t>
        </is>
      </c>
      <c r="O71" s="3" t="inlineStr">
        <is>
          <t>02, 03, 07, 08, 11, 12, 14, 16, 17, 19, 20, 21, 23, 25, 26, 28, 30, 32, 34, 35, 37, 39, 41, 43, 44, 46, 48, 49, 52, 53, 57, 58, 61, 62, 64, 66, 67, 69, 70, 71, 73, 75, 76, 78, 80, 82, 84, 85, 87, 89, 91, 93, 94, 96, 98, 99</t>
        </is>
      </c>
    </row>
    <row r="72">
      <c r="A72" s="2" t="n">
        <v>169</v>
      </c>
      <c r="B72" s="2" t="inlineStr">
        <is>
          <t>Thứ ba ngày 23-06-2026</t>
        </is>
      </c>
      <c r="C72" s="3" t="inlineStr">
        <is>
          <t>Thứ Hai</t>
        </is>
      </c>
      <c r="D72" s="3" t="inlineStr">
        <is>
          <t>50437</t>
        </is>
      </c>
      <c r="E72" s="3" t="inlineStr">
        <is>
          <t>37</t>
        </is>
      </c>
      <c r="F72" s="3" t="inlineStr">
        <is>
          <t>G7.2, G7.4</t>
        </is>
      </c>
      <c r="G72" s="3" t="inlineStr">
        <is>
          <t>Tổng 1, Tổng 4, Tổng 6, Tổng 9</t>
        </is>
      </c>
      <c r="H72" s="3" t="inlineStr">
        <is>
          <t>02345789</t>
        </is>
      </c>
      <c r="I72" s="3" t="inlineStr">
        <is>
          <t>Tổng 6-Bóng 1</t>
        </is>
      </c>
      <c r="J72" s="3" t="n">
        <v>40</v>
      </c>
      <c r="K72" s="6" t="inlineStr">
        <is>
          <t>TRƯỢT ❌</t>
        </is>
      </c>
      <c r="L72" s="3" t="inlineStr">
        <is>
          <t>04, 13, 22, 33, 36, 38, 40, 42, 47, 51, 54, 59, 60, 65, 68, 81, 83, 88, 92, 97</t>
        </is>
      </c>
      <c r="M72" s="6" t="inlineStr">
        <is>
          <t>TRƯỢT ❌</t>
        </is>
      </c>
      <c r="N72" s="7" t="inlineStr">
        <is>
          <t>TRÚNG N2 🎯</t>
        </is>
      </c>
      <c r="O72" s="3" t="inlineStr">
        <is>
          <t>01, 04, 06, 09, 10, 13, 15, 18, 22, 24, 27, 29, 31, 33, 36, 38, 40, 42, 45, 47, 51, 54, 56, 59, 60, 63, 65, 68, 72, 74, 77, 79, 81, 83, 86, 88, 90, 92, 95, 97</t>
        </is>
      </c>
    </row>
    <row r="73">
      <c r="A73" s="2" t="n">
        <v>168</v>
      </c>
      <c r="B73" s="2" t="inlineStr">
        <is>
          <t>Thứ hai ngày 22-06-2026</t>
        </is>
      </c>
      <c r="C73" s="3" t="inlineStr">
        <is>
          <t>Chủ Nhật</t>
        </is>
      </c>
      <c r="D73" s="3" t="inlineStr">
        <is>
          <t>62136</t>
        </is>
      </c>
      <c r="E73" s="3" t="inlineStr">
        <is>
          <t>36</t>
        </is>
      </c>
      <c r="F73" s="3" t="inlineStr">
        <is>
          <t>G7.3, G7.4</t>
        </is>
      </c>
      <c r="G73" s="3" t="inlineStr">
        <is>
          <t>Tổng 2, Tổng 4, Tổng 7, Tổng 9</t>
        </is>
      </c>
      <c r="H73" s="3" t="inlineStr">
        <is>
          <t>0123456789</t>
        </is>
      </c>
      <c r="I73" s="3" t="inlineStr">
        <is>
          <t>Tổng 2-Bóng 7</t>
        </is>
      </c>
      <c r="J73" s="3" t="n">
        <v>40</v>
      </c>
      <c r="K73" s="7" t="inlineStr">
        <is>
          <t>TRÚNG N1 🎯</t>
        </is>
      </c>
      <c r="L73" s="3" t="inlineStr">
        <is>
          <t>04, 11, 13, 22, 25, 36, 39, 40, 43, 48, 54, 59, 61, 63, 68, 75, 81, 84, 89, 93</t>
        </is>
      </c>
      <c r="M73" s="7" t="inlineStr">
        <is>
          <t>TRÚNG HỎA LỰC 🎯</t>
        </is>
      </c>
      <c r="N73" s="7" t="inlineStr">
        <is>
          <t>TRÚNG N1 🎯</t>
        </is>
      </c>
      <c r="O73" s="3" t="inlineStr">
        <is>
          <t>02, 04, 07, 09, 11, 13, 16, 18, 20, 22, 25, 27, 31, 34, 36, 39, 40, 43, 45, 48, 52, 54, 57, 59, 61, 63, 66, 68, 70, 72, 75, 77, 81, 84, 86, 89, 90, 93, 95, 98</t>
        </is>
      </c>
    </row>
    <row r="74">
      <c r="A74" s="2" t="n">
        <v>167</v>
      </c>
      <c r="B74" s="2" t="inlineStr">
        <is>
          <t>Chủ nhật ngày 21-06-2026</t>
        </is>
      </c>
      <c r="C74" s="3" t="inlineStr">
        <is>
          <t>Thứ Bảy</t>
        </is>
      </c>
      <c r="D74" s="3" t="inlineStr">
        <is>
          <t>28083</t>
        </is>
      </c>
      <c r="E74" s="3" t="inlineStr">
        <is>
          <t>83</t>
        </is>
      </c>
      <c r="F74" s="3" t="inlineStr">
        <is>
          <t>G7.1, G7.3</t>
        </is>
      </c>
      <c r="G74" s="3" t="inlineStr">
        <is>
          <t>Tổng 0, Tổng 2, Tổng 3, Tổng 5, Tổng 7, Tổng 8</t>
        </is>
      </c>
      <c r="H74" s="3" t="inlineStr">
        <is>
          <t>0123456789</t>
        </is>
      </c>
      <c r="I74" s="3" t="inlineStr">
        <is>
          <t>Tổng 7-Bóng 2</t>
        </is>
      </c>
      <c r="J74" s="3" t="n">
        <v>60</v>
      </c>
      <c r="K74" s="6" t="inlineStr">
        <is>
          <t>TRƯỢT ❌</t>
        </is>
      </c>
      <c r="L74" s="3" t="inlineStr">
        <is>
          <t>00, 03, 05, 08, 11, 14, 17, 21, 23, 32, 39, 43, 50, 53, 55, 78, 80, 84, 89, 93</t>
        </is>
      </c>
      <c r="M74" s="6" t="inlineStr">
        <is>
          <t>TRƯỢT ❌</t>
        </is>
      </c>
      <c r="N74" s="7" t="inlineStr">
        <is>
          <t>TRÚNG N3 🎯</t>
        </is>
      </c>
      <c r="O7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75">
      <c r="A75" s="2" t="n">
        <v>166</v>
      </c>
      <c r="B75" s="2" t="inlineStr">
        <is>
          <t>Thứ bảy ngày 20-06-2026</t>
        </is>
      </c>
      <c r="C75" s="3" t="inlineStr">
        <is>
          <t>Thứ Sáu</t>
        </is>
      </c>
      <c r="D75" s="3" t="inlineStr">
        <is>
          <t>54860</t>
        </is>
      </c>
      <c r="E75" s="3" t="inlineStr">
        <is>
          <t>60</t>
        </is>
      </c>
      <c r="F75" s="3" t="inlineStr">
        <is>
          <t>G7.4, G7.1</t>
        </is>
      </c>
      <c r="G75" s="3" t="inlineStr">
        <is>
          <t>Tổng 0, Tổng 3, Tổng 5, Tổng 8</t>
        </is>
      </c>
      <c r="H75" s="3" t="inlineStr">
        <is>
          <t>01345689</t>
        </is>
      </c>
      <c r="I75" s="3" t="inlineStr">
        <is>
          <t>Tổng 0-Bóng 5</t>
        </is>
      </c>
      <c r="J75" s="3" t="n">
        <v>40</v>
      </c>
      <c r="K75" s="6" t="inlineStr">
        <is>
          <t>TRƯỢT ❌</t>
        </is>
      </c>
      <c r="L75" s="3" t="inlineStr">
        <is>
          <t>00, 03, 05, 08, 14, 17, 21, 23, 32, 37, 41, 50, 53, 55, 64, 69, 76, 78, 80, 85</t>
        </is>
      </c>
      <c r="M75" s="6" t="inlineStr">
        <is>
          <t>TRƯỢT ❌</t>
        </is>
      </c>
      <c r="N75" s="6" t="inlineStr">
        <is>
          <t>TRƯỢT KHUNG ❌</t>
        </is>
      </c>
      <c r="O75" s="3" t="inlineStr">
        <is>
          <t>00, 03, 05, 08, 12, 14, 17, 19, 21, 23, 26, 28, 30, 32, 35, 37, 41, 44, 46, 49, 50, 53, 55, 58, 62, 64, 67, 69, 71, 73, 76, 78, 80, 82, 85, 87, 91, 94, 96, 99</t>
        </is>
      </c>
    </row>
    <row r="76">
      <c r="A76" s="2" t="n">
        <v>165</v>
      </c>
      <c r="B76" s="2" t="inlineStr">
        <is>
          <t>Thứ sáu ngày 19-06-2026</t>
        </is>
      </c>
      <c r="C76" s="3" t="inlineStr">
        <is>
          <t>Thứ Năm</t>
        </is>
      </c>
      <c r="D76" s="3" t="inlineStr">
        <is>
          <t>63155</t>
        </is>
      </c>
      <c r="E76" s="3" t="inlineStr">
        <is>
          <t>55</t>
        </is>
      </c>
      <c r="F76" s="3" t="inlineStr">
        <is>
          <t>G7.4, G7.1</t>
        </is>
      </c>
      <c r="G76" s="3" t="inlineStr">
        <is>
          <t>Tổng 1, Tổng 4, Tổng 6, Tổng 9</t>
        </is>
      </c>
      <c r="H76" s="3" t="inlineStr">
        <is>
          <t>013568</t>
        </is>
      </c>
      <c r="I76" s="3" t="inlineStr">
        <is>
          <t>Tổng 1-Bóng 6</t>
        </is>
      </c>
      <c r="J76" s="3" t="n">
        <v>28</v>
      </c>
      <c r="K76" s="6" t="inlineStr">
        <is>
          <t>TRƯỢT ❌</t>
        </is>
      </c>
      <c r="L76" s="3" t="inlineStr">
        <is>
          <t>04, 06, 09, 13, 18, 33, 36, 38, 40, 45, 51, 54, 59, 60, 63, 65, 68, 81, 83, 88</t>
        </is>
      </c>
      <c r="M76" s="6" t="inlineStr">
        <is>
          <t>TRƯỢT ❌</t>
        </is>
      </c>
      <c r="N76" s="7" t="inlineStr">
        <is>
          <t>TRÚNG N2 🎯</t>
        </is>
      </c>
      <c r="O76" s="3" t="inlineStr">
        <is>
          <t>01, 04, 06, 09, 10, 13, 15, 18, 31, 33, 36, 38, 40, 45, 51, 54, 56, 59, 60, 63, 65, 68, 81, 83, 86, 88, 90, 95</t>
        </is>
      </c>
    </row>
    <row r="77">
      <c r="A77" s="2" t="n">
        <v>164</v>
      </c>
      <c r="B77" s="2" t="inlineStr">
        <is>
          <t>Thứ năm ngày 18-06-2026</t>
        </is>
      </c>
      <c r="C77" s="3" t="inlineStr">
        <is>
          <t>Thứ Tư</t>
        </is>
      </c>
      <c r="D77" s="3" t="inlineStr">
        <is>
          <t>15032</t>
        </is>
      </c>
      <c r="E77" s="3" t="inlineStr">
        <is>
          <t>32</t>
        </is>
      </c>
      <c r="F77" s="3" t="inlineStr">
        <is>
          <t>G7.2, G7.1</t>
        </is>
      </c>
      <c r="G77" s="3" t="inlineStr">
        <is>
          <t>Tổng 2, Tổng 3, Tổng 4, Tổng 7, Tổng 8, Tổng 9</t>
        </is>
      </c>
      <c r="H77" s="3" t="inlineStr">
        <is>
          <t>124679</t>
        </is>
      </c>
      <c r="I77" s="3" t="inlineStr">
        <is>
          <t>Tổng 9-Bóng 4</t>
        </is>
      </c>
      <c r="J77" s="3" t="n">
        <v>52</v>
      </c>
      <c r="K77" s="6" t="inlineStr">
        <is>
          <t>TRƯỢT ❌</t>
        </is>
      </c>
      <c r="L77" s="3" t="inlineStr">
        <is>
          <t>04, 11, 13, 17, 21, 25, 36, 39, 40, 43, 54, 61, 68, 75, 76, 81, 84, 89, 93, 94</t>
        </is>
      </c>
      <c r="M77" s="6" t="inlineStr">
        <is>
          <t>TRƯỢT ❌</t>
        </is>
      </c>
      <c r="N77" s="6" t="inlineStr">
        <is>
          <t>TRƯỢT KHUNG ❌</t>
        </is>
      </c>
      <c r="O77" s="3" t="inlineStr">
        <is>
          <t>02, 04, 07, 09, 11, 12, 13, 16, 17, 18, 20, 21, 22, 25, 26, 27, 31, 34, 36, 39, 40, 43, 44, 45, 48, 49, 52, 54, 57, 59, 61, 62, 63, 66, 67, 68, 70, 71, 72, 75, 76, 77, 81, 84, 86, 89, 90, 93, 94, 95, 98, 99</t>
        </is>
      </c>
    </row>
    <row r="78">
      <c r="A78" s="2" t="n">
        <v>163</v>
      </c>
      <c r="B78" s="2" t="inlineStr">
        <is>
          <t>Thứ tư ngày 17-06-2026</t>
        </is>
      </c>
      <c r="C78" s="3" t="inlineStr">
        <is>
          <t>Thứ Ba</t>
        </is>
      </c>
      <c r="D78" s="3" t="inlineStr">
        <is>
          <t>71203</t>
        </is>
      </c>
      <c r="E78" s="3" t="inlineStr">
        <is>
          <t>03</t>
        </is>
      </c>
      <c r="F78" s="3" t="inlineStr">
        <is>
          <t>G7.3, G7.4</t>
        </is>
      </c>
      <c r="G78" s="3" t="inlineStr">
        <is>
          <t>Tổng 0, Tổng 1, Tổng 2, Tổng 5, Tổng 6, Tổng 7</t>
        </is>
      </c>
      <c r="H78" s="3" t="inlineStr">
        <is>
          <t>01245679</t>
        </is>
      </c>
      <c r="I78" s="3" t="inlineStr">
        <is>
          <t>Tổng 1-Bóng 6</t>
        </is>
      </c>
      <c r="J78" s="3" t="n">
        <v>56</v>
      </c>
      <c r="K78" s="6" t="inlineStr">
        <is>
          <t>TRƯỢT ❌</t>
        </is>
      </c>
      <c r="L78" s="3" t="inlineStr">
        <is>
          <t>00, 05, 11, 14, 23, 25, 32, 39, 42, 43, 50, 51, 61, 64, 65, 69, 78, 84, 89, 93</t>
        </is>
      </c>
      <c r="M78" s="6" t="inlineStr">
        <is>
          <t>TRƯỢT ❌</t>
        </is>
      </c>
      <c r="N78" s="7" t="inlineStr">
        <is>
          <t>TRÚNG N2 🎯</t>
        </is>
      </c>
      <c r="O78" s="3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  <row r="79">
      <c r="A79" s="2" t="n">
        <v>162</v>
      </c>
      <c r="B79" s="2" t="inlineStr">
        <is>
          <t>Thứ ba ngày 16-06-2026</t>
        </is>
      </c>
      <c r="C79" s="3" t="inlineStr">
        <is>
          <t>Thứ Hai</t>
        </is>
      </c>
      <c r="D79" s="3" t="inlineStr">
        <is>
          <t>80384</t>
        </is>
      </c>
      <c r="E79" s="3" t="inlineStr">
        <is>
          <t>84</t>
        </is>
      </c>
      <c r="F79" s="3" t="inlineStr">
        <is>
          <t>G7.4, G7.2</t>
        </is>
      </c>
      <c r="G79" s="3" t="inlineStr">
        <is>
          <t>Tổng 0, Tổng 1, Tổng 4, Tổng 5, Tổng 6, Tổng 9</t>
        </is>
      </c>
      <c r="H79" s="3" t="inlineStr">
        <is>
          <t>01235678</t>
        </is>
      </c>
      <c r="I79" s="3" t="inlineStr">
        <is>
          <t>Tổng 6-Bóng 1</t>
        </is>
      </c>
      <c r="J79" s="3" t="n">
        <v>60</v>
      </c>
      <c r="K79" s="6" t="inlineStr">
        <is>
          <t>TRƯỢT ❌</t>
        </is>
      </c>
      <c r="L79" s="3" t="inlineStr">
        <is>
          <t>00, 04, 05, 13, 14, 23, 36, 38, 42, 50, 51, 54, 55, 64, 65, 68, 69, 78, 81, 83</t>
        </is>
      </c>
      <c r="M79" s="6" t="inlineStr">
        <is>
          <t>TRƯỢT ❌</t>
        </is>
      </c>
      <c r="N79" s="7" t="inlineStr">
        <is>
          <t>TRÚNG N3 🎯</t>
        </is>
      </c>
      <c r="O7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80">
      <c r="A80" s="2" t="n">
        <v>161</v>
      </c>
      <c r="B80" s="2" t="inlineStr">
        <is>
          <t>Thứ hai ngày 15-06-2026</t>
        </is>
      </c>
      <c r="C80" s="3" t="inlineStr">
        <is>
          <t>Chủ Nhật</t>
        </is>
      </c>
      <c r="D80" s="3" t="inlineStr">
        <is>
          <t>71680</t>
        </is>
      </c>
      <c r="E80" s="3" t="inlineStr">
        <is>
          <t>80</t>
        </is>
      </c>
      <c r="F80" s="3" t="inlineStr">
        <is>
          <t>G7.3, G7.1</t>
        </is>
      </c>
      <c r="G80" s="3" t="inlineStr">
        <is>
          <t>Tổng 0, Tổng 2, Tổng 5, Tổng 7</t>
        </is>
      </c>
      <c r="H80" s="3" t="inlineStr">
        <is>
          <t>134689</t>
        </is>
      </c>
      <c r="I80" s="3" t="inlineStr">
        <is>
          <t>Tổng 2-Bóng 7</t>
        </is>
      </c>
      <c r="J80" s="3" t="n">
        <v>28</v>
      </c>
      <c r="K80" s="6" t="inlineStr">
        <is>
          <t>TRƯỢT ❌</t>
        </is>
      </c>
      <c r="L80" s="3" t="inlineStr">
        <is>
          <t>11, 14, 23, 28, 32, 37, 39, 41, 43, 46, 48, 61, 64, 69, 78, 82, 84, 89, 91, 93</t>
        </is>
      </c>
      <c r="M80" s="6" t="inlineStr">
        <is>
          <t>TRƯỢT ❌</t>
        </is>
      </c>
      <c r="N80" s="7" t="inlineStr">
        <is>
          <t>TRÚNG N2 🎯</t>
        </is>
      </c>
      <c r="O80" s="3" t="inlineStr">
        <is>
          <t>11, 14, 16, 19, 23, 28, 32, 34, 37, 39, 41, 43, 46, 48, 61, 64, 66, 69, 73, 78, 82, 84, 87, 89, 91, 93, 96, 98</t>
        </is>
      </c>
    </row>
    <row r="81">
      <c r="A81" s="2" t="n">
        <v>160</v>
      </c>
      <c r="B81" s="2" t="inlineStr">
        <is>
          <t>Chủ nhật ngày 14-06-2026</t>
        </is>
      </c>
      <c r="C81" s="3" t="inlineStr">
        <is>
          <t>Thứ Bảy</t>
        </is>
      </c>
      <c r="D81" s="3" t="inlineStr">
        <is>
          <t>63000</t>
        </is>
      </c>
      <c r="E81" s="3" t="inlineStr">
        <is>
          <t>00</t>
        </is>
      </c>
      <c r="F81" s="3" t="inlineStr">
        <is>
          <t>G7.1, G7.3</t>
        </is>
      </c>
      <c r="G81" s="3" t="inlineStr">
        <is>
          <t>Tổng 1, Tổng 2, Tổng 6, Tổng 7</t>
        </is>
      </c>
      <c r="H81" s="3" t="inlineStr">
        <is>
          <t>0123456789</t>
        </is>
      </c>
      <c r="I81" s="3" t="inlineStr">
        <is>
          <t>Tổng 2-Bóng 7</t>
        </is>
      </c>
      <c r="J81" s="3" t="n">
        <v>40</v>
      </c>
      <c r="K81" s="6" t="inlineStr">
        <is>
          <t>TRƯỢT ❌</t>
        </is>
      </c>
      <c r="L81" s="3" t="inlineStr">
        <is>
          <t>11, 25, 33, 38, 39, 42, 43, 47, 48, 51, 61, 65, 75, 83, 84, 88, 89, 92, 93, 97</t>
        </is>
      </c>
      <c r="M81" s="6" t="inlineStr">
        <is>
          <t>TRƯỢT ❌</t>
        </is>
      </c>
      <c r="N81" s="7" t="inlineStr">
        <is>
          <t>TRÚNG N3 🎯</t>
        </is>
      </c>
      <c r="O81" s="3" t="inlineStr">
        <is>
          <t>01, 02, 06, 07, 10, 11, 15, 16, 20, 24, 25, 29, 33, 34, 38, 39, 42, 43, 47, 48, 51, 52, 56, 57, 60, 61, 65, 66, 70, 74, 75, 79, 83, 84, 88, 89, 92, 93, 97, 98</t>
        </is>
      </c>
    </row>
    <row r="82">
      <c r="A82" s="2" t="n">
        <v>159</v>
      </c>
      <c r="B82" s="2" t="inlineStr">
        <is>
          <t>Thứ bảy ngày 13-06-2026</t>
        </is>
      </c>
      <c r="C82" s="3" t="inlineStr">
        <is>
          <t>Thứ Sáu</t>
        </is>
      </c>
      <c r="D82" s="3" t="inlineStr">
        <is>
          <t>60014</t>
        </is>
      </c>
      <c r="E82" s="3" t="inlineStr">
        <is>
          <t>14</t>
        </is>
      </c>
      <c r="F82" s="3" t="inlineStr">
        <is>
          <t>G7.4, G7.1</t>
        </is>
      </c>
      <c r="G82" s="3" t="inlineStr">
        <is>
          <t>Tổng 1, Tổng 3, Tổng 4, Tổng 6, Tổng 8, Tổng 9</t>
        </is>
      </c>
      <c r="H82" s="3" t="inlineStr">
        <is>
          <t>12346789</t>
        </is>
      </c>
      <c r="I82" s="3" t="inlineStr">
        <is>
          <t>Tổng 4-Bóng 9</t>
        </is>
      </c>
      <c r="J82" s="3" t="n">
        <v>60</v>
      </c>
      <c r="K82" s="6" t="inlineStr">
        <is>
          <t>TRƯỢT ❌</t>
        </is>
      </c>
      <c r="L82" s="3" t="inlineStr">
        <is>
          <t>04, 08, 13, 17, 21, 33, 36, 38, 42, 51, 53, 54, 65, 68, 76, 81, 83, 85, 94, 97</t>
        </is>
      </c>
      <c r="M82" s="6" t="inlineStr">
        <is>
          <t>TRƯỢT ❌</t>
        </is>
      </c>
      <c r="N82" s="7" t="inlineStr">
        <is>
          <t>TRÚNG N3 🎯</t>
        </is>
      </c>
      <c r="O82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83">
      <c r="A83" s="2" t="n">
        <v>158</v>
      </c>
      <c r="B83" s="2" t="inlineStr">
        <is>
          <t>Thứ sáu ngày 12-06-2026</t>
        </is>
      </c>
      <c r="C83" s="3" t="inlineStr">
        <is>
          <t>Thứ Năm</t>
        </is>
      </c>
      <c r="D83" s="3" t="inlineStr">
        <is>
          <t>24889</t>
        </is>
      </c>
      <c r="E83" s="3" t="inlineStr">
        <is>
          <t>89</t>
        </is>
      </c>
      <c r="F83" s="3" t="inlineStr">
        <is>
          <t>G7.4, G7.1</t>
        </is>
      </c>
      <c r="G83" s="3" t="inlineStr">
        <is>
          <t>Tổng 1, Tổng 2, Tổng 4, Tổng 6, Tổng 7, Tổng 9</t>
        </is>
      </c>
      <c r="H83" s="3" t="inlineStr">
        <is>
          <t>01245679</t>
        </is>
      </c>
      <c r="I83" s="3" t="inlineStr">
        <is>
          <t>Tổng 6-Bóng 1</t>
        </is>
      </c>
      <c r="J83" s="3" t="n">
        <v>56</v>
      </c>
      <c r="K83" s="7" t="inlineStr">
        <is>
          <t>TRÚNG N1 🎯</t>
        </is>
      </c>
      <c r="L83" s="3" t="inlineStr">
        <is>
          <t>04, 11, 13, 25, 36, 39, 42, 43, 47, 48, 51, 54, 61, 65, 68, 75, 81, 84, 93, 97</t>
        </is>
      </c>
      <c r="M83" s="6" t="inlineStr">
        <is>
          <t>TRƯỢT ❌</t>
        </is>
      </c>
      <c r="N83" s="7" t="inlineStr">
        <is>
          <t>TRÚNG N1 🎯</t>
        </is>
      </c>
      <c r="O83" s="3" t="inlineStr">
        <is>
          <t>01, 02, 04, 06, 07, 09, 10, 11, 13, 15, 16, 18, 20, 22, 24, 25, 27, 29, 31, 34, 36, 39, 40, 42, 43, 45, 47, 48, 51, 52, 54, 56, 57, 59, 60, 61, 63, 65, 66, 68, 70, 72, 74, 75, 77, 79, 81, 84, 86, 89, 90, 92, 93, 95, 97, 98</t>
        </is>
      </c>
    </row>
    <row r="84">
      <c r="A84" s="2" t="n">
        <v>157</v>
      </c>
      <c r="B84" s="2" t="inlineStr">
        <is>
          <t>Thứ năm ngày 11-06-2026</t>
        </is>
      </c>
      <c r="C84" s="3" t="inlineStr">
        <is>
          <t>Thứ Tư</t>
        </is>
      </c>
      <c r="D84" s="3" t="inlineStr">
        <is>
          <t>99983</t>
        </is>
      </c>
      <c r="E84" s="3" t="inlineStr">
        <is>
          <t>83</t>
        </is>
      </c>
      <c r="F84" s="3" t="inlineStr">
        <is>
          <t>G7.2, G7.1</t>
        </is>
      </c>
      <c r="G84" s="3" t="inlineStr">
        <is>
          <t>Tổng 2, Tổng 4, Tổng 7, Tổng 9</t>
        </is>
      </c>
      <c r="H84" s="3" t="inlineStr">
        <is>
          <t>01235678</t>
        </is>
      </c>
      <c r="I84" s="3" t="inlineStr">
        <is>
          <t>Tổng 2-Bóng 7</t>
        </is>
      </c>
      <c r="J84" s="3" t="n">
        <v>40</v>
      </c>
      <c r="K84" s="6" t="inlineStr">
        <is>
          <t>TRƯỢT ❌</t>
        </is>
      </c>
      <c r="L84" s="3" t="inlineStr">
        <is>
          <t>04, 11, 13, 22, 25, 36, 39, 40, 43, 48, 54, 59, 61, 63, 68, 70, 75, 81, 84, 93</t>
        </is>
      </c>
      <c r="M84" s="6" t="inlineStr">
        <is>
          <t>TRƯỢT ❌</t>
        </is>
      </c>
      <c r="N84" s="7" t="inlineStr">
        <is>
          <t>TRÚNG N2 🎯</t>
        </is>
      </c>
      <c r="O84" s="3" t="inlineStr">
        <is>
          <t>02, 04, 07, 09, 11, 13, 16, 18, 20, 22, 25, 27, 31, 34, 36, 39, 40, 43, 45, 48, 52, 54, 57, 59, 61, 63, 66, 68, 70, 72, 75, 77, 81, 84, 86, 89, 90, 93, 95, 98</t>
        </is>
      </c>
    </row>
    <row r="85">
      <c r="A85" s="2" t="n">
        <v>156</v>
      </c>
      <c r="B85" s="2" t="inlineStr">
        <is>
          <t>Thứ tư ngày 10-06-2026</t>
        </is>
      </c>
      <c r="C85" s="3" t="inlineStr">
        <is>
          <t>Thứ Ba</t>
        </is>
      </c>
      <c r="D85" s="3" t="inlineStr">
        <is>
          <t>04308</t>
        </is>
      </c>
      <c r="E85" s="3" t="inlineStr">
        <is>
          <t>08</t>
        </is>
      </c>
      <c r="F85" s="3" t="inlineStr">
        <is>
          <t>G7.3, G7.4</t>
        </is>
      </c>
      <c r="G85" s="3" t="inlineStr">
        <is>
          <t>Tổng 0, Tổng 1, Tổng 3, Tổng 5, Tổng 6, Tổng 8</t>
        </is>
      </c>
      <c r="H85" s="3" t="inlineStr">
        <is>
          <t>01245679</t>
        </is>
      </c>
      <c r="I85" s="3" t="inlineStr">
        <is>
          <t>Tổng 0-Bóng 5</t>
        </is>
      </c>
      <c r="J85" s="3" t="n">
        <v>56</v>
      </c>
      <c r="K85" s="7" t="inlineStr">
        <is>
          <t>TRÚNG N1 🎯</t>
        </is>
      </c>
      <c r="L85" s="3" t="inlineStr">
        <is>
          <t>05, 14, 17, 21, 23, 32, 37, 41, 42, 50, 51, 53, 55, 64, 65, 69, 76, 78, 85, 94</t>
        </is>
      </c>
      <c r="M85" s="6" t="inlineStr">
        <is>
          <t>TRƯỢT ❌</t>
        </is>
      </c>
      <c r="N85" s="7" t="inlineStr">
        <is>
          <t>TRÚNG N1 🎯</t>
        </is>
      </c>
      <c r="O85" s="3" t="inlineStr">
        <is>
          <t>00, 01, 03, 05, 06, 08, 10, 12, 14, 15, 17, 19, 21, 23, 24, 26, 28, 29, 30, 32, 35, 37, 41, 42, 44, 46, 47, 49, 50, 51, 53, 55, 56, 58, 60, 62, 64, 65, 67, 69, 71, 73, 74, 76, 78, 79, 80, 82, 85, 87, 91, 92, 94, 96, 97, 99</t>
        </is>
      </c>
    </row>
    <row r="86">
      <c r="A86" s="2" t="n">
        <v>155</v>
      </c>
      <c r="B86" s="2" t="inlineStr">
        <is>
          <t>Thứ ba ngày 09-06-2026</t>
        </is>
      </c>
      <c r="C86" s="3" t="inlineStr">
        <is>
          <t>Thứ Hai</t>
        </is>
      </c>
      <c r="D86" s="3" t="inlineStr">
        <is>
          <t>07251</t>
        </is>
      </c>
      <c r="E86" s="3" t="inlineStr">
        <is>
          <t>51</t>
        </is>
      </c>
      <c r="F86" s="3" t="inlineStr">
        <is>
          <t>G7.4, G7.2</t>
        </is>
      </c>
      <c r="G86" s="3" t="inlineStr">
        <is>
          <t>Tổng 0, Tổng 2, Tổng 3, Tổng 5, Tổng 7, Tổng 8</t>
        </is>
      </c>
      <c r="H86" s="3" t="inlineStr">
        <is>
          <t>01235678</t>
        </is>
      </c>
      <c r="I86" s="3" t="inlineStr">
        <is>
          <t>Tổng 0-Bóng 5</t>
        </is>
      </c>
      <c r="J86" s="3" t="n">
        <v>56</v>
      </c>
      <c r="K86" s="6" t="inlineStr">
        <is>
          <t>TRƯỢT ❌</t>
        </is>
      </c>
      <c r="L86" s="3" t="inlineStr">
        <is>
          <t>05, 11, 14, 17, 21, 23, 25, 39, 43, 48, 50, 53, 55, 61, 69, 76, 78, 84, 85, 93</t>
        </is>
      </c>
      <c r="M86" s="6" t="inlineStr">
        <is>
          <t>TRƯỢT ❌</t>
        </is>
      </c>
      <c r="N86" s="7" t="inlineStr">
        <is>
          <t>TRÚNG N2 🎯</t>
        </is>
      </c>
      <c r="O86" s="3" t="inlineStr">
        <is>
          <t>00, 02, 03, 05, 07, 08, 11, 12, 14, 16, 17, 19, 20, 21, 23, 25, 26, 28, 30, 32, 34, 35, 37, 39, 41, 43, 46, 48, 50, 52, 53, 55, 57, 58, 61, 62, 64, 66, 67, 69, 70, 71, 73, 75, 76, 78, 80, 82, 84, 85, 87, 89, 91, 93, 96, 98</t>
        </is>
      </c>
    </row>
    <row r="87">
      <c r="A87" s="2" t="n">
        <v>154</v>
      </c>
      <c r="B87" s="2" t="inlineStr">
        <is>
          <t>Thứ hai ngày 08-06-2026</t>
        </is>
      </c>
      <c r="C87" s="3" t="inlineStr">
        <is>
          <t>Chủ Nhật</t>
        </is>
      </c>
      <c r="D87" s="3" t="inlineStr">
        <is>
          <t>53505</t>
        </is>
      </c>
      <c r="E87" s="3" t="inlineStr">
        <is>
          <t>05</t>
        </is>
      </c>
      <c r="F87" s="3" t="inlineStr">
        <is>
          <t>G7.3, G7.1</t>
        </is>
      </c>
      <c r="G87" s="3" t="inlineStr">
        <is>
          <t>Tổng 0, Tổng 4, Tổng 5, Tổng 9</t>
        </is>
      </c>
      <c r="H87" s="3" t="inlineStr">
        <is>
          <t>014569</t>
        </is>
      </c>
      <c r="I87" s="3" t="inlineStr">
        <is>
          <t>Tổng 5-Bóng 0</t>
        </is>
      </c>
      <c r="J87" s="3" t="n">
        <v>28</v>
      </c>
      <c r="K87" s="7" t="inlineStr">
        <is>
          <t>TRÚNG N1 🎯</t>
        </is>
      </c>
      <c r="L87" s="3" t="inlineStr">
        <is>
          <t>00, 04, 13, 14, 36, 40, 41, 46, 50, 54, 55, 59, 63, 64, 68, 69, 81, 91, 95, 96</t>
        </is>
      </c>
      <c r="M87" s="6" t="inlineStr">
        <is>
          <t>TRƯỢT ❌</t>
        </is>
      </c>
      <c r="N87" s="7" t="inlineStr">
        <is>
          <t>TRÚNG N1 🎯</t>
        </is>
      </c>
      <c r="O87" s="3" t="inlineStr">
        <is>
          <t>00, 04, 05, 09, 13, 14, 18, 19, 31, 36, 40, 41, 45, 46, 50, 54, 55, 59, 63, 64, 68, 69, 81, 86, 90, 91, 95, 96</t>
        </is>
      </c>
    </row>
    <row r="88">
      <c r="A88" s="2" t="n">
        <v>153</v>
      </c>
      <c r="B88" s="2" t="inlineStr">
        <is>
          <t>Chủ nhật ngày 07-06-2026</t>
        </is>
      </c>
      <c r="C88" s="3" t="inlineStr">
        <is>
          <t>Thứ Bảy</t>
        </is>
      </c>
      <c r="D88" s="3" t="inlineStr">
        <is>
          <t>15393</t>
        </is>
      </c>
      <c r="E88" s="3" t="inlineStr">
        <is>
          <t>93</t>
        </is>
      </c>
      <c r="F88" s="3" t="inlineStr">
        <is>
          <t>G7.1, G7.3</t>
        </is>
      </c>
      <c r="G88" s="3" t="inlineStr">
        <is>
          <t>Tổng 0, Tổng 2, Tổng 3, Tổng 5, Tổng 7, Tổng 8</t>
        </is>
      </c>
      <c r="H88" s="3" t="inlineStr">
        <is>
          <t>0123456789</t>
        </is>
      </c>
      <c r="I88" s="3" t="inlineStr">
        <is>
          <t>Tổng 7-Bóng 2</t>
        </is>
      </c>
      <c r="J88" s="3" t="n">
        <v>60</v>
      </c>
      <c r="K88" s="7" t="inlineStr">
        <is>
          <t>TRÚNG N1 🎯</t>
        </is>
      </c>
      <c r="L88" s="3" t="inlineStr">
        <is>
          <t>11, 14, 17, 21, 23, 25, 39, 43, 48, 50, 53, 55, 61, 64, 69, 76, 78, 84, 85, 94</t>
        </is>
      </c>
      <c r="M88" s="6" t="inlineStr">
        <is>
          <t>TRƯỢT ❌</t>
        </is>
      </c>
      <c r="N88" s="7" t="inlineStr">
        <is>
          <t>TRÚNG N1 🎯</t>
        </is>
      </c>
      <c r="O88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89">
      <c r="A89" s="2" t="n">
        <v>152</v>
      </c>
      <c r="B89" s="2" t="inlineStr">
        <is>
          <t>Thứ bảy ngày 06-06-2026</t>
        </is>
      </c>
      <c r="C89" s="3" t="inlineStr">
        <is>
          <t>Thứ Sáu</t>
        </is>
      </c>
      <c r="D89" s="3" t="inlineStr">
        <is>
          <t>33465</t>
        </is>
      </c>
      <c r="E89" s="3" t="inlineStr">
        <is>
          <t>65</t>
        </is>
      </c>
      <c r="F89" s="3" t="inlineStr">
        <is>
          <t>G7.4, G7.1</t>
        </is>
      </c>
      <c r="G89" s="3" t="inlineStr">
        <is>
          <t>Tổng 0, Tổng 3, Tổng 5, Tổng 8</t>
        </is>
      </c>
      <c r="H89" s="3" t="inlineStr">
        <is>
          <t>01245679</t>
        </is>
      </c>
      <c r="I89" s="3" t="inlineStr">
        <is>
          <t>Tổng 0-Bóng 5</t>
        </is>
      </c>
      <c r="J89" s="3" t="n">
        <v>40</v>
      </c>
      <c r="K89" s="6" t="inlineStr">
        <is>
          <t>TRƯỢT ❌</t>
        </is>
      </c>
      <c r="L89" s="3" t="inlineStr">
        <is>
          <t>00, 14, 17, 21, 23, 28, 32, 35, 37, 41, 50, 53, 55, 64, 69, 76, 78, 82, 85, 94</t>
        </is>
      </c>
      <c r="M89" s="6" t="inlineStr">
        <is>
          <t>TRƯỢT ❌</t>
        </is>
      </c>
      <c r="N89" s="7" t="inlineStr">
        <is>
          <t>TRÚNG N3 🎯</t>
        </is>
      </c>
      <c r="O89" s="3" t="inlineStr">
        <is>
          <t>00, 03, 05, 08, 12, 14, 17, 19, 21, 23, 26, 28, 30, 32, 35, 37, 41, 44, 46, 49, 50, 53, 55, 58, 62, 64, 67, 69, 71, 73, 76, 78, 80, 82, 85, 87, 91, 94, 96, 99</t>
        </is>
      </c>
    </row>
    <row r="90">
      <c r="A90" s="2" t="n">
        <v>151</v>
      </c>
      <c r="B90" s="2" t="inlineStr">
        <is>
          <t>Thứ sáu ngày 05-06-2026</t>
        </is>
      </c>
      <c r="C90" s="3" t="inlineStr">
        <is>
          <t>Thứ Năm</t>
        </is>
      </c>
      <c r="D90" s="3" t="inlineStr">
        <is>
          <t>74978</t>
        </is>
      </c>
      <c r="E90" s="3" t="inlineStr">
        <is>
          <t>78</t>
        </is>
      </c>
      <c r="F90" s="3" t="inlineStr">
        <is>
          <t>G7.4, G7.1</t>
        </is>
      </c>
      <c r="G90" s="3" t="inlineStr">
        <is>
          <t>Tổng 1, Tổng 2, Tổng 4, Tổng 6, Tổng 7, Tổng 9</t>
        </is>
      </c>
      <c r="H90" s="3" t="inlineStr">
        <is>
          <t>01235678</t>
        </is>
      </c>
      <c r="I90" s="3" t="inlineStr">
        <is>
          <t>Tổng 9-Bóng 4</t>
        </is>
      </c>
      <c r="J90" s="3" t="n">
        <v>60</v>
      </c>
      <c r="K90" s="6" t="inlineStr">
        <is>
          <t>TRƯỢT ❌</t>
        </is>
      </c>
      <c r="L90" s="3" t="inlineStr">
        <is>
          <t>04, 11, 13, 25, 33, 36, 38, 39, 40, 42, 43, 47, 51, 54, 61, 68, 81, 83, 84, 92</t>
        </is>
      </c>
      <c r="M90" s="6" t="inlineStr">
        <is>
          <t>TRƯỢT ❌</t>
        </is>
      </c>
      <c r="N90" s="7" t="inlineStr">
        <is>
          <t>TRÚNG N2 🎯</t>
        </is>
      </c>
      <c r="O90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91">
      <c r="A91" s="2" t="n">
        <v>150</v>
      </c>
      <c r="B91" s="2" t="inlineStr">
        <is>
          <t>Thứ năm ngày 04-06-2026</t>
        </is>
      </c>
      <c r="C91" s="3" t="inlineStr">
        <is>
          <t>Thứ Tư</t>
        </is>
      </c>
      <c r="D91" s="3" t="inlineStr">
        <is>
          <t>05583</t>
        </is>
      </c>
      <c r="E91" s="3" t="inlineStr">
        <is>
          <t>83</t>
        </is>
      </c>
      <c r="F91" s="3" t="inlineStr">
        <is>
          <t>G7.2, G7.1</t>
        </is>
      </c>
      <c r="G91" s="3" t="inlineStr">
        <is>
          <t>Tổng 2, Tổng 4, Tổng 7, Tổng 9</t>
        </is>
      </c>
      <c r="H91" s="3" t="inlineStr">
        <is>
          <t>02345789</t>
        </is>
      </c>
      <c r="I91" s="3" t="inlineStr">
        <is>
          <t>Tổng 9-Bóng 4</t>
        </is>
      </c>
      <c r="J91" s="3" t="n">
        <v>36</v>
      </c>
      <c r="K91" s="6" t="inlineStr">
        <is>
          <t>TRƯỢT ❌</t>
        </is>
      </c>
      <c r="L91" s="3" t="inlineStr">
        <is>
          <t>04, 13, 20, 22, 25, 36, 39, 40, 43, 48, 52, 54, 59, 63, 68, 70, 75, 81, 84, 93</t>
        </is>
      </c>
      <c r="M91" s="6" t="inlineStr">
        <is>
          <t>TRƯỢT ❌</t>
        </is>
      </c>
      <c r="N91" s="6" t="inlineStr">
        <is>
          <t>TRƯỢT KHUNG ❌</t>
        </is>
      </c>
      <c r="O91" s="3" t="inlineStr">
        <is>
          <t>02, 04, 07, 09, 13, 18, 20, 22, 25, 27, 31, 34, 36, 39, 40, 43, 45, 48, 52, 54, 57, 59, 63, 68, 70, 72, 75, 77, 81, 84, 86, 89, 90, 93, 95, 98</t>
        </is>
      </c>
    </row>
    <row r="92">
      <c r="A92" s="2" t="n">
        <v>149</v>
      </c>
      <c r="B92" s="2" t="inlineStr">
        <is>
          <t>Thứ tư ngày 03-06-2026</t>
        </is>
      </c>
      <c r="C92" s="3" t="inlineStr">
        <is>
          <t>Thứ Ba</t>
        </is>
      </c>
      <c r="D92" s="3" t="inlineStr">
        <is>
          <t>02636</t>
        </is>
      </c>
      <c r="E92" s="3" t="inlineStr">
        <is>
          <t>36</t>
        </is>
      </c>
      <c r="F92" s="3" t="inlineStr">
        <is>
          <t>G7.3, G7.4</t>
        </is>
      </c>
      <c r="G92" s="3" t="inlineStr">
        <is>
          <t>Tổng 0, Tổng 1, Tổng 5, Tổng 6</t>
        </is>
      </c>
      <c r="H92" s="3" t="inlineStr">
        <is>
          <t>02345789</t>
        </is>
      </c>
      <c r="I92" s="3" t="inlineStr">
        <is>
          <t>Tổng 0-Bóng 5</t>
        </is>
      </c>
      <c r="J92" s="3" t="n">
        <v>40</v>
      </c>
      <c r="K92" s="6" t="inlineStr">
        <is>
          <t>TRƯỢT ❌</t>
        </is>
      </c>
      <c r="L92" s="3" t="inlineStr">
        <is>
          <t>00, 06, 14, 23, 28, 32, 33, 37, 38, 41, 42, 47, 50, 51, 55, 64, 69, 82, 92, 97</t>
        </is>
      </c>
      <c r="M92" s="6" t="inlineStr">
        <is>
          <t>TRƯỢT ❌</t>
        </is>
      </c>
      <c r="N92" s="7" t="inlineStr">
        <is>
          <t>TRÚNG N2 🎯</t>
        </is>
      </c>
      <c r="O92" s="3" t="inlineStr">
        <is>
          <t>00, 01, 05, 06, 10, 14, 15, 19, 23, 24, 28, 29, 32, 33, 37, 38, 41, 42, 46, 47, 50, 51, 55, 56, 60, 64, 65, 69, 73, 74, 78, 79, 82, 83, 87, 88, 91, 92, 96, 97</t>
        </is>
      </c>
    </row>
    <row r="93">
      <c r="A93" s="2" t="n">
        <v>148</v>
      </c>
      <c r="B93" s="2" t="inlineStr">
        <is>
          <t>Thứ ba ngày 02-06-2026</t>
        </is>
      </c>
      <c r="C93" s="3" t="inlineStr">
        <is>
          <t>Thứ Hai</t>
        </is>
      </c>
      <c r="D93" s="3" t="inlineStr">
        <is>
          <t>73823</t>
        </is>
      </c>
      <c r="E93" s="3" t="inlineStr">
        <is>
          <t>23</t>
        </is>
      </c>
      <c r="F93" s="3" t="inlineStr">
        <is>
          <t>G7.4, G7.2</t>
        </is>
      </c>
      <c r="G93" s="3" t="inlineStr">
        <is>
          <t>Tổng 1, Tổng 3, Tổng 4, Tổng 6, Tổng 8, Tổng 9</t>
        </is>
      </c>
      <c r="H93" s="3" t="inlineStr">
        <is>
          <t>01245679</t>
        </is>
      </c>
      <c r="I93" s="3" t="inlineStr">
        <is>
          <t>Tổng 4-Bóng 9</t>
        </is>
      </c>
      <c r="J93" s="3" t="n">
        <v>56</v>
      </c>
      <c r="K93" s="6" t="inlineStr">
        <is>
          <t>TRƯỢT ❌</t>
        </is>
      </c>
      <c r="L93" s="3" t="inlineStr">
        <is>
          <t>04, 06, 12, 13, 17, 21, 40, 42, 47, 51, 53, 54, 59, 68, 76, 81, 85, 92, 94, 97</t>
        </is>
      </c>
      <c r="M93" s="6" t="inlineStr">
        <is>
          <t>TRƯỢT ❌</t>
        </is>
      </c>
      <c r="N93" s="7" t="inlineStr">
        <is>
          <t>TRÚNG N2 🎯</t>
        </is>
      </c>
      <c r="O93" s="3" t="inlineStr">
        <is>
          <t>01, 03, 04, 06, 08, 09, 10, 12, 13, 15, 17, 18, 21, 22, 24, 26, 27, 29, 30, 31, 35, 36, 40, 42, 44, 45, 47, 49, 51, 53, 54, 56, 58, 59, 60, 62, 63, 65, 67, 68, 71, 72, 74, 76, 77, 79, 80, 81, 85, 86, 90, 92, 94, 95, 97, 99</t>
        </is>
      </c>
    </row>
    <row r="94">
      <c r="A94" s="2" t="n">
        <v>147</v>
      </c>
      <c r="B94" s="2" t="inlineStr">
        <is>
          <t>Thứ hai ngày 01-06-2026</t>
        </is>
      </c>
      <c r="C94" s="3" t="inlineStr">
        <is>
          <t>Chủ Nhật</t>
        </is>
      </c>
      <c r="D94" s="3" t="inlineStr">
        <is>
          <t>90353</t>
        </is>
      </c>
      <c r="E94" s="3" t="inlineStr">
        <is>
          <t>53</t>
        </is>
      </c>
      <c r="F94" s="3" t="inlineStr">
        <is>
          <t>G7.3, G7.1</t>
        </is>
      </c>
      <c r="G94" s="3" t="inlineStr">
        <is>
          <t>Tổng 0, Tổng 1, Tổng 4, Tổng 5, Tổng 6, Tổng 9</t>
        </is>
      </c>
      <c r="H94" s="3" t="inlineStr">
        <is>
          <t>12346789</t>
        </is>
      </c>
      <c r="I94" s="3" t="inlineStr">
        <is>
          <t>Tổng 1-Bóng 6</t>
        </is>
      </c>
      <c r="J94" s="3" t="n">
        <v>56</v>
      </c>
      <c r="K94" s="6" t="inlineStr">
        <is>
          <t>TRƯỢT ❌</t>
        </is>
      </c>
      <c r="L94" s="3" t="inlineStr">
        <is>
          <t>04, 13, 14, 23, 32, 33, 37, 38, 40, 41, 42, 47, 51, 54, 59, 64, 68, 69, 81, 92</t>
        </is>
      </c>
      <c r="M94" s="6" t="inlineStr">
        <is>
          <t>TRƯỢT ❌</t>
        </is>
      </c>
      <c r="N94" s="7" t="inlineStr">
        <is>
          <t>TRÚNG N2 🎯</t>
        </is>
      </c>
      <c r="O94" s="3" t="inlineStr">
        <is>
          <t>01, 04, 06, 09, 10, 13, 14, 15, 18, 19, 22, 23, 24, 27, 28, 29, 31, 32, 33, 36, 37, 38, 40, 41, 42, 45, 46, 47, 51, 54, 56, 59, 60, 63, 64, 65, 68, 69, 72, 73, 74, 77, 78, 79, 81, 82, 83, 86, 87, 88, 90, 91, 92, 95, 96, 97</t>
        </is>
      </c>
    </row>
    <row r="95">
      <c r="A95" s="2" t="n">
        <v>146</v>
      </c>
      <c r="B95" s="2" t="inlineStr">
        <is>
          <t>Chủ nhật ngày 31-05-2026</t>
        </is>
      </c>
      <c r="C95" s="3" t="inlineStr">
        <is>
          <t>Thứ Bảy</t>
        </is>
      </c>
      <c r="D95" s="3" t="inlineStr">
        <is>
          <t>24042</t>
        </is>
      </c>
      <c r="E95" s="3" t="inlineStr">
        <is>
          <t>42</t>
        </is>
      </c>
      <c r="F95" s="3" t="inlineStr">
        <is>
          <t>G7.1, G7.3</t>
        </is>
      </c>
      <c r="G95" s="3" t="inlineStr">
        <is>
          <t>Tổng 0, Tổng 1, Tổng 4, Tổng 5, Tổng 6, Tổng 9</t>
        </is>
      </c>
      <c r="H95" s="3" t="inlineStr">
        <is>
          <t>014569</t>
        </is>
      </c>
      <c r="I95" s="3" t="inlineStr">
        <is>
          <t>Tổng 9-Bóng 4</t>
        </is>
      </c>
      <c r="J95" s="3" t="n">
        <v>44</v>
      </c>
      <c r="K95" s="7" t="inlineStr">
        <is>
          <t>TRÚNG N1 🎯</t>
        </is>
      </c>
      <c r="L95" s="3" t="inlineStr">
        <is>
          <t>00, 04, 06, 13, 14, 40, 41, 47, 50, 51, 54, 55, 59, 63, 64, 68, 69, 81, 92, 97</t>
        </is>
      </c>
      <c r="M95" s="6" t="inlineStr">
        <is>
          <t>TRƯỢT ❌</t>
        </is>
      </c>
      <c r="N95" s="7" t="inlineStr">
        <is>
          <t>TRÚNG N1 🎯</t>
        </is>
      </c>
      <c r="O95" s="3" t="inlineStr">
        <is>
          <t>00, 01, 04, 05, 06, 09, 10, 13, 14, 15, 18, 19, 24, 29, 31, 36, 40, 41, 42, 45, 46, 47, 50, 51, 54, 55, 56, 59, 60, 63, 64, 65, 68, 69, 74, 79, 81, 86, 90, 91, 92, 95, 96, 97</t>
        </is>
      </c>
    </row>
    <row r="96">
      <c r="A96" s="2" t="n">
        <v>145</v>
      </c>
      <c r="B96" s="2" t="inlineStr">
        <is>
          <t>Thứ bảy ngày 30-05-2026</t>
        </is>
      </c>
      <c r="C96" s="3" t="inlineStr">
        <is>
          <t>Thứ Sáu</t>
        </is>
      </c>
      <c r="D96" s="3" t="inlineStr">
        <is>
          <t>17743</t>
        </is>
      </c>
      <c r="E96" s="3" t="inlineStr">
        <is>
          <t>43</t>
        </is>
      </c>
      <c r="F96" s="3" t="inlineStr">
        <is>
          <t>G7.4, G7.1</t>
        </is>
      </c>
      <c r="G96" s="3" t="inlineStr">
        <is>
          <t>Tổng 1, Tổng 3, Tổng 4, Tổng 6, Tổng 8, Tổng 9</t>
        </is>
      </c>
      <c r="H96" s="3" t="inlineStr">
        <is>
          <t>123678</t>
        </is>
      </c>
      <c r="I96" s="3" t="inlineStr">
        <is>
          <t>Tổng 4-Bóng 9</t>
        </is>
      </c>
      <c r="J96" s="3" t="n">
        <v>48</v>
      </c>
      <c r="K96" s="6" t="inlineStr">
        <is>
          <t>TRƯỢT ❌</t>
        </is>
      </c>
      <c r="L96" s="3" t="inlineStr">
        <is>
          <t>06, 12, 13, 17, 21, 24, 33, 35, 38, 47, 51, 63, 67, 68, 76, 81, 85, 88, 92, 97</t>
        </is>
      </c>
      <c r="M96" s="6" t="inlineStr">
        <is>
          <t>TRƯỢT ❌</t>
        </is>
      </c>
      <c r="N96" s="7" t="inlineStr">
        <is>
          <t>TRÚNG N2 🎯</t>
        </is>
      </c>
      <c r="O96" s="3" t="inlineStr">
        <is>
          <t>01, 03, 06, 08, 10, 12, 13, 15, 17, 18, 21, 22, 24, 26, 27, 29, 30, 31, 33, 35, 36, 38, 42, 47, 51, 53, 56, 58, 60, 62, 63, 65, 67, 68, 71, 72, 74, 76, 77, 79, 80, 81, 83, 85, 86, 88, 92, 97</t>
        </is>
      </c>
    </row>
    <row r="97">
      <c r="A97" s="2" t="n">
        <v>144</v>
      </c>
      <c r="B97" s="2" t="inlineStr">
        <is>
          <t>Thứ sáu ngày 29-05-2026</t>
        </is>
      </c>
      <c r="C97" s="3" t="inlineStr">
        <is>
          <t>Thứ Năm</t>
        </is>
      </c>
      <c r="D97" s="3" t="inlineStr">
        <is>
          <t>77954</t>
        </is>
      </c>
      <c r="E97" s="3" t="inlineStr">
        <is>
          <t>54</t>
        </is>
      </c>
      <c r="F97" s="3" t="inlineStr">
        <is>
          <t>G7.4, G7.1</t>
        </is>
      </c>
      <c r="G97" s="3" t="inlineStr">
        <is>
          <t>Tổng 0, Tổng 2, Tổng 3, Tổng 5, Tổng 7, Tổng 8</t>
        </is>
      </c>
      <c r="H97" s="3" t="inlineStr">
        <is>
          <t>014569</t>
        </is>
      </c>
      <c r="I97" s="3" t="inlineStr">
        <is>
          <t>Tổng 0-Bóng 5</t>
        </is>
      </c>
      <c r="J97" s="3" t="n">
        <v>52</v>
      </c>
      <c r="K97" s="6" t="inlineStr">
        <is>
          <t>TRƯỢT ❌</t>
        </is>
      </c>
      <c r="L97" s="3" t="inlineStr">
        <is>
          <t>11, 12, 14, 17, 21, 25, 39, 41, 48, 50, 55, 61, 64, 69, 75, 76, 84, 85, 91, 94</t>
        </is>
      </c>
      <c r="M97" s="6" t="inlineStr">
        <is>
          <t>TRƯỢT ❌</t>
        </is>
      </c>
      <c r="N97" s="7" t="inlineStr">
        <is>
          <t>TRÚNG N2 🎯</t>
        </is>
      </c>
      <c r="O97" s="3" t="inlineStr">
        <is>
          <t>00, 02, 03, 05, 07, 08, 11, 12, 14, 16, 17, 19, 20, 21, 25, 26, 30, 34, 35, 39, 41, 43, 44, 46, 48, 49, 50, 52, 53, 55, 57, 58, 61, 62, 64, 66, 67, 69, 70, 71, 75, 76, 80, 84, 85, 89, 91, 93, 94, 96, 98, 99</t>
        </is>
      </c>
    </row>
    <row r="98">
      <c r="A98" s="2" t="n">
        <v>143</v>
      </c>
      <c r="B98" s="2" t="inlineStr">
        <is>
          <t>Thứ năm ngày 28-05-2026</t>
        </is>
      </c>
      <c r="C98" s="3" t="inlineStr">
        <is>
          <t>Thứ Tư</t>
        </is>
      </c>
      <c r="D98" s="3" t="inlineStr">
        <is>
          <t>00250</t>
        </is>
      </c>
      <c r="E98" s="3" t="inlineStr">
        <is>
          <t>50</t>
        </is>
      </c>
      <c r="F98" s="3" t="inlineStr">
        <is>
          <t>G7.2, G7.3</t>
        </is>
      </c>
      <c r="G98" s="3" t="inlineStr">
        <is>
          <t>Tổng 2, Tổng 4, Tổng 7, Tổng 9</t>
        </is>
      </c>
      <c r="H98" s="3" t="inlineStr">
        <is>
          <t>01245679</t>
        </is>
      </c>
      <c r="I98" s="3" t="inlineStr">
        <is>
          <t>Tổng 9-Bóng 4</t>
        </is>
      </c>
      <c r="J98" s="3" t="n">
        <v>40</v>
      </c>
      <c r="K98" s="6" t="inlineStr">
        <is>
          <t>TRƯỢT ❌</t>
        </is>
      </c>
      <c r="L98" s="3" t="inlineStr">
        <is>
          <t>04, 11, 13, 20, 22, 25, 39, 40, 43, 48, 54, 59, 61, 63, 66, 68, 70, 75, 81, 84</t>
        </is>
      </c>
      <c r="M98" s="6" t="inlineStr">
        <is>
          <t>TRƯỢT ❌</t>
        </is>
      </c>
      <c r="N98" s="7" t="inlineStr">
        <is>
          <t>TRÚNG N2 🎯</t>
        </is>
      </c>
      <c r="O98" s="3" t="inlineStr">
        <is>
          <t>02, 04, 07, 09, 11, 13, 16, 18, 20, 22, 25, 27, 31, 34, 36, 39, 40, 43, 45, 48, 52, 54, 57, 59, 61, 63, 66, 68, 70, 72, 75, 77, 81, 84, 86, 89, 90, 93, 95, 98</t>
        </is>
      </c>
    </row>
    <row r="99">
      <c r="A99" s="2" t="n">
        <v>142</v>
      </c>
      <c r="B99" s="2" t="inlineStr">
        <is>
          <t>Thứ tư ngày 27-05-2026</t>
        </is>
      </c>
      <c r="C99" s="3" t="inlineStr">
        <is>
          <t>Thứ Ba</t>
        </is>
      </c>
      <c r="D99" s="3" t="inlineStr">
        <is>
          <t>61513</t>
        </is>
      </c>
      <c r="E99" s="3" t="inlineStr">
        <is>
          <t>13</t>
        </is>
      </c>
      <c r="F99" s="3" t="inlineStr">
        <is>
          <t>G7.3, G7.4</t>
        </is>
      </c>
      <c r="G99" s="3" t="inlineStr">
        <is>
          <t>Tổng 0, Tổng 3, Tổng 4, Tổng 5, Tổng 8, Tổng 9</t>
        </is>
      </c>
      <c r="H99" s="3" t="inlineStr">
        <is>
          <t>12346789</t>
        </is>
      </c>
      <c r="I99" s="3" t="inlineStr">
        <is>
          <t>Tổng 8-Bóng 3</t>
        </is>
      </c>
      <c r="J99" s="3" t="n">
        <v>56</v>
      </c>
      <c r="K99" s="7" t="inlineStr">
        <is>
          <t>TRÚNG N1 🎯</t>
        </is>
      </c>
      <c r="L99" s="3" t="inlineStr">
        <is>
          <t>04, 12, 14, 17, 21, 23, 32, 37, 40, 41, 54, 59, 64, 68, 69, 76, 81, 85, 91, 94</t>
        </is>
      </c>
      <c r="M99" s="6" t="inlineStr">
        <is>
          <t>TRƯỢT ❌</t>
        </is>
      </c>
      <c r="N99" s="7" t="inlineStr">
        <is>
          <t>TRÚNG N1 🎯</t>
        </is>
      </c>
      <c r="O99" s="3" t="inlineStr">
        <is>
          <t>03, 04, 08, 09, 12, 13, 14, 17, 18, 19, 21, 22, 23, 26, 27, 28, 30, 31, 32, 35, 36, 37, 40, 41, 44, 45, 46, 49, 53, 54, 58, 59, 62, 63, 64, 67, 68, 69, 71, 72, 73, 76, 77, 78, 80, 81, 82, 85, 86, 87, 90, 91, 94, 95, 96, 99</t>
        </is>
      </c>
    </row>
    <row r="100">
      <c r="A100" s="2" t="n">
        <v>141</v>
      </c>
      <c r="B100" s="2" t="inlineStr">
        <is>
          <t>Thứ ba ngày 26-05-2026</t>
        </is>
      </c>
      <c r="C100" s="3" t="inlineStr">
        <is>
          <t>Thứ Hai</t>
        </is>
      </c>
      <c r="D100" s="3" t="inlineStr">
        <is>
          <t>49111</t>
        </is>
      </c>
      <c r="E100" s="3" t="inlineStr">
        <is>
          <t>11</t>
        </is>
      </c>
      <c r="F100" s="3" t="inlineStr">
        <is>
          <t>G7.4, G7.2</t>
        </is>
      </c>
      <c r="G100" s="3" t="inlineStr">
        <is>
          <t>Tổng 0, Tổng 2, Tổng 5, Tổng 7</t>
        </is>
      </c>
      <c r="H100" s="3" t="inlineStr">
        <is>
          <t>01345689</t>
        </is>
      </c>
      <c r="I100" s="3" t="inlineStr">
        <is>
          <t>Tổng 5-Bóng 0</t>
        </is>
      </c>
      <c r="J100" s="3" t="n">
        <v>40</v>
      </c>
      <c r="K100" s="7" t="inlineStr">
        <is>
          <t>TRÚNG N1 🎯</t>
        </is>
      </c>
      <c r="L100" s="3" t="inlineStr">
        <is>
          <t>00, 14, 23, 25, 28, 32, 37, 39, 41, 48, 50, 55, 61, 64, 66, 69, 75, 82, 84, 91</t>
        </is>
      </c>
      <c r="M100" s="6" t="inlineStr">
        <is>
          <t>TRƯỢT ❌</t>
        </is>
      </c>
      <c r="N100" s="7" t="inlineStr">
        <is>
          <t>TRÚNG N1 🎯</t>
        </is>
      </c>
      <c r="O100" s="3" t="inlineStr">
        <is>
          <t>00, 02, 05, 07, 11, 14, 16, 19, 20, 23, 25, 28, 32, 34, 37, 39, 41, 43, 46, 48, 50, 52, 55, 57, 61, 64, 66, 69, 70, 73, 75, 78, 82, 84, 87, 89, 91, 93, 96, 98</t>
        </is>
      </c>
    </row>
    <row r="101">
      <c r="A101" s="2" t="n">
        <v>140</v>
      </c>
      <c r="B101" s="2" t="inlineStr">
        <is>
          <t>Thứ hai ngày 25-05-2026</t>
        </is>
      </c>
      <c r="C101" s="3" t="inlineStr">
        <is>
          <t>Chủ Nhật</t>
        </is>
      </c>
      <c r="D101" s="3" t="inlineStr">
        <is>
          <t>97281</t>
        </is>
      </c>
      <c r="E101" s="3" t="inlineStr">
        <is>
          <t>81</t>
        </is>
      </c>
      <c r="F101" s="3" t="inlineStr">
        <is>
          <t>G7.3, G7.1</t>
        </is>
      </c>
      <c r="G101" s="3" t="inlineStr">
        <is>
          <t>Tổng 1, Tổng 3, Tổng 6, Tổng 8</t>
        </is>
      </c>
      <c r="H101" s="3" t="inlineStr">
        <is>
          <t>0123456789</t>
        </is>
      </c>
      <c r="I101" s="3" t="inlineStr">
        <is>
          <t>Tổng 8-Bóng 3</t>
        </is>
      </c>
      <c r="J101" s="3" t="n">
        <v>40</v>
      </c>
      <c r="K101" s="6" t="inlineStr">
        <is>
          <t>TRƯỢT ❌</t>
        </is>
      </c>
      <c r="L101" s="3" t="inlineStr">
        <is>
          <t>06, 12, 17, 21, 24, 29, 33, 35, 38, 44, 47, 51, 67, 76, 80, 85, 88, 92, 94, 97</t>
        </is>
      </c>
      <c r="M101" s="6" t="inlineStr">
        <is>
          <t>TRƯỢT ❌</t>
        </is>
      </c>
      <c r="N101" s="6" t="inlineStr">
        <is>
          <t>TRƯỢT KHUNG ❌</t>
        </is>
      </c>
      <c r="O101" s="3" t="inlineStr">
        <is>
          <t>01, 03, 06, 08, 10, 12, 15, 17, 21, 24, 26, 29, 30, 33, 35, 38, 42, 44, 47, 49, 51, 53, 56, 58, 60, 62, 65, 67, 71, 74, 76, 79, 80, 83, 85, 88, 92, 94, 97, 99</t>
        </is>
      </c>
    </row>
    <row r="102">
      <c r="A102" s="2" t="n">
        <v>139</v>
      </c>
      <c r="B102" s="2" t="inlineStr">
        <is>
          <t>Chủ nhật ngày 24-05-2026</t>
        </is>
      </c>
      <c r="C102" s="3" t="inlineStr">
        <is>
          <t>Thứ Bảy</t>
        </is>
      </c>
      <c r="D102" s="3" t="inlineStr">
        <is>
          <t>20104</t>
        </is>
      </c>
      <c r="E102" s="3" t="inlineStr">
        <is>
          <t>04</t>
        </is>
      </c>
      <c r="F102" s="3" t="inlineStr">
        <is>
          <t>G7.1, G7.3</t>
        </is>
      </c>
      <c r="G102" s="3" t="inlineStr">
        <is>
          <t>Tổng 2, Tổng 3, Tổng 4, Tổng 7, Tổng 8, Tổng 9</t>
        </is>
      </c>
      <c r="H102" s="3" t="inlineStr">
        <is>
          <t>0123456789</t>
        </is>
      </c>
      <c r="I102" s="3" t="inlineStr">
        <is>
          <t>Tổng 4-Bóng 9</t>
        </is>
      </c>
      <c r="J102" s="3" t="n">
        <v>60</v>
      </c>
      <c r="K102" s="7" t="inlineStr">
        <is>
          <t>TRÚNG N1 🎯</t>
        </is>
      </c>
      <c r="L102" s="3" t="inlineStr">
        <is>
          <t>04, 12, 17, 21, 22, 25, 39, 40, 48, 54, 59, 61, 63, 67, 68, 75, 76, 84, 85, 94</t>
        </is>
      </c>
      <c r="M102" s="7" t="inlineStr">
        <is>
          <t>TRÚNG HỎA LỰC 🎯</t>
        </is>
      </c>
      <c r="N102" s="7" t="inlineStr">
        <is>
          <t>TRÚNG N1 🎯</t>
        </is>
      </c>
      <c r="O10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03">
      <c r="A103" s="2" t="n">
        <v>138</v>
      </c>
      <c r="B103" s="2" t="inlineStr">
        <is>
          <t>Thứ bảy ngày 23-05-2026</t>
        </is>
      </c>
      <c r="C103" s="3" t="inlineStr">
        <is>
          <t>Thứ Sáu</t>
        </is>
      </c>
      <c r="D103" s="3" t="inlineStr">
        <is>
          <t>38021</t>
        </is>
      </c>
      <c r="E103" s="3" t="inlineStr">
        <is>
          <t>21</t>
        </is>
      </c>
      <c r="F103" s="3" t="inlineStr">
        <is>
          <t>G7.4, G7.1</t>
        </is>
      </c>
      <c r="G103" s="3" t="inlineStr">
        <is>
          <t>Tổng 0, Tổng 2, Tổng 4, Tổng 5, Tổng 7, Tổng 9</t>
        </is>
      </c>
      <c r="H103" s="3" t="inlineStr">
        <is>
          <t>12346789</t>
        </is>
      </c>
      <c r="I103" s="3" t="inlineStr">
        <is>
          <t>Tổng 5-Bóng 0</t>
        </is>
      </c>
      <c r="J103" s="3" t="n">
        <v>56</v>
      </c>
      <c r="K103" s="6" t="inlineStr">
        <is>
          <t>TRƯỢT ❌</t>
        </is>
      </c>
      <c r="L103" s="3" t="inlineStr">
        <is>
          <t>04, 14, 23, 25, 28, 32, 37, 39, 40, 41, 48, 54, 59, 61, 64, 68, 69, 75, 84, 91</t>
        </is>
      </c>
      <c r="M103" s="6" t="inlineStr">
        <is>
          <t>TRƯỢT ❌</t>
        </is>
      </c>
      <c r="N103" s="7" t="inlineStr">
        <is>
          <t>TRÚNG N2 🎯</t>
        </is>
      </c>
      <c r="O103" s="3" t="inlineStr">
        <is>
          <t>02, 04, 07, 09, 11, 13, 14, 16, 18, 19, 20, 22, 23, 25, 27, 28, 31, 32, 34, 36, 37, 39, 40, 41, 43, 45, 46, 48, 52, 54, 57, 59, 61, 63, 64, 66, 68, 69, 70, 72, 73, 75, 77, 78, 81, 82, 84, 86, 87, 89, 90, 91, 93, 95, 96, 98</t>
        </is>
      </c>
    </row>
    <row r="104">
      <c r="A104" s="2" t="n">
        <v>137</v>
      </c>
      <c r="B104" s="2" t="inlineStr">
        <is>
          <t>Thứ sáu ngày 22-05-2026</t>
        </is>
      </c>
      <c r="C104" s="3" t="inlineStr">
        <is>
          <t>Thứ Năm</t>
        </is>
      </c>
      <c r="D104" s="3" t="inlineStr">
        <is>
          <t>72939</t>
        </is>
      </c>
      <c r="E104" s="3" t="inlineStr">
        <is>
          <t>39</t>
        </is>
      </c>
      <c r="F104" s="3" t="inlineStr">
        <is>
          <t>G7.4, G7.1</t>
        </is>
      </c>
      <c r="G104" s="3" t="inlineStr">
        <is>
          <t>Tổng 1, Tổng 2, Tổng 6, Tổng 7</t>
        </is>
      </c>
      <c r="H104" s="3" t="inlineStr">
        <is>
          <t>02345789</t>
        </is>
      </c>
      <c r="I104" s="3" t="inlineStr">
        <is>
          <t>Tổng 7-Bóng 2</t>
        </is>
      </c>
      <c r="J104" s="3" t="n">
        <v>36</v>
      </c>
      <c r="K104" s="7" t="inlineStr">
        <is>
          <t>TRÚNG N1 🎯</t>
        </is>
      </c>
      <c r="L104" s="3" t="inlineStr">
        <is>
          <t>06, 20, 24, 25, 29, 33, 38, 39, 43, 47, 48, 51, 52, 70, 75, 84, 88, 92, 93, 97</t>
        </is>
      </c>
      <c r="M104" s="7" t="inlineStr">
        <is>
          <t>TRÚNG HỎA LỰC 🎯</t>
        </is>
      </c>
      <c r="N104" s="7" t="inlineStr">
        <is>
          <t>TRÚNG N1 🎯</t>
        </is>
      </c>
      <c r="O104" s="3" t="inlineStr">
        <is>
          <t>01, 02, 06, 07, 10, 15, 20, 24, 25, 29, 33, 34, 38, 39, 42, 43, 47, 48, 51, 52, 56, 57, 60, 65, 70, 74, 75, 79, 83, 84, 88, 89, 92, 93, 97, 98</t>
        </is>
      </c>
    </row>
    <row r="105">
      <c r="A105" s="2" t="n">
        <v>136</v>
      </c>
      <c r="B105" s="2" t="inlineStr">
        <is>
          <t>Thứ năm ngày 21-05-2026</t>
        </is>
      </c>
      <c r="C105" s="3" t="inlineStr">
        <is>
          <t>Thứ Tư</t>
        </is>
      </c>
      <c r="D105" s="3" t="inlineStr">
        <is>
          <t>72685</t>
        </is>
      </c>
      <c r="E105" s="3" t="inlineStr">
        <is>
          <t>85</t>
        </is>
      </c>
      <c r="F105" s="3" t="inlineStr">
        <is>
          <t>G7.2, G7.3</t>
        </is>
      </c>
      <c r="G105" s="3" t="inlineStr">
        <is>
          <t>Tổng 2, Tổng 3, Tổng 7, Tổng 8</t>
        </is>
      </c>
      <c r="H105" s="3" t="inlineStr">
        <is>
          <t>01245679</t>
        </is>
      </c>
      <c r="I105" s="3" t="inlineStr">
        <is>
          <t>Tổng 2-Bóng 7</t>
        </is>
      </c>
      <c r="J105" s="3" t="n">
        <v>40</v>
      </c>
      <c r="K105" s="7" t="inlineStr">
        <is>
          <t>TRÚNG N1 🎯</t>
        </is>
      </c>
      <c r="L105" s="3" t="inlineStr">
        <is>
          <t>12, 17, 20, 25, 35, 39, 43, 44, 48, 52, 61, 66, 67, 70, 75, 76, 80, 84, 93, 94</t>
        </is>
      </c>
      <c r="M105" s="6" t="inlineStr">
        <is>
          <t>TRƯỢT ❌</t>
        </is>
      </c>
      <c r="N105" s="7" t="inlineStr">
        <is>
          <t>TRÚNG N1 🎯</t>
        </is>
      </c>
      <c r="O105" s="3" t="inlineStr">
        <is>
          <t>02, 03, 07, 08, 11, 12, 16, 17, 20, 21, 25, 26, 30, 34, 35, 39, 43, 44, 48, 49, 52, 53, 57, 58, 61, 62, 66, 67, 70, 71, 75, 76, 80, 84, 85, 89, 93, 94, 98, 99</t>
        </is>
      </c>
    </row>
    <row r="106">
      <c r="A106" s="2" t="n">
        <v>135</v>
      </c>
      <c r="B106" s="2" t="inlineStr">
        <is>
          <t>Thứ tư ngày 20-05-2026</t>
        </is>
      </c>
      <c r="C106" s="3" t="inlineStr">
        <is>
          <t>Thứ Ba</t>
        </is>
      </c>
      <c r="D106" s="3" t="inlineStr">
        <is>
          <t>88568</t>
        </is>
      </c>
      <c r="E106" s="3" t="inlineStr">
        <is>
          <t>68</t>
        </is>
      </c>
      <c r="F106" s="3" t="inlineStr">
        <is>
          <t>G7.3, G7.4</t>
        </is>
      </c>
      <c r="G106" s="3" t="inlineStr">
        <is>
          <t>Tổng 0, Tổng 3, Tổng 5, Tổng 8</t>
        </is>
      </c>
      <c r="H106" s="3" t="inlineStr">
        <is>
          <t>123678</t>
        </is>
      </c>
      <c r="I106" s="3" t="inlineStr">
        <is>
          <t>Tổng 3-Bóng 8</t>
        </is>
      </c>
      <c r="J106" s="3" t="n">
        <v>32</v>
      </c>
      <c r="K106" s="6" t="inlineStr">
        <is>
          <t>TRƯỢT ❌</t>
        </is>
      </c>
      <c r="L106" s="3" t="inlineStr">
        <is>
          <t>12, 14, 17, 19, 23, 28, 32, 35, 37, 41, 46, 53, 64, 67, 69, 76, 80, 82, 87, 91</t>
        </is>
      </c>
      <c r="M106" s="6" t="inlineStr">
        <is>
          <t>TRƯỢT ❌</t>
        </is>
      </c>
      <c r="N106" s="7" t="inlineStr">
        <is>
          <t>TRÚNG N2 🎯</t>
        </is>
      </c>
      <c r="O106" s="3" t="inlineStr">
        <is>
          <t>03, 08, 12, 14, 17, 19, 21, 23, 26, 28, 30, 32, 35, 37, 41, 46, 53, 58, 62, 64, 67, 69, 71, 73, 76, 78, 80, 82, 85, 87, 91, 96</t>
        </is>
      </c>
    </row>
    <row r="107">
      <c r="A107" s="2" t="n">
        <v>134</v>
      </c>
      <c r="B107" s="2" t="inlineStr">
        <is>
          <t>Thứ ba ngày 19-05-2026</t>
        </is>
      </c>
      <c r="C107" s="3" t="inlineStr">
        <is>
          <t>Thứ Hai</t>
        </is>
      </c>
      <c r="D107" s="3" t="inlineStr">
        <is>
          <t>81754</t>
        </is>
      </c>
      <c r="E107" s="3" t="inlineStr">
        <is>
          <t>54</t>
        </is>
      </c>
      <c r="F107" s="3" t="inlineStr">
        <is>
          <t>G7.4, G7.2</t>
        </is>
      </c>
      <c r="G107" s="3" t="inlineStr">
        <is>
          <t>Tổng 0, Tổng 1, Tổng 3, Tổng 5, Tổng 6, Tổng 8</t>
        </is>
      </c>
      <c r="H107" s="3" t="inlineStr">
        <is>
          <t>01245679</t>
        </is>
      </c>
      <c r="I107" s="3" t="inlineStr">
        <is>
          <t>Tổng 6-Bóng 1</t>
        </is>
      </c>
      <c r="J107" s="3" t="n">
        <v>56</v>
      </c>
      <c r="K107" s="6" t="inlineStr">
        <is>
          <t>TRƯỢT ❌</t>
        </is>
      </c>
      <c r="L107" s="3" t="inlineStr">
        <is>
          <t>12, 14, 17, 23, 24, 28, 32, 37, 41, 47, 50, 51, 55, 64, 69, 76, 91, 92, 94, 97</t>
        </is>
      </c>
      <c r="M107" s="6" t="inlineStr">
        <is>
          <t>TRƯỢT ❌</t>
        </is>
      </c>
      <c r="N107" s="7" t="inlineStr">
        <is>
          <t>TRÚNG N3 🎯</t>
        </is>
      </c>
      <c r="O107" s="3" t="inlineStr">
        <is>
          <t>00, 01, 03, 05, 06, 08, 10, 12, 14, 15, 17, 19, 21, 23, 24, 26, 28, 29, 30, 32, 35, 37, 41, 42, 44, 46, 47, 49, 50, 51, 53, 55, 56, 58, 60, 62, 64, 65, 67, 69, 71, 73, 74, 76, 78, 79, 80, 82, 85, 87, 91, 92, 94, 96, 97, 99</t>
        </is>
      </c>
    </row>
    <row r="108">
      <c r="A108" s="2" t="n">
        <v>133</v>
      </c>
      <c r="B108" s="2" t="inlineStr">
        <is>
          <t>Thứ hai ngày 18-05-2026</t>
        </is>
      </c>
      <c r="C108" s="3" t="inlineStr">
        <is>
          <t>Chủ Nhật</t>
        </is>
      </c>
      <c r="D108" s="3" t="inlineStr">
        <is>
          <t>55361</t>
        </is>
      </c>
      <c r="E108" s="3" t="inlineStr">
        <is>
          <t>61</t>
        </is>
      </c>
      <c r="F108" s="3" t="inlineStr">
        <is>
          <t>G7.3, G7.4</t>
        </is>
      </c>
      <c r="G108" s="3" t="inlineStr">
        <is>
          <t>Tổng 2, Tổng 3, Tổng 4, Tổng 7, Tổng 8, Tổng 9</t>
        </is>
      </c>
      <c r="H108" s="3" t="inlineStr">
        <is>
          <t>0123456789</t>
        </is>
      </c>
      <c r="I108" s="3" t="inlineStr">
        <is>
          <t>Tổng 3-Bóng 8</t>
        </is>
      </c>
      <c r="J108" s="3" t="n">
        <v>60</v>
      </c>
      <c r="K108" s="7" t="inlineStr">
        <is>
          <t>TRÚNG N1 🎯</t>
        </is>
      </c>
      <c r="L108" s="3" t="inlineStr">
        <is>
          <t>04, 12, 17, 22, 25, 39, 40, 43, 44, 48, 54, 59, 63, 66, 67, 75, 76, 84, 93, 94</t>
        </is>
      </c>
      <c r="M108" s="6" t="inlineStr">
        <is>
          <t>TRƯỢT ❌</t>
        </is>
      </c>
      <c r="N108" s="7" t="inlineStr">
        <is>
          <t>TRÚNG N1 🎯</t>
        </is>
      </c>
      <c r="O108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09">
      <c r="A109" s="2" t="n">
        <v>132</v>
      </c>
      <c r="B109" s="2" t="inlineStr">
        <is>
          <t>Chủ nhật ngày 17-05-2026</t>
        </is>
      </c>
      <c r="C109" s="3" t="inlineStr">
        <is>
          <t>Thứ Bảy</t>
        </is>
      </c>
      <c r="D109" s="3" t="inlineStr">
        <is>
          <t>96684</t>
        </is>
      </c>
      <c r="E109" s="3" t="inlineStr">
        <is>
          <t>84</t>
        </is>
      </c>
      <c r="F109" s="3" t="inlineStr">
        <is>
          <t>G7.1, G7.3</t>
        </is>
      </c>
      <c r="G109" s="3" t="inlineStr">
        <is>
          <t>Tổng 0, Tổng 2, Tổng 4, Tổng 5, Tổng 7, Tổng 9</t>
        </is>
      </c>
      <c r="H109" s="3" t="inlineStr">
        <is>
          <t>01345689</t>
        </is>
      </c>
      <c r="I109" s="3" t="inlineStr">
        <is>
          <t>Tổng 0-Bóng 5</t>
        </is>
      </c>
      <c r="J109" s="3" t="n">
        <v>56</v>
      </c>
      <c r="K109" s="7" t="inlineStr">
        <is>
          <t>TRÚNG N1 🎯</t>
        </is>
      </c>
      <c r="L109" s="3" t="inlineStr">
        <is>
          <t>04, 14, 23, 25, 28, 32, 37, 39, 40, 41, 43, 48, 50, 54, 55, 59, 64, 69, 75, 91</t>
        </is>
      </c>
      <c r="M109" s="6" t="inlineStr">
        <is>
          <t>TRƯỢT ❌</t>
        </is>
      </c>
      <c r="N109" s="7" t="inlineStr">
        <is>
          <t>TRÚNG N1 🎯</t>
        </is>
      </c>
      <c r="O109" s="3" t="inlineStr">
        <is>
          <t>00, 02, 04, 05, 07, 09, 11, 13, 14, 16, 18, 19, 20, 23, 25, 28, 31, 32, 34, 36, 37, 39, 40, 41, 43, 45, 46, 48, 50, 52, 54, 55, 57, 59, 61, 63, 64, 66, 68, 69, 70, 73, 75, 78, 81, 82, 84, 86, 87, 89, 90, 91, 93, 95, 96, 98</t>
        </is>
      </c>
    </row>
    <row r="110">
      <c r="A110" s="2" t="n">
        <v>131</v>
      </c>
      <c r="B110" s="2" t="inlineStr">
        <is>
          <t>Thứ bảy ngày 16-05-2026</t>
        </is>
      </c>
      <c r="C110" s="3" t="inlineStr">
        <is>
          <t>Thứ Sáu</t>
        </is>
      </c>
      <c r="D110" s="3" t="inlineStr">
        <is>
          <t>19404</t>
        </is>
      </c>
      <c r="E110" s="3" t="inlineStr">
        <is>
          <t>04</t>
        </is>
      </c>
      <c r="F110" s="3" t="inlineStr">
        <is>
          <t>G7.4, G7.1</t>
        </is>
      </c>
      <c r="G110" s="3" t="inlineStr">
        <is>
          <t>Tổng 1, Tổng 2, Tổng 3, Tổng 6, Tổng 7, Tổng 8</t>
        </is>
      </c>
      <c r="H110" s="3" t="inlineStr">
        <is>
          <t>02345789</t>
        </is>
      </c>
      <c r="I110" s="3" t="inlineStr">
        <is>
          <t>Tổng 7-Bóng 2</t>
        </is>
      </c>
      <c r="J110" s="3" t="n">
        <v>56</v>
      </c>
      <c r="K110" s="6" t="inlineStr">
        <is>
          <t>TRƯỢT ❌</t>
        </is>
      </c>
      <c r="L110" s="3" t="inlineStr">
        <is>
          <t>06, 12, 17, 24, 25, 29, 33, 35, 38, 39, 43, 47, 48, 51, 75, 76, 88, 92, 94, 97</t>
        </is>
      </c>
      <c r="M110" s="6" t="inlineStr">
        <is>
          <t>TRƯỢT ❌</t>
        </is>
      </c>
      <c r="N110" s="7" t="inlineStr">
        <is>
          <t>TRÚNG N2 🎯</t>
        </is>
      </c>
      <c r="O110" s="3" t="inlineStr">
        <is>
          <t>01, 02, 03, 06, 07, 08, 10, 12, 15, 17, 20, 21, 24, 25, 26, 29, 30, 33, 34, 35, 38, 39, 42, 43, 44, 47, 48, 49, 51, 52, 53, 56, 57, 58, 60, 62, 65, 67, 70, 71, 74, 75, 76, 79, 80, 83, 84, 85, 88, 89, 92, 93, 94, 97, 98, 99</t>
        </is>
      </c>
    </row>
    <row r="111">
      <c r="A111" s="2" t="n">
        <v>130</v>
      </c>
      <c r="B111" s="2" t="inlineStr">
        <is>
          <t>Thứ sáu ngày 15-05-2026</t>
        </is>
      </c>
      <c r="C111" s="3" t="inlineStr">
        <is>
          <t>Thứ Năm</t>
        </is>
      </c>
      <c r="D111" s="3" t="inlineStr">
        <is>
          <t>67294</t>
        </is>
      </c>
      <c r="E111" s="3" t="inlineStr">
        <is>
          <t>94</t>
        </is>
      </c>
      <c r="F111" s="3" t="inlineStr">
        <is>
          <t>G7.4, G7.1</t>
        </is>
      </c>
      <c r="G111" s="3" t="inlineStr">
        <is>
          <t>Tổng 2, Tổng 3, Tổng 4, Tổng 7, Tổng 8, Tổng 9</t>
        </is>
      </c>
      <c r="H111" s="3" t="inlineStr">
        <is>
          <t>0123456789</t>
        </is>
      </c>
      <c r="I111" s="3" t="inlineStr">
        <is>
          <t>Tổng 3-Bóng 8</t>
        </is>
      </c>
      <c r="J111" s="3" t="n">
        <v>60</v>
      </c>
      <c r="K111" s="7" t="inlineStr">
        <is>
          <t>TRÚNG N1 🎯</t>
        </is>
      </c>
      <c r="L111" s="3" t="inlineStr">
        <is>
          <t>04, 12, 17, 22, 25, 35, 39, 40, 43, 48, 52, 54, 59, 63, 66, 67, 75, 76, 93, 94</t>
        </is>
      </c>
      <c r="M111" s="7" t="inlineStr">
        <is>
          <t>TRÚNG HỎA LỰC 🎯</t>
        </is>
      </c>
      <c r="N111" s="7" t="inlineStr">
        <is>
          <t>TRÚNG N1 🎯</t>
        </is>
      </c>
      <c r="O111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12">
      <c r="A112" s="2" t="n">
        <v>129</v>
      </c>
      <c r="B112" s="2" t="inlineStr">
        <is>
          <t>Thứ năm ngày 14-05-2026</t>
        </is>
      </c>
      <c r="C112" s="3" t="inlineStr">
        <is>
          <t>Thứ Tư</t>
        </is>
      </c>
      <c r="D112" s="3" t="inlineStr">
        <is>
          <t>76669</t>
        </is>
      </c>
      <c r="E112" s="3" t="inlineStr">
        <is>
          <t>69</t>
        </is>
      </c>
      <c r="F112" s="3" t="inlineStr">
        <is>
          <t>G7.2, G7.3</t>
        </is>
      </c>
      <c r="G112" s="3" t="inlineStr">
        <is>
          <t>Tổng 1, Tổng 3, Tổng 4, Tổng 6, Tổng 8, Tổng 9</t>
        </is>
      </c>
      <c r="H112" s="3" t="inlineStr">
        <is>
          <t>034589</t>
        </is>
      </c>
      <c r="I112" s="3" t="inlineStr">
        <is>
          <t>Tổng 6-Bóng 1</t>
        </is>
      </c>
      <c r="J112" s="3" t="n">
        <v>48</v>
      </c>
      <c r="K112" s="6" t="inlineStr">
        <is>
          <t>TRƯỢT ❌</t>
        </is>
      </c>
      <c r="L112" s="3" t="inlineStr">
        <is>
          <t>01, 04, 06, 24, 29, 33, 35, 38, 40, 44, 47, 51, 54, 59, 63, 88, 92, 94, 95, 97</t>
        </is>
      </c>
      <c r="M112" s="6" t="inlineStr">
        <is>
          <t>TRƯỢT ❌</t>
        </is>
      </c>
      <c r="N112" s="7" t="inlineStr">
        <is>
          <t>TRÚNG N2 🎯</t>
        </is>
      </c>
      <c r="O112" s="3" t="inlineStr">
        <is>
          <t>01, 03, 04, 06, 08, 09, 10, 13, 15, 18, 24, 29, 30, 31, 33, 35, 36, 38, 40, 42, 44, 45, 47, 49, 51, 53, 54, 56, 58, 59, 60, 63, 65, 68, 74, 79, 80, 81, 83, 85, 86, 88, 90, 92, 94, 95, 97, 99</t>
        </is>
      </c>
    </row>
    <row r="113">
      <c r="A113" s="2" t="n">
        <v>128</v>
      </c>
      <c r="B113" s="2" t="inlineStr">
        <is>
          <t>Thứ tư ngày 13-05-2026</t>
        </is>
      </c>
      <c r="C113" s="3" t="inlineStr">
        <is>
          <t>Thứ Ba</t>
        </is>
      </c>
      <c r="D113" s="3" t="inlineStr">
        <is>
          <t>64138</t>
        </is>
      </c>
      <c r="E113" s="3" t="inlineStr">
        <is>
          <t>38</t>
        </is>
      </c>
      <c r="F113" s="3" t="inlineStr">
        <is>
          <t>G7.4, G7.3</t>
        </is>
      </c>
      <c r="G113" s="3" t="inlineStr">
        <is>
          <t>Tổng 0, Tổng 3, Tổng 4, Tổng 5, Tổng 8, Tổng 9</t>
        </is>
      </c>
      <c r="H113" s="3" t="inlineStr">
        <is>
          <t>01235678</t>
        </is>
      </c>
      <c r="I113" s="3" t="inlineStr">
        <is>
          <t>Tổng 0-Bóng 5</t>
        </is>
      </c>
      <c r="J113" s="3" t="n">
        <v>56</v>
      </c>
      <c r="K113" s="6" t="inlineStr">
        <is>
          <t>TRƯỢT ❌</t>
        </is>
      </c>
      <c r="L113" s="3" t="inlineStr">
        <is>
          <t>04, 12, 14, 17, 22, 23, 28, 32, 35, 37, 40, 41, 54, 55, 59, 63, 64, 69, 76, 91</t>
        </is>
      </c>
      <c r="M113" s="6" t="inlineStr">
        <is>
          <t>TRƯỢT ❌</t>
        </is>
      </c>
      <c r="N113" s="7" t="inlineStr">
        <is>
          <t>TRÚNG N2 🎯</t>
        </is>
      </c>
      <c r="O113" s="3" t="inlineStr">
        <is>
          <t>00, 03, 04, 05, 08, 09, 12, 13, 14, 17, 18, 19, 21, 22, 23, 26, 27, 28, 30, 31, 32, 35, 36, 37, 40, 41, 45, 46, 50, 53, 54, 55, 58, 59, 62, 63, 64, 67, 68, 69, 71, 72, 73, 76, 77, 78, 80, 81, 82, 85, 86, 87, 90, 91, 95, 96</t>
        </is>
      </c>
    </row>
    <row r="114">
      <c r="A114" s="2" t="n">
        <v>127</v>
      </c>
      <c r="B114" s="2" t="inlineStr">
        <is>
          <t>Thứ ba ngày 12-05-2026</t>
        </is>
      </c>
      <c r="C114" s="3" t="inlineStr">
        <is>
          <t>Thứ Hai</t>
        </is>
      </c>
      <c r="D114" s="3" t="inlineStr">
        <is>
          <t>52233</t>
        </is>
      </c>
      <c r="E114" s="3" t="inlineStr">
        <is>
          <t>33</t>
        </is>
      </c>
      <c r="F114" s="3" t="inlineStr">
        <is>
          <t>G7.4, G7.2</t>
        </is>
      </c>
      <c r="G114" s="3" t="inlineStr">
        <is>
          <t>Tổng 1, Tổng 4, Tổng 6, Tổng 9</t>
        </is>
      </c>
      <c r="H114" s="3" t="inlineStr">
        <is>
          <t>01345689</t>
        </is>
      </c>
      <c r="I114" s="3" t="inlineStr">
        <is>
          <t>Tổng 4-Bóng 9</t>
        </is>
      </c>
      <c r="J114" s="3" t="n">
        <v>36</v>
      </c>
      <c r="K114" s="7" t="inlineStr">
        <is>
          <t>TRÚNG N1 🎯</t>
        </is>
      </c>
      <c r="L114" s="3" t="inlineStr">
        <is>
          <t>01, 04, 06, 13, 24, 29, 36, 38, 40, 42, 47, 51, 54, 59, 63, 81, 88, 92, 95, 97</t>
        </is>
      </c>
      <c r="M114" s="6" t="inlineStr">
        <is>
          <t>TRƯỢT ❌</t>
        </is>
      </c>
      <c r="N114" s="7" t="inlineStr">
        <is>
          <t>TRÚNG N1 🎯</t>
        </is>
      </c>
      <c r="O114" s="3" t="inlineStr">
        <is>
          <t>01, 04, 06, 09, 10, 13, 15, 18, 24, 29, 31, 33, 36, 38, 40, 42, 45, 47, 51, 54, 56, 59, 60, 63, 65, 68, 74, 79, 81, 83, 86, 88, 90, 92, 95, 97</t>
        </is>
      </c>
    </row>
    <row r="115">
      <c r="A115" s="2" t="n">
        <v>126</v>
      </c>
      <c r="B115" s="2" t="inlineStr">
        <is>
          <t>Thứ hai ngày 11-05-2026</t>
        </is>
      </c>
      <c r="C115" s="3" t="inlineStr">
        <is>
          <t>Chủ Nhật</t>
        </is>
      </c>
      <c r="D115" s="3" t="inlineStr">
        <is>
          <t>52117</t>
        </is>
      </c>
      <c r="E115" s="3" t="inlineStr">
        <is>
          <t>17</t>
        </is>
      </c>
      <c r="F115" s="3" t="inlineStr">
        <is>
          <t>G7.3, G7.1</t>
        </is>
      </c>
      <c r="G115" s="3" t="inlineStr">
        <is>
          <t>Tổng 3, Tổng 8</t>
        </is>
      </c>
      <c r="H115" s="3" t="inlineStr">
        <is>
          <t>01235678</t>
        </is>
      </c>
      <c r="I115" s="3" t="inlineStr">
        <is>
          <t>Tổng 3-Bóng 8</t>
        </is>
      </c>
      <c r="J115" s="3" t="n">
        <v>16</v>
      </c>
      <c r="K115" s="7" t="inlineStr">
        <is>
          <t>TRÚNG N1 🎯</t>
        </is>
      </c>
      <c r="L115" s="3" t="inlineStr">
        <is>
          <t>03, 08, 12, 17, 21, 26, 30, 35, 53, 58, 62, 67, 71, 76, 80, 85</t>
        </is>
      </c>
      <c r="M115" s="7" t="inlineStr">
        <is>
          <t>TRÚNG HỎA LỰC 🎯</t>
        </is>
      </c>
      <c r="N115" s="7" t="inlineStr">
        <is>
          <t>TRÚNG N1 🎯</t>
        </is>
      </c>
      <c r="O115" s="3" t="inlineStr">
        <is>
          <t>03, 08, 12, 17, 21, 26, 30, 35, 53, 58, 62, 67, 71, 76, 80, 85</t>
        </is>
      </c>
    </row>
    <row r="116">
      <c r="A116" s="2" t="n">
        <v>125</v>
      </c>
      <c r="B116" s="2" t="inlineStr">
        <is>
          <t>Chủ nhật ngày 10-05-2026</t>
        </is>
      </c>
      <c r="C116" s="3" t="inlineStr">
        <is>
          <t>Thứ Bảy</t>
        </is>
      </c>
      <c r="D116" s="3" t="inlineStr">
        <is>
          <t>76223</t>
        </is>
      </c>
      <c r="E116" s="3" t="inlineStr">
        <is>
          <t>23</t>
        </is>
      </c>
      <c r="F116" s="3" t="inlineStr">
        <is>
          <t>G7.1, G7.3</t>
        </is>
      </c>
      <c r="G116" s="3" t="inlineStr">
        <is>
          <t>Tổng 0, Tổng 4, Tổng 5, Tổng 9</t>
        </is>
      </c>
      <c r="H116" s="3" t="inlineStr">
        <is>
          <t>01345689</t>
        </is>
      </c>
      <c r="I116" s="3" t="inlineStr">
        <is>
          <t>Tổng 5-Bóng 0</t>
        </is>
      </c>
      <c r="J116" s="3" t="n">
        <v>36</v>
      </c>
      <c r="K116" s="7" t="inlineStr">
        <is>
          <t>TRÚNG N1 🎯</t>
        </is>
      </c>
      <c r="L116" s="3" t="inlineStr">
        <is>
          <t>00, 04, 14, 28, 32, 37, 40, 41, 46, 50, 54, 55, 59, 63, 64, 68, 69, 82, 87, 91</t>
        </is>
      </c>
      <c r="M116" s="6" t="inlineStr">
        <is>
          <t>TRƯỢT ❌</t>
        </is>
      </c>
      <c r="N116" s="7" t="inlineStr">
        <is>
          <t>TRÚNG N1 🎯</t>
        </is>
      </c>
      <c r="O116" s="3" t="inlineStr">
        <is>
          <t>00, 04, 05, 09, 13, 14, 18, 19, 23, 28, 31, 32, 36, 37, 40, 41, 45, 46, 50, 54, 55, 59, 63, 64, 68, 69, 73, 78, 81, 82, 86, 87, 90, 91, 95, 96</t>
        </is>
      </c>
    </row>
    <row r="117">
      <c r="A117" s="2" t="n">
        <v>124</v>
      </c>
      <c r="B117" s="2" t="inlineStr">
        <is>
          <t>Thứ bảy ngày 09-05-2026</t>
        </is>
      </c>
      <c r="C117" s="3" t="inlineStr">
        <is>
          <t>Thứ Sáu</t>
        </is>
      </c>
      <c r="D117" s="3" t="inlineStr">
        <is>
          <t>26192</t>
        </is>
      </c>
      <c r="E117" s="3" t="inlineStr">
        <is>
          <t>92</t>
        </is>
      </c>
      <c r="F117" s="3" t="inlineStr">
        <is>
          <t>G7.4, G7.1</t>
        </is>
      </c>
      <c r="G117" s="3" t="inlineStr">
        <is>
          <t>Tổng 0, Tổng 3, Tổng 5, Tổng 8</t>
        </is>
      </c>
      <c r="H117" s="3" t="inlineStr">
        <is>
          <t>01245679</t>
        </is>
      </c>
      <c r="I117" s="3" t="inlineStr">
        <is>
          <t>Tổng 0-Bóng 5</t>
        </is>
      </c>
      <c r="J117" s="3" t="n">
        <v>40</v>
      </c>
      <c r="K117" s="6" t="inlineStr">
        <is>
          <t>TRƯỢT ❌</t>
        </is>
      </c>
      <c r="L117" s="3" t="inlineStr">
        <is>
          <t>00, 12, 14, 17, 28, 32, 35, 37, 41, 46, 50, 55, 64, 67, 69, 76, 82, 87, 91, 94</t>
        </is>
      </c>
      <c r="M117" s="6" t="inlineStr">
        <is>
          <t>TRƯỢT ❌</t>
        </is>
      </c>
      <c r="N117" s="7" t="inlineStr">
        <is>
          <t>TRÚNG N2 🎯</t>
        </is>
      </c>
      <c r="O117" s="3" t="inlineStr">
        <is>
          <t>00, 03, 05, 08, 12, 14, 17, 19, 21, 23, 26, 28, 30, 32, 35, 37, 41, 44, 46, 49, 50, 53, 55, 58, 62, 64, 67, 69, 71, 73, 76, 78, 80, 82, 85, 87, 91, 94, 96, 99</t>
        </is>
      </c>
    </row>
    <row r="118">
      <c r="A118" s="2" t="n">
        <v>123</v>
      </c>
      <c r="B118" s="2" t="inlineStr">
        <is>
          <t>Thứ sáu ngày 08-05-2026</t>
        </is>
      </c>
      <c r="C118" s="3" t="inlineStr">
        <is>
          <t>Thứ Năm</t>
        </is>
      </c>
      <c r="D118" s="3" t="inlineStr">
        <is>
          <t>29147</t>
        </is>
      </c>
      <c r="E118" s="3" t="inlineStr">
        <is>
          <t>47</t>
        </is>
      </c>
      <c r="F118" s="3" t="inlineStr">
        <is>
          <t>G7.4, G7.1</t>
        </is>
      </c>
      <c r="G118" s="3" t="inlineStr">
        <is>
          <t>Tổng 1, Tổng 2, Tổng 6, Tổng 7</t>
        </is>
      </c>
      <c r="H118" s="3" t="inlineStr">
        <is>
          <t>014569</t>
        </is>
      </c>
      <c r="I118" s="3" t="inlineStr">
        <is>
          <t>Tổng 7-Bóng 2</t>
        </is>
      </c>
      <c r="J118" s="3" t="n">
        <v>36</v>
      </c>
      <c r="K118" s="7" t="inlineStr">
        <is>
          <t>TRÚNG N1 🎯</t>
        </is>
      </c>
      <c r="L118" s="3" t="inlineStr">
        <is>
          <t>01, 06, 07, 20, 24, 25, 29, 39, 42, 43, 48, 51, 52, 57, 66, 70, 75, 92, 93, 97</t>
        </is>
      </c>
      <c r="M118" s="6" t="inlineStr">
        <is>
          <t>TRƯỢT ❌</t>
        </is>
      </c>
      <c r="N118" s="7" t="inlineStr">
        <is>
          <t>TRÚNG N1 🎯</t>
        </is>
      </c>
      <c r="O118" s="3" t="inlineStr">
        <is>
          <t>01, 02, 06, 07, 10, 11, 15, 16, 20, 24, 25, 29, 34, 39, 42, 43, 47, 48, 51, 52, 56, 57, 60, 61, 65, 66, 70, 74, 75, 79, 84, 89, 92, 93, 97, 98</t>
        </is>
      </c>
    </row>
    <row r="119">
      <c r="A119" s="2" t="n">
        <v>122</v>
      </c>
      <c r="B119" s="2" t="inlineStr">
        <is>
          <t>Thứ năm ngày 07-05-2026</t>
        </is>
      </c>
      <c r="C119" s="3" t="inlineStr">
        <is>
          <t>Thứ Tư</t>
        </is>
      </c>
      <c r="D119" s="3" t="inlineStr">
        <is>
          <t>14540</t>
        </is>
      </c>
      <c r="E119" s="3" t="inlineStr">
        <is>
          <t>40</t>
        </is>
      </c>
      <c r="F119" s="3" t="inlineStr">
        <is>
          <t>G7.2, G7.4</t>
        </is>
      </c>
      <c r="G119" s="3" t="inlineStr">
        <is>
          <t>Tổng 0, Tổng 2, Tổng 4, Tổng 5, Tổng 7, Tổng 9</t>
        </is>
      </c>
      <c r="H119" s="3" t="inlineStr">
        <is>
          <t>01245679</t>
        </is>
      </c>
      <c r="I119" s="3" t="inlineStr">
        <is>
          <t>Tổng 4-Bóng 9</t>
        </is>
      </c>
      <c r="J119" s="3" t="n">
        <v>60</v>
      </c>
      <c r="K119" s="7" t="inlineStr">
        <is>
          <t>TRÚNG N1 🎯</t>
        </is>
      </c>
      <c r="L119" s="3" t="inlineStr">
        <is>
          <t>00, 04, 14, 25, 28, 32, 37, 39, 41, 43, 48, 50, 54, 55, 59, 63, 64, 69, 75, 82</t>
        </is>
      </c>
      <c r="M119" s="6" t="inlineStr">
        <is>
          <t>TRƯỢT ❌</t>
        </is>
      </c>
      <c r="N119" s="7" t="inlineStr">
        <is>
          <t>TRÚNG N1 🎯</t>
        </is>
      </c>
      <c r="O11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20">
      <c r="A120" s="2" t="n">
        <v>121</v>
      </c>
      <c r="B120" s="2" t="inlineStr">
        <is>
          <t>Thứ tư ngày 06-05-2026</t>
        </is>
      </c>
      <c r="C120" s="3" t="inlineStr">
        <is>
          <t>Thứ Ba</t>
        </is>
      </c>
      <c r="D120" s="3" t="inlineStr">
        <is>
          <t>80241</t>
        </is>
      </c>
      <c r="E120" s="3" t="inlineStr">
        <is>
          <t>41</t>
        </is>
      </c>
      <c r="F120" s="3" t="inlineStr">
        <is>
          <t>G7.4, G7.3</t>
        </is>
      </c>
      <c r="G120" s="3" t="inlineStr">
        <is>
          <t>Tổng 0, Tổng 3, Tổng 4, Tổng 5, Tổng 8, Tổng 9</t>
        </is>
      </c>
      <c r="H120" s="3" t="inlineStr">
        <is>
          <t>0123456789</t>
        </is>
      </c>
      <c r="I120" s="3" t="inlineStr">
        <is>
          <t>Tổng 3-Bóng 8</t>
        </is>
      </c>
      <c r="J120" s="3" t="n">
        <v>60</v>
      </c>
      <c r="K120" s="7" t="inlineStr">
        <is>
          <t>TRÚNG N1 🎯</t>
        </is>
      </c>
      <c r="L120" s="3" t="inlineStr">
        <is>
          <t>00, 04, 12, 14, 17, 28, 32, 35, 37, 50, 54, 55, 59, 63, 64, 68, 69, 76, 82, 91</t>
        </is>
      </c>
      <c r="M120" s="6" t="inlineStr">
        <is>
          <t>TRƯỢT ❌</t>
        </is>
      </c>
      <c r="N120" s="7" t="inlineStr">
        <is>
          <t>TRÚNG N1 🎯</t>
        </is>
      </c>
      <c r="O120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21">
      <c r="A121" s="2" t="n">
        <v>120</v>
      </c>
      <c r="B121" s="2" t="inlineStr">
        <is>
          <t>Thứ ba ngày 05-05-2026</t>
        </is>
      </c>
      <c r="C121" s="3" t="inlineStr">
        <is>
          <t>Thứ Hai</t>
        </is>
      </c>
      <c r="D121" s="3" t="inlineStr">
        <is>
          <t>22512</t>
        </is>
      </c>
      <c r="E121" s="3" t="inlineStr">
        <is>
          <t>12</t>
        </is>
      </c>
      <c r="F121" s="3" t="inlineStr">
        <is>
          <t>G7.4, G7.2</t>
        </is>
      </c>
      <c r="G121" s="3" t="inlineStr">
        <is>
          <t>Tổng 0, Tổng 3, Tổng 5, Tổng 8</t>
        </is>
      </c>
      <c r="H121" s="3" t="inlineStr">
        <is>
          <t>0123456789</t>
        </is>
      </c>
      <c r="I121" s="3" t="inlineStr">
        <is>
          <t>Tổng 8-Bóng 3</t>
        </is>
      </c>
      <c r="J121" s="3" t="n">
        <v>40</v>
      </c>
      <c r="K121" s="7" t="inlineStr">
        <is>
          <t>TRÚNG N1 🎯</t>
        </is>
      </c>
      <c r="L121" s="3" t="inlineStr">
        <is>
          <t>00, 14, 17, 28, 32, 35, 37, 46, 49, 50, 55, 64, 67, 69, 76, 80, 82, 87, 91, 94</t>
        </is>
      </c>
      <c r="M121" s="6" t="inlineStr">
        <is>
          <t>TRƯỢT ❌</t>
        </is>
      </c>
      <c r="N121" s="7" t="inlineStr">
        <is>
          <t>TRÚNG N1 🎯</t>
        </is>
      </c>
      <c r="O121" s="3" t="inlineStr">
        <is>
          <t>00, 03, 05, 08, 12, 14, 17, 19, 21, 23, 26, 28, 30, 32, 35, 37, 41, 44, 46, 49, 50, 53, 55, 58, 62, 64, 67, 69, 71, 73, 76, 78, 80, 82, 85, 87, 91, 94, 96, 99</t>
        </is>
      </c>
    </row>
    <row r="122">
      <c r="A122" s="2" t="n">
        <v>119</v>
      </c>
      <c r="B122" s="2" t="inlineStr">
        <is>
          <t>Thứ hai ngày 04-05-2026</t>
        </is>
      </c>
      <c r="C122" s="3" t="inlineStr">
        <is>
          <t>Chủ Nhật</t>
        </is>
      </c>
      <c r="D122" s="3" t="inlineStr">
        <is>
          <t>11251</t>
        </is>
      </c>
      <c r="E122" s="3" t="inlineStr">
        <is>
          <t>51</t>
        </is>
      </c>
      <c r="F122" s="3" t="inlineStr">
        <is>
          <t>G7.3, G7.1</t>
        </is>
      </c>
      <c r="G122" s="3" t="inlineStr">
        <is>
          <t>Tổng 0, Tổng 1, Tổng 4, Tổng 5, Tổng 6, Tổng 9</t>
        </is>
      </c>
      <c r="H122" s="3" t="inlineStr">
        <is>
          <t>0123456789</t>
        </is>
      </c>
      <c r="I122" s="3" t="inlineStr">
        <is>
          <t>Tổng 5-Bóng 0</t>
        </is>
      </c>
      <c r="J122" s="3" t="n">
        <v>60</v>
      </c>
      <c r="K122" s="7" t="inlineStr">
        <is>
          <t>TRÚNG N1 🎯</t>
        </is>
      </c>
      <c r="L122" s="3" t="inlineStr">
        <is>
          <t>00, 04, 06, 14, 24, 28, 32, 37, 38, 50, 54, 55, 59, 63, 64, 69, 82, 88, 91, 97</t>
        </is>
      </c>
      <c r="M122" s="6" t="inlineStr">
        <is>
          <t>TRƯỢT ❌</t>
        </is>
      </c>
      <c r="N122" s="7" t="inlineStr">
        <is>
          <t>TRÚNG N1 🎯</t>
        </is>
      </c>
      <c r="O122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23">
      <c r="A123" s="2" t="n">
        <v>118</v>
      </c>
      <c r="B123" s="2" t="inlineStr">
        <is>
          <t>Chủ nhật ngày 03-05-2026</t>
        </is>
      </c>
      <c r="C123" s="3" t="inlineStr">
        <is>
          <t>Thứ Bảy</t>
        </is>
      </c>
      <c r="D123" s="3" t="inlineStr">
        <is>
          <t>32964</t>
        </is>
      </c>
      <c r="E123" s="3" t="inlineStr">
        <is>
          <t>64</t>
        </is>
      </c>
      <c r="F123" s="3" t="inlineStr">
        <is>
          <t>G7.1, G7.3</t>
        </is>
      </c>
      <c r="G123" s="3" t="inlineStr">
        <is>
          <t>Tổng 0, Tổng 1, Tổng 3, Tổng 5, Tổng 6, Tổng 8</t>
        </is>
      </c>
      <c r="H123" s="3" t="inlineStr">
        <is>
          <t>12346789</t>
        </is>
      </c>
      <c r="I123" s="3" t="inlineStr">
        <is>
          <t>Tổng 1-Bóng 6</t>
        </is>
      </c>
      <c r="J123" s="3" t="n">
        <v>56</v>
      </c>
      <c r="K123" s="7" t="inlineStr">
        <is>
          <t>TRÚNG N1 🎯</t>
        </is>
      </c>
      <c r="L123" s="3" t="inlineStr">
        <is>
          <t>06, 14, 17, 19, 24, 28, 29, 32, 35, 37, 38, 44, 46, 69, 76, 80, 82, 88, 91, 97</t>
        </is>
      </c>
      <c r="M123" s="6" t="inlineStr">
        <is>
          <t>TRƯỢT ❌</t>
        </is>
      </c>
      <c r="N123" s="7" t="inlineStr">
        <is>
          <t>TRÚNG N1 🎯</t>
        </is>
      </c>
      <c r="O123" s="3" t="inlineStr">
        <is>
          <t>01, 03, 06, 08, 10, 12, 14, 15, 17, 19, 21, 23, 24, 26, 28, 29, 30, 32, 33, 35, 37, 38, 41, 42, 44, 46, 47, 49, 51, 53, 56, 58, 60, 62, 64, 65, 67, 69, 71, 73, 74, 76, 78, 79, 80, 82, 83, 85, 87, 88, 91, 92, 94, 96, 97, 99</t>
        </is>
      </c>
    </row>
    <row r="124">
      <c r="A124" s="2" t="n">
        <v>117</v>
      </c>
      <c r="B124" s="2" t="inlineStr">
        <is>
          <t>Thứ bảy ngày 02-05-2026</t>
        </is>
      </c>
      <c r="C124" s="3" t="inlineStr">
        <is>
          <t>Thứ Sáu</t>
        </is>
      </c>
      <c r="D124" s="3" t="inlineStr">
        <is>
          <t>16132</t>
        </is>
      </c>
      <c r="E124" s="3" t="inlineStr">
        <is>
          <t>32</t>
        </is>
      </c>
      <c r="F124" s="3" t="inlineStr">
        <is>
          <t>G7.4, G7.1</t>
        </is>
      </c>
      <c r="G124" s="3" t="inlineStr">
        <is>
          <t>Tổng 0, Tổng 2, Tổng 5, Tổng 7</t>
        </is>
      </c>
      <c r="H124" s="3" t="inlineStr">
        <is>
          <t>12346789</t>
        </is>
      </c>
      <c r="I124" s="3" t="inlineStr">
        <is>
          <t>Tổng 0-Bóng 5</t>
        </is>
      </c>
      <c r="J124" s="3" t="n">
        <v>36</v>
      </c>
      <c r="K124" s="7" t="inlineStr">
        <is>
          <t>TRÚNG N1 🎯</t>
        </is>
      </c>
      <c r="L124" s="3" t="inlineStr">
        <is>
          <t>14, 19, 20, 25, 28, 37, 39, 43, 46, 48, 52, 66, 69, 70, 75, 78, 82, 87, 91, 93</t>
        </is>
      </c>
      <c r="M124" s="6" t="inlineStr">
        <is>
          <t>TRƯỢT ❌</t>
        </is>
      </c>
      <c r="N124" s="7" t="inlineStr">
        <is>
          <t>TRÚNG N1 🎯</t>
        </is>
      </c>
      <c r="O124" s="3" t="inlineStr">
        <is>
          <t>02, 07, 11, 14, 16, 19, 20, 23, 25, 28, 32, 34, 37, 39, 41, 43, 46, 48, 52, 57, 61, 64, 66, 69, 70, 73, 75, 78, 82, 84, 87, 89, 91, 93, 96, 98</t>
        </is>
      </c>
    </row>
    <row r="125">
      <c r="A125" s="2" t="n">
        <v>116</v>
      </c>
      <c r="B125" s="2" t="inlineStr">
        <is>
          <t>Thứ sáu ngày 01-05-2026</t>
        </is>
      </c>
      <c r="C125" s="3" t="inlineStr">
        <is>
          <t>Thứ Năm</t>
        </is>
      </c>
      <c r="D125" s="3" t="inlineStr">
        <is>
          <t>96637</t>
        </is>
      </c>
      <c r="E125" s="3" t="inlineStr">
        <is>
          <t>37</t>
        </is>
      </c>
      <c r="F125" s="3" t="inlineStr">
        <is>
          <t>G7.4, G7.1</t>
        </is>
      </c>
      <c r="G125" s="3" t="inlineStr">
        <is>
          <t>Tổng 1, Tổng 2, Tổng 3, Tổng 6, Tổng 7, Tổng 8</t>
        </is>
      </c>
      <c r="H125" s="3" t="inlineStr">
        <is>
          <t>0123456789</t>
        </is>
      </c>
      <c r="I125" s="3" t="inlineStr">
        <is>
          <t>Tổng 7-Bóng 2</t>
        </is>
      </c>
      <c r="J125" s="3" t="n">
        <v>60</v>
      </c>
      <c r="K125" s="6" t="inlineStr">
        <is>
          <t>TRƯỢT ❌</t>
        </is>
      </c>
      <c r="L125" s="3" t="inlineStr">
        <is>
          <t>06, 17, 20, 24, 25, 35, 38, 39, 43, 44, 48, 52, 66, 67, 70, 75, 76, 80, 88, 97</t>
        </is>
      </c>
      <c r="M125" s="6" t="inlineStr">
        <is>
          <t>TRƯỢT ❌</t>
        </is>
      </c>
      <c r="N125" s="6" t="inlineStr">
        <is>
          <t>TRƯỢT KHUNG ❌</t>
        </is>
      </c>
      <c r="O125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26">
      <c r="A126" s="2" t="n">
        <v>115</v>
      </c>
      <c r="B126" s="2" t="inlineStr">
        <is>
          <t>Thứ năm ngày 30-04-2026</t>
        </is>
      </c>
      <c r="C126" s="3" t="inlineStr">
        <is>
          <t>Thứ Tư</t>
        </is>
      </c>
      <c r="D126" s="3" t="inlineStr">
        <is>
          <t>82075</t>
        </is>
      </c>
      <c r="E126" s="3" t="inlineStr">
        <is>
          <t>75</t>
        </is>
      </c>
      <c r="F126" s="3" t="inlineStr">
        <is>
          <t>G7.4, G7.1</t>
        </is>
      </c>
      <c r="G126" s="3" t="inlineStr">
        <is>
          <t>Tổng 0, Tổng 4, Tổng 5, Tổng 9</t>
        </is>
      </c>
      <c r="H126" s="3" t="inlineStr">
        <is>
          <t>12346789</t>
        </is>
      </c>
      <c r="I126" s="3" t="inlineStr">
        <is>
          <t>Tổng 5-Bóng 0</t>
        </is>
      </c>
      <c r="J126" s="3" t="n">
        <v>36</v>
      </c>
      <c r="K126" s="6" t="inlineStr">
        <is>
          <t>TRƯỢT ❌</t>
        </is>
      </c>
      <c r="L126" s="3" t="inlineStr">
        <is>
          <t>04, 14, 19, 22, 28, 36, 37, 46, 54, 59, 63, 64, 68, 69, 77, 78, 82, 87, 91, 95</t>
        </is>
      </c>
      <c r="M126" s="6" t="inlineStr">
        <is>
          <t>TRƯỢT ❌</t>
        </is>
      </c>
      <c r="N126" s="7" t="inlineStr">
        <is>
          <t>TRÚNG N2 🎯</t>
        </is>
      </c>
      <c r="O126" s="3" t="inlineStr">
        <is>
          <t>04, 09, 13, 14, 18, 19, 22, 23, 27, 28, 31, 32, 36, 37, 40, 41, 45, 46, 54, 59, 63, 64, 68, 69, 72, 73, 77, 78, 81, 82, 86, 87, 90, 91, 95, 96</t>
        </is>
      </c>
    </row>
    <row r="127">
      <c r="A127" s="2" t="n">
        <v>114</v>
      </c>
      <c r="B127" s="2" t="inlineStr">
        <is>
          <t>Thứ tư ngày 29-04-2026</t>
        </is>
      </c>
      <c r="C127" s="3" t="inlineStr">
        <is>
          <t>Thứ Ba</t>
        </is>
      </c>
      <c r="D127" s="3" t="inlineStr">
        <is>
          <t>86569</t>
        </is>
      </c>
      <c r="E127" s="3" t="inlineStr">
        <is>
          <t>69</t>
        </is>
      </c>
      <c r="F127" s="3" t="inlineStr">
        <is>
          <t>G7.3, G7.4</t>
        </is>
      </c>
      <c r="G127" s="3" t="inlineStr">
        <is>
          <t>Tổng 0, Tổng 3, Tổng 5, Tổng 8</t>
        </is>
      </c>
      <c r="H127" s="3" t="inlineStr">
        <is>
          <t>0123456789</t>
        </is>
      </c>
      <c r="I127" s="3" t="inlineStr">
        <is>
          <t>Tổng 0-Bóng 5</t>
        </is>
      </c>
      <c r="J127" s="3" t="n">
        <v>40</v>
      </c>
      <c r="K127" s="7" t="inlineStr">
        <is>
          <t>TRÚNG N1 🎯</t>
        </is>
      </c>
      <c r="L127" s="3" t="inlineStr">
        <is>
          <t>00, 14, 17, 19, 28, 35, 37, 44, 46, 49, 50, 55, 64, 67, 69, 76, 80, 82, 91, 94</t>
        </is>
      </c>
      <c r="M127" s="7" t="inlineStr">
        <is>
          <t>TRÚNG HỎA LỰC 🎯</t>
        </is>
      </c>
      <c r="N127" s="7" t="inlineStr">
        <is>
          <t>TRÚNG N1 🎯</t>
        </is>
      </c>
      <c r="O127" s="3" t="inlineStr">
        <is>
          <t>00, 03, 05, 08, 12, 14, 17, 19, 21, 23, 26, 28, 30, 32, 35, 37, 41, 44, 46, 49, 50, 53, 55, 58, 62, 64, 67, 69, 71, 73, 76, 78, 80, 82, 85, 87, 91, 94, 96, 99</t>
        </is>
      </c>
    </row>
    <row r="128">
      <c r="A128" s="2" t="n">
        <v>113</v>
      </c>
      <c r="B128" s="2" t="inlineStr">
        <is>
          <t>Thứ ba ngày 28-04-2026</t>
        </is>
      </c>
      <c r="C128" s="3" t="inlineStr">
        <is>
          <t>Thứ Hai</t>
        </is>
      </c>
      <c r="D128" s="3" t="inlineStr">
        <is>
          <t>45254</t>
        </is>
      </c>
      <c r="E128" s="3" t="inlineStr">
        <is>
          <t>54</t>
        </is>
      </c>
      <c r="F128" s="3" t="inlineStr">
        <is>
          <t>G7.4, G7.2</t>
        </is>
      </c>
      <c r="G128" s="3" t="inlineStr">
        <is>
          <t>Tổng 0, Tổng 3, Tổng 4, Tổng 5, Tổng 8, Tổng 9</t>
        </is>
      </c>
      <c r="H128" s="3" t="inlineStr">
        <is>
          <t>12346789</t>
        </is>
      </c>
      <c r="I128" s="3" t="inlineStr">
        <is>
          <t>Tổng 4-Bóng 9</t>
        </is>
      </c>
      <c r="J128" s="3" t="n">
        <v>56</v>
      </c>
      <c r="K128" s="7" t="inlineStr">
        <is>
          <t>TRÚNG N1 🎯</t>
        </is>
      </c>
      <c r="L128" s="3" t="inlineStr">
        <is>
          <t>04, 14, 17, 19, 22, 28, 35, 36, 37, 44, 46, 59, 63, 64, 67, 68, 76, 80, 82, 91</t>
        </is>
      </c>
      <c r="M128" s="6" t="inlineStr">
        <is>
          <t>TRƯỢT ❌</t>
        </is>
      </c>
      <c r="N128" s="7" t="inlineStr">
        <is>
          <t>TRÚNG N1 🎯</t>
        </is>
      </c>
      <c r="O128" s="3" t="inlineStr">
        <is>
          <t>03, 04, 08, 09, 12, 13, 14, 17, 18, 19, 21, 22, 23, 26, 27, 28, 30, 31, 32, 35, 36, 37, 40, 41, 44, 45, 46, 49, 53, 54, 58, 59, 62, 63, 64, 67, 68, 69, 71, 72, 73, 76, 77, 78, 80, 81, 82, 85, 86, 87, 90, 91, 94, 95, 96, 99</t>
        </is>
      </c>
    </row>
    <row r="129">
      <c r="A129" s="2" t="n">
        <v>112</v>
      </c>
      <c r="B129" s="2" t="inlineStr">
        <is>
          <t>Thứ hai ngày 27-04-2026</t>
        </is>
      </c>
      <c r="C129" s="3" t="inlineStr">
        <is>
          <t>Chủ Nhật</t>
        </is>
      </c>
      <c r="D129" s="3" t="inlineStr">
        <is>
          <t>10059</t>
        </is>
      </c>
      <c r="E129" s="3" t="inlineStr">
        <is>
          <t>59</t>
        </is>
      </c>
      <c r="F129" s="3" t="inlineStr">
        <is>
          <t>G7.3, G7.1</t>
        </is>
      </c>
      <c r="G129" s="3" t="inlineStr">
        <is>
          <t>Tổng 0, Tổng 3, Tổng 5, Tổng 8</t>
        </is>
      </c>
      <c r="H129" s="3" t="inlineStr">
        <is>
          <t>01235678</t>
        </is>
      </c>
      <c r="I129" s="3" t="inlineStr">
        <is>
          <t>Tổng 0-Bóng 5</t>
        </is>
      </c>
      <c r="J129" s="3" t="n">
        <v>36</v>
      </c>
      <c r="K129" s="6" t="inlineStr">
        <is>
          <t>TRƯỢT ❌</t>
        </is>
      </c>
      <c r="L129" s="3" t="inlineStr">
        <is>
          <t>00, 08, 14, 17, 19, 28, 35, 37, 46, 50, 55, 64, 67, 69, 76, 78, 80, 82, 87, 91</t>
        </is>
      </c>
      <c r="M129" s="6" t="inlineStr">
        <is>
          <t>TRƯỢT ❌</t>
        </is>
      </c>
      <c r="N129" s="7" t="inlineStr">
        <is>
          <t>TRÚNG N3 🎯</t>
        </is>
      </c>
      <c r="O129" s="3" t="inlineStr">
        <is>
          <t>00, 03, 05, 08, 12, 14, 17, 19, 21, 23, 26, 28, 30, 32, 35, 37, 41, 46, 50, 53, 55, 58, 62, 64, 67, 69, 71, 73, 76, 78, 80, 82, 85, 87, 91, 96</t>
        </is>
      </c>
    </row>
    <row r="130">
      <c r="A130" s="2" t="n">
        <v>111</v>
      </c>
      <c r="B130" s="2" t="inlineStr">
        <is>
          <t>Chủ nhật ngày 26-04-2026</t>
        </is>
      </c>
      <c r="C130" s="3" t="inlineStr">
        <is>
          <t>Thứ Bảy</t>
        </is>
      </c>
      <c r="D130" s="3" t="inlineStr">
        <is>
          <t>38228</t>
        </is>
      </c>
      <c r="E130" s="3" t="inlineStr">
        <is>
          <t>28</t>
        </is>
      </c>
      <c r="F130" s="3" t="inlineStr">
        <is>
          <t>G7.1, G7.3</t>
        </is>
      </c>
      <c r="G130" s="3" t="inlineStr">
        <is>
          <t>Tổng 1, Tổng 2, Tổng 4, Tổng 6, Tổng 7, Tổng 9</t>
        </is>
      </c>
      <c r="H130" s="3" t="inlineStr">
        <is>
          <t>02345789</t>
        </is>
      </c>
      <c r="I130" s="3" t="inlineStr">
        <is>
          <t>Tổng 1-Bóng 6</t>
        </is>
      </c>
      <c r="J130" s="3" t="n">
        <v>56</v>
      </c>
      <c r="K130" s="6" t="inlineStr">
        <is>
          <t>TRƯỢT ❌</t>
        </is>
      </c>
      <c r="L130" s="3" t="inlineStr">
        <is>
          <t>04, 06, 20, 22, 24, 25, 29, 36, 38, 39, 43, 48, 51, 52, 59, 63, 68, 70, 88, 97</t>
        </is>
      </c>
      <c r="M130" s="6" t="inlineStr">
        <is>
          <t>TRƯỢT ❌</t>
        </is>
      </c>
      <c r="N130" s="7" t="inlineStr">
        <is>
          <t>TRÚNG N2 🎯</t>
        </is>
      </c>
      <c r="O130" s="3" t="inlineStr">
        <is>
          <t>01, 02, 04, 06, 07, 09, 10, 13, 15, 18, 20, 22, 24, 25, 27, 29, 31, 33, 34, 36, 38, 39, 40, 42, 43, 45, 47, 48, 51, 52, 54, 56, 57, 59, 60, 63, 65, 68, 70, 72, 74, 75, 77, 79, 81, 83, 84, 86, 88, 89, 90, 92, 93, 95, 97, 98</t>
        </is>
      </c>
    </row>
    <row r="131">
      <c r="A131" s="2" t="n">
        <v>110</v>
      </c>
      <c r="B131" s="2" t="inlineStr">
        <is>
          <t>Thứ bảy ngày 25-04-2026</t>
        </is>
      </c>
      <c r="C131" s="3" t="inlineStr">
        <is>
          <t>Thứ Sáu</t>
        </is>
      </c>
      <c r="D131" s="3" t="inlineStr">
        <is>
          <t>08717</t>
        </is>
      </c>
      <c r="E131" s="3" t="inlineStr">
        <is>
          <t>17</t>
        </is>
      </c>
      <c r="F131" s="3" t="inlineStr">
        <is>
          <t>G7.2, G7.4</t>
        </is>
      </c>
      <c r="G131" s="3" t="inlineStr">
        <is>
          <t>Tổng 0, Tổng 2, Tổng 4, Tổng 5, Tổng 7, Tổng 9</t>
        </is>
      </c>
      <c r="H131" s="3" t="inlineStr">
        <is>
          <t>01345689</t>
        </is>
      </c>
      <c r="I131" s="3" t="inlineStr">
        <is>
          <t>Tổng 4-Bóng 9</t>
        </is>
      </c>
      <c r="J131" s="3" t="n">
        <v>56</v>
      </c>
      <c r="K131" s="6" t="inlineStr">
        <is>
          <t>TRƯỢT ❌</t>
        </is>
      </c>
      <c r="L131" s="3" t="inlineStr">
        <is>
          <t>00, 04, 14, 20, 25, 32, 37, 39, 43, 48, 50, 55, 59, 63, 64, 66, 68, 82, 91, 93</t>
        </is>
      </c>
      <c r="M131" s="6" t="inlineStr">
        <is>
          <t>TRƯỢT ❌</t>
        </is>
      </c>
      <c r="N131" s="7" t="inlineStr">
        <is>
          <t>TRÚNG N2 🎯</t>
        </is>
      </c>
      <c r="O131" s="3" t="inlineStr">
        <is>
          <t>00, 02, 04, 05, 07, 09, 11, 13, 14, 16, 18, 19, 20, 23, 25, 28, 31, 32, 34, 36, 37, 39, 40, 41, 43, 45, 46, 48, 50, 52, 54, 55, 57, 59, 61, 63, 64, 66, 68, 69, 70, 73, 75, 78, 81, 82, 84, 86, 87, 89, 90, 91, 93, 95, 96, 98</t>
        </is>
      </c>
    </row>
    <row r="132">
      <c r="A132" s="2" t="n">
        <v>109</v>
      </c>
      <c r="B132" s="2" t="inlineStr">
        <is>
          <t>Thứ sáu ngày 24-04-2026</t>
        </is>
      </c>
      <c r="C132" s="3" t="inlineStr">
        <is>
          <t>Thứ Năm</t>
        </is>
      </c>
      <c r="D132" s="3" t="inlineStr">
        <is>
          <t>09876</t>
        </is>
      </c>
      <c r="E132" s="3" t="inlineStr">
        <is>
          <t>76</t>
        </is>
      </c>
      <c r="F132" s="3" t="inlineStr">
        <is>
          <t>G7.4, G7.1</t>
        </is>
      </c>
      <c r="G132" s="3" t="inlineStr">
        <is>
          <t>Tổng 2, Tổng 4, Tổng 7, Tổng 9</t>
        </is>
      </c>
      <c r="H132" s="3" t="inlineStr">
        <is>
          <t>0123456789</t>
        </is>
      </c>
      <c r="I132" s="3" t="inlineStr">
        <is>
          <t>Tổng 9-Bóng 4</t>
        </is>
      </c>
      <c r="J132" s="3" t="n">
        <v>40</v>
      </c>
      <c r="K132" s="6" t="inlineStr">
        <is>
          <t>TRƯỢT ❌</t>
        </is>
      </c>
      <c r="L132" s="3" t="inlineStr">
        <is>
          <t>04, 13, 20, 22, 25, 36, 39, 43, 48, 52, 57, 59, 61, 63, 66, 68, 70, 77, 93, 95</t>
        </is>
      </c>
      <c r="M132" s="6" t="inlineStr">
        <is>
          <t>TRƯỢT ❌</t>
        </is>
      </c>
      <c r="N132" s="6" t="inlineStr">
        <is>
          <t>TRƯỢT KHUNG ❌</t>
        </is>
      </c>
      <c r="O132" s="3" t="inlineStr">
        <is>
          <t>02, 04, 07, 09, 11, 13, 16, 18, 20, 22, 25, 27, 31, 34, 36, 39, 40, 43, 45, 48, 52, 54, 57, 59, 61, 63, 66, 68, 70, 72, 75, 77, 81, 84, 86, 89, 90, 93, 95, 98</t>
        </is>
      </c>
    </row>
    <row r="133">
      <c r="A133" s="2" t="n">
        <v>108</v>
      </c>
      <c r="B133" s="2" t="inlineStr">
        <is>
          <t>Thứ năm ngày 23-04-2026</t>
        </is>
      </c>
      <c r="C133" s="3" t="inlineStr">
        <is>
          <t>Thứ Tư</t>
        </is>
      </c>
      <c r="D133" s="3" t="inlineStr">
        <is>
          <t>66239</t>
        </is>
      </c>
      <c r="E133" s="3" t="inlineStr">
        <is>
          <t>39</t>
        </is>
      </c>
      <c r="F133" s="3" t="inlineStr">
        <is>
          <t>G7.4, G7.1</t>
        </is>
      </c>
      <c r="G133" s="3" t="inlineStr">
        <is>
          <t>Tổng 1, Tổng 2, Tổng 4, Tổng 6, Tổng 7, Tổng 9</t>
        </is>
      </c>
      <c r="H133" s="3" t="inlineStr">
        <is>
          <t>01245679</t>
        </is>
      </c>
      <c r="I133" s="3" t="inlineStr">
        <is>
          <t>Tổng 4-Bóng 9</t>
        </is>
      </c>
      <c r="J133" s="3" t="n">
        <v>56</v>
      </c>
      <c r="K133" s="7" t="inlineStr">
        <is>
          <t>TRÚNG N1 🎯</t>
        </is>
      </c>
      <c r="L133" s="3" t="inlineStr">
        <is>
          <t>04, 06, 20, 22, 24, 25, 29, 36, 42, 43, 48, 51, 52, 59, 63, 66, 68, 70, 93, 97</t>
        </is>
      </c>
      <c r="M133" s="6" t="inlineStr">
        <is>
          <t>TRƯỢT ❌</t>
        </is>
      </c>
      <c r="N133" s="7" t="inlineStr">
        <is>
          <t>TRÚNG N1 🎯</t>
        </is>
      </c>
      <c r="O133" s="3" t="inlineStr">
        <is>
          <t>01, 02, 04, 06, 07, 09, 10, 11, 13, 15, 16, 18, 20, 22, 24, 25, 27, 29, 31, 34, 36, 39, 40, 42, 43, 45, 47, 48, 51, 52, 54, 56, 57, 59, 60, 61, 63, 65, 66, 68, 70, 72, 74, 75, 77, 79, 81, 84, 86, 89, 90, 92, 93, 95, 97, 98</t>
        </is>
      </c>
    </row>
    <row r="134">
      <c r="A134" s="2" t="n">
        <v>107</v>
      </c>
      <c r="B134" s="2" t="inlineStr">
        <is>
          <t>Thứ tư ngày 22-04-2026</t>
        </is>
      </c>
      <c r="C134" s="3" t="inlineStr">
        <is>
          <t>Thứ Ba</t>
        </is>
      </c>
      <c r="D134" s="3" t="inlineStr">
        <is>
          <t>36948</t>
        </is>
      </c>
      <c r="E134" s="3" t="inlineStr">
        <is>
          <t>48</t>
        </is>
      </c>
      <c r="F134" s="3" t="inlineStr">
        <is>
          <t>G7.3, G7.4</t>
        </is>
      </c>
      <c r="G134" s="3" t="inlineStr">
        <is>
          <t>Tổng 0, Tổng 4, Tổng 5, Tổng 9</t>
        </is>
      </c>
      <c r="H134" s="3" t="inlineStr">
        <is>
          <t>0123456789</t>
        </is>
      </c>
      <c r="I134" s="3" t="inlineStr">
        <is>
          <t>Tổng 5-Bóng 0</t>
        </is>
      </c>
      <c r="J134" s="3" t="n">
        <v>40</v>
      </c>
      <c r="K134" s="6" t="inlineStr">
        <is>
          <t>TRƯỢT ❌</t>
        </is>
      </c>
      <c r="L134" s="3" t="inlineStr">
        <is>
          <t>00, 04, 13, 14, 19, 22, 32, 36, 37, 46, 50, 55, 59, 63, 64, 68, 77, 78, 82, 91</t>
        </is>
      </c>
      <c r="M134" s="6" t="inlineStr">
        <is>
          <t>TRƯỢT ❌</t>
        </is>
      </c>
      <c r="N134" s="6" t="inlineStr">
        <is>
          <t>TRƯỢT KHUNG ❌</t>
        </is>
      </c>
      <c r="O134" s="3" t="inlineStr">
        <is>
          <t>00, 04, 05, 09, 13, 14, 18, 19, 22, 23, 27, 28, 31, 32, 36, 37, 40, 41, 45, 46, 50, 54, 55, 59, 63, 64, 68, 69, 72, 73, 77, 78, 81, 82, 86, 87, 90, 91, 95, 96</t>
        </is>
      </c>
    </row>
    <row r="135">
      <c r="A135" s="2" t="n">
        <v>106</v>
      </c>
      <c r="B135" s="2" t="inlineStr">
        <is>
          <t>Thứ ba ngày 21-04-2026</t>
        </is>
      </c>
      <c r="C135" s="3" t="inlineStr">
        <is>
          <t>Thứ Hai</t>
        </is>
      </c>
      <c r="D135" s="3" t="inlineStr">
        <is>
          <t>48076</t>
        </is>
      </c>
      <c r="E135" s="3" t="inlineStr">
        <is>
          <t>76</t>
        </is>
      </c>
      <c r="F135" s="3" t="inlineStr">
        <is>
          <t>G7.4, G7.2</t>
        </is>
      </c>
      <c r="G135" s="3" t="inlineStr">
        <is>
          <t>Tổng 1, Tổng 2, Tổng 6, Tổng 7</t>
        </is>
      </c>
      <c r="H135" s="3" t="inlineStr">
        <is>
          <t>0123456789</t>
        </is>
      </c>
      <c r="I135" s="3" t="inlineStr">
        <is>
          <t>Tổng 2-Bóng 7</t>
        </is>
      </c>
      <c r="J135" s="3" t="n">
        <v>40</v>
      </c>
      <c r="K135" s="6" t="inlineStr">
        <is>
          <t>TRƯỢT ❌</t>
        </is>
      </c>
      <c r="L135" s="3" t="inlineStr">
        <is>
          <t>01, 06, 20, 24, 25, 29, 38, 42, 43, 48, 51, 52, 57, 61, 66, 70, 83, 88, 93, 97</t>
        </is>
      </c>
      <c r="M135" s="6" t="inlineStr">
        <is>
          <t>TRƯỢT ❌</t>
        </is>
      </c>
      <c r="N135" s="7" t="inlineStr">
        <is>
          <t>TRÚNG N2 🎯</t>
        </is>
      </c>
      <c r="O135" s="3" t="inlineStr">
        <is>
          <t>01, 02, 06, 07, 10, 11, 15, 16, 20, 24, 25, 29, 33, 34, 38, 39, 42, 43, 47, 48, 51, 52, 56, 57, 60, 61, 65, 66, 70, 74, 75, 79, 83, 84, 88, 89, 92, 93, 97, 98</t>
        </is>
      </c>
    </row>
    <row r="136">
      <c r="A136" s="2" t="n">
        <v>105</v>
      </c>
      <c r="B136" s="2" t="inlineStr">
        <is>
          <t>Thứ hai ngày 20-04-2026</t>
        </is>
      </c>
      <c r="C136" s="3" t="inlineStr">
        <is>
          <t>Chủ Nhật</t>
        </is>
      </c>
      <c r="D136" s="3" t="inlineStr">
        <is>
          <t>74197</t>
        </is>
      </c>
      <c r="E136" s="3" t="inlineStr">
        <is>
          <t>97</t>
        </is>
      </c>
      <c r="F136" s="3" t="inlineStr">
        <is>
          <t>G7.3, G7.4</t>
        </is>
      </c>
      <c r="G136" s="3" t="inlineStr">
        <is>
          <t>Tổng 2, Tổng 3, Tổng 4, Tổng 7, Tổng 8, Tổng 9</t>
        </is>
      </c>
      <c r="H136" s="3" t="inlineStr">
        <is>
          <t>01235678</t>
        </is>
      </c>
      <c r="I136" s="3" t="inlineStr">
        <is>
          <t>Tổng 4-Bóng 9</t>
        </is>
      </c>
      <c r="J136" s="3" t="n">
        <v>56</v>
      </c>
      <c r="K136" s="6" t="inlineStr">
        <is>
          <t>TRƯỢT ❌</t>
        </is>
      </c>
      <c r="L136" s="3" t="inlineStr">
        <is>
          <t>04, 13, 20, 22, 25, 35, 36, 43, 48, 52, 59, 63, 66, 67, 68, 70, 77, 80, 81, 93</t>
        </is>
      </c>
      <c r="M136" s="6" t="inlineStr">
        <is>
          <t>TRƯỢT ❌</t>
        </is>
      </c>
      <c r="N136" s="7" t="inlineStr">
        <is>
          <t>TRÚNG N2 🎯</t>
        </is>
      </c>
      <c r="O136" s="3" t="inlineStr">
        <is>
          <t>02, 03, 04, 07, 08, 09, 11, 12, 13, 16, 17, 18, 20, 21, 22, 25, 26, 27, 30, 31, 34, 35, 36, 39, 40, 43, 45, 48, 52, 53, 54, 57, 58, 59, 61, 62, 63, 66, 67, 68, 70, 71, 72, 75, 76, 77, 80, 81, 84, 85, 86, 89, 90, 93, 95, 98</t>
        </is>
      </c>
    </row>
    <row r="137">
      <c r="A137" s="2" t="n">
        <v>104</v>
      </c>
      <c r="B137" s="2" t="inlineStr">
        <is>
          <t>Chủ nhật ngày 19-04-2026</t>
        </is>
      </c>
      <c r="C137" s="3" t="inlineStr">
        <is>
          <t>Thứ Bảy</t>
        </is>
      </c>
      <c r="D137" s="3" t="inlineStr">
        <is>
          <t>93725</t>
        </is>
      </c>
      <c r="E137" s="3" t="inlineStr">
        <is>
          <t>25</t>
        </is>
      </c>
      <c r="F137" s="3" t="inlineStr">
        <is>
          <t>G7.1, G7.3</t>
        </is>
      </c>
      <c r="G137" s="3" t="inlineStr">
        <is>
          <t>Tổng 2, Tổng 4, Tổng 7, Tổng 9</t>
        </is>
      </c>
      <c r="H137" s="3" t="inlineStr">
        <is>
          <t>02345789</t>
        </is>
      </c>
      <c r="I137" s="3" t="inlineStr">
        <is>
          <t>Tổng 2-Bóng 7</t>
        </is>
      </c>
      <c r="J137" s="3" t="n">
        <v>36</v>
      </c>
      <c r="K137" s="7" t="inlineStr">
        <is>
          <t>TRÚNG N1 🎯</t>
        </is>
      </c>
      <c r="L137" s="3" t="inlineStr">
        <is>
          <t>04, 13, 20, 22, 25, 36, 43, 45, 48, 52, 57, 59, 63, 68, 70, 77, 81, 86, 93, 95</t>
        </is>
      </c>
      <c r="M137" s="7" t="inlineStr">
        <is>
          <t>TRÚNG HỎA LỰC 🎯</t>
        </is>
      </c>
      <c r="N137" s="7" t="inlineStr">
        <is>
          <t>TRÚNG N1 🎯</t>
        </is>
      </c>
      <c r="O137" s="3" t="inlineStr">
        <is>
          <t>02, 04, 07, 09, 13, 18, 20, 22, 25, 27, 31, 34, 36, 39, 40, 43, 45, 48, 52, 54, 57, 59, 63, 68, 70, 72, 75, 77, 81, 84, 86, 89, 90, 93, 95, 98</t>
        </is>
      </c>
    </row>
    <row r="138">
      <c r="A138" s="2" t="n">
        <v>103</v>
      </c>
      <c r="B138" s="2" t="inlineStr">
        <is>
          <t>Thứ bảy ngày 18-04-2026</t>
        </is>
      </c>
      <c r="C138" s="3" t="inlineStr">
        <is>
          <t>Thứ Sáu</t>
        </is>
      </c>
      <c r="D138" s="3" t="inlineStr">
        <is>
          <t>17243</t>
        </is>
      </c>
      <c r="E138" s="3" t="inlineStr">
        <is>
          <t>43</t>
        </is>
      </c>
      <c r="F138" s="3" t="inlineStr">
        <is>
          <t>G7.2, G7.4</t>
        </is>
      </c>
      <c r="G138" s="3" t="inlineStr">
        <is>
          <t>Tổng 0, Tổng 4, Tổng 5, Tổng 9</t>
        </is>
      </c>
      <c r="H138" s="3" t="inlineStr">
        <is>
          <t>01235678</t>
        </is>
      </c>
      <c r="I138" s="3" t="inlineStr">
        <is>
          <t>Tổng 0-Bóng 5</t>
        </is>
      </c>
      <c r="J138" s="3" t="n">
        <v>40</v>
      </c>
      <c r="K138" s="6" t="inlineStr">
        <is>
          <t>TRƯỢT ❌</t>
        </is>
      </c>
      <c r="L138" s="3" t="inlineStr">
        <is>
          <t>00, 04, 13, 14, 19, 22, 32, 37, 46, 50, 55, 59, 63, 64, 68, 77, 78, 82, 91, 95</t>
        </is>
      </c>
      <c r="M138" s="6" t="inlineStr">
        <is>
          <t>TRƯỢT ❌</t>
        </is>
      </c>
      <c r="N138" s="6" t="inlineStr">
        <is>
          <t>TRƯỢT KHUNG ❌</t>
        </is>
      </c>
      <c r="O138" s="3" t="inlineStr">
        <is>
          <t>00, 04, 05, 09, 13, 14, 18, 19, 22, 23, 27, 28, 31, 32, 36, 37, 40, 41, 45, 46, 50, 54, 55, 59, 63, 64, 68, 69, 72, 73, 77, 78, 81, 82, 86, 87, 90, 91, 95, 96</t>
        </is>
      </c>
    </row>
    <row r="139">
      <c r="A139" s="2" t="n">
        <v>102</v>
      </c>
      <c r="B139" s="2" t="inlineStr">
        <is>
          <t>Thứ sáu ngày 17-04-2026</t>
        </is>
      </c>
      <c r="C139" s="3" t="inlineStr">
        <is>
          <t>Thứ Năm</t>
        </is>
      </c>
      <c r="D139" s="3" t="inlineStr">
        <is>
          <t>38455</t>
        </is>
      </c>
      <c r="E139" s="3" t="inlineStr">
        <is>
          <t>55</t>
        </is>
      </c>
      <c r="F139" s="3" t="inlineStr">
        <is>
          <t>G7.4, G7.1</t>
        </is>
      </c>
      <c r="G139" s="3" t="inlineStr">
        <is>
          <t>Tổng 0, Tổng 3, Tổng 5, Tổng 8</t>
        </is>
      </c>
      <c r="H139" s="3" t="inlineStr">
        <is>
          <t>12346789</t>
        </is>
      </c>
      <c r="I139" s="3" t="inlineStr">
        <is>
          <t>Tổng 3-Bóng 8</t>
        </is>
      </c>
      <c r="J139" s="3" t="n">
        <v>36</v>
      </c>
      <c r="K139" s="6" t="inlineStr">
        <is>
          <t>TRƯỢT ❌</t>
        </is>
      </c>
      <c r="L139" s="3" t="inlineStr">
        <is>
          <t>08, 14, 19, 30, 32, 35, 37, 44, 46, 49, 53, 64, 67, 69, 78, 80, 82, 87, 91, 94</t>
        </is>
      </c>
      <c r="M139" s="6" t="inlineStr">
        <is>
          <t>TRƯỢT ❌</t>
        </is>
      </c>
      <c r="N139" s="6" t="inlineStr">
        <is>
          <t>TRƯỢT KHUNG ❌</t>
        </is>
      </c>
      <c r="O139" s="3" t="inlineStr">
        <is>
          <t>03, 08, 12, 14, 17, 19, 21, 23, 26, 28, 30, 32, 35, 37, 41, 44, 46, 49, 53, 58, 62, 64, 67, 69, 71, 73, 76, 78, 80, 82, 85, 87, 91, 94, 96, 99</t>
        </is>
      </c>
    </row>
    <row r="140">
      <c r="A140" s="2" t="n">
        <v>101</v>
      </c>
      <c r="B140" s="2" t="inlineStr">
        <is>
          <t>Thứ năm ngày 16-04-2026</t>
        </is>
      </c>
      <c r="C140" s="3" t="inlineStr">
        <is>
          <t>Thứ Tư</t>
        </is>
      </c>
      <c r="D140" s="3" t="inlineStr">
        <is>
          <t>35035</t>
        </is>
      </c>
      <c r="E140" s="3" t="inlineStr">
        <is>
          <t>35</t>
        </is>
      </c>
      <c r="F140" s="3" t="inlineStr">
        <is>
          <t>G7.1, G7.4</t>
        </is>
      </c>
      <c r="G140" s="3" t="inlineStr">
        <is>
          <t>Tổng 1, Tổng 2, Tổng 4, Tổng 6, Tổng 7, Tổng 9</t>
        </is>
      </c>
      <c r="H140" s="3" t="inlineStr">
        <is>
          <t>01345689</t>
        </is>
      </c>
      <c r="I140" s="3" t="inlineStr">
        <is>
          <t>Tổng 9-Bóng 4</t>
        </is>
      </c>
      <c r="J140" s="3" t="n">
        <v>56</v>
      </c>
      <c r="K140" s="6" t="inlineStr">
        <is>
          <t>TRƯỢT ❌</t>
        </is>
      </c>
      <c r="L140" s="3" t="inlineStr">
        <is>
          <t>01, 04, 06, 13, 20, 24, 25, 29, 38, 48, 51, 59, 63, 66, 68, 70, 75, 88, 93, 95</t>
        </is>
      </c>
      <c r="M140" s="6" t="inlineStr">
        <is>
          <t>TRƯỢT ❌</t>
        </is>
      </c>
      <c r="N140" s="7" t="inlineStr">
        <is>
          <t>TRÚNG N3 🎯</t>
        </is>
      </c>
      <c r="O140" s="3" t="inlineStr">
        <is>
          <t>01, 02, 04, 06, 07, 09, 10, 11, 13, 15, 16, 18, 20, 24, 25, 29, 31, 33, 34, 36, 38, 39, 40, 42, 43, 45, 47, 48, 51, 52, 54, 56, 57, 59, 60, 61, 63, 65, 66, 68, 70, 74, 75, 79, 81, 83, 84, 86, 88, 89, 90, 92, 93, 95, 97, 98</t>
        </is>
      </c>
    </row>
    <row r="141">
      <c r="A141" s="2" t="n">
        <v>100</v>
      </c>
      <c r="B141" s="2" t="inlineStr">
        <is>
          <t>Thứ tư ngày 15-04-2026</t>
        </is>
      </c>
      <c r="C141" s="3" t="inlineStr">
        <is>
          <t>Thứ Ba</t>
        </is>
      </c>
      <c r="D141" s="3" t="inlineStr">
        <is>
          <t>03714</t>
        </is>
      </c>
      <c r="E141" s="3" t="inlineStr">
        <is>
          <t>14</t>
        </is>
      </c>
      <c r="F141" s="3" t="inlineStr">
        <is>
          <t>G7.3, G7.4</t>
        </is>
      </c>
      <c r="G141" s="3" t="inlineStr">
        <is>
          <t>Tổng 4, Tổng 9</t>
        </is>
      </c>
      <c r="H141" s="3" t="inlineStr">
        <is>
          <t>01235678</t>
        </is>
      </c>
      <c r="I141" s="3" t="inlineStr">
        <is>
          <t>Tổng 4-Bóng 9</t>
        </is>
      </c>
      <c r="J141" s="3" t="n">
        <v>20</v>
      </c>
      <c r="K141" s="6" t="inlineStr">
        <is>
          <t>TRƯỢT ❌</t>
        </is>
      </c>
      <c r="L141" s="3" t="inlineStr">
        <is>
          <t>04, 09, 13, 18, 22, 27, 31, 36, 40, 45, 54, 59, 63, 68, 72, 77, 81, 86, 90, 95</t>
        </is>
      </c>
      <c r="M141" s="6" t="inlineStr">
        <is>
          <t>TRƯỢT ❌</t>
        </is>
      </c>
      <c r="N141" s="6" t="inlineStr">
        <is>
          <t>TRƯỢT KHUNG ❌</t>
        </is>
      </c>
      <c r="O141" s="3" t="inlineStr">
        <is>
          <t>04, 09, 13, 18, 22, 27, 31, 36, 40, 45, 54, 59, 63, 68, 72, 77, 81, 86, 90, 95</t>
        </is>
      </c>
    </row>
    <row r="142">
      <c r="A142" s="2" t="n">
        <v>99</v>
      </c>
      <c r="B142" s="2" t="inlineStr">
        <is>
          <t>Thứ ba ngày 14-04-2026</t>
        </is>
      </c>
      <c r="C142" s="3" t="inlineStr">
        <is>
          <t>Thứ Hai</t>
        </is>
      </c>
      <c r="D142" s="3" t="inlineStr">
        <is>
          <t>92763</t>
        </is>
      </c>
      <c r="E142" s="3" t="inlineStr">
        <is>
          <t>63</t>
        </is>
      </c>
      <c r="F142" s="3" t="inlineStr">
        <is>
          <t>G7.4, G7.2</t>
        </is>
      </c>
      <c r="G142" s="3" t="inlineStr">
        <is>
          <t>Tổng 0, Tổng 2, Tổng 4, Tổng 5, Tổng 7, Tổng 9</t>
        </is>
      </c>
      <c r="H142" s="3" t="inlineStr">
        <is>
          <t>01245679</t>
        </is>
      </c>
      <c r="I142" s="3" t="inlineStr">
        <is>
          <t>Tổng 4-Bóng 9</t>
        </is>
      </c>
      <c r="J142" s="3" t="n">
        <v>60</v>
      </c>
      <c r="K142" s="7" t="inlineStr">
        <is>
          <t>TRÚNG N1 🎯</t>
        </is>
      </c>
      <c r="L142" s="3" t="inlineStr">
        <is>
          <t>00, 04, 14, 20, 22, 25, 32, 37, 46, 48, 50, 52, 55, 64, 66, 69, 70, 82, 91, 93</t>
        </is>
      </c>
      <c r="M142" s="6" t="inlineStr">
        <is>
          <t>TRƯỢT ❌</t>
        </is>
      </c>
      <c r="N142" s="7" t="inlineStr">
        <is>
          <t>TRÚNG N1 🎯</t>
        </is>
      </c>
      <c r="O14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43">
      <c r="A143" s="2" t="n">
        <v>98</v>
      </c>
      <c r="B143" s="2" t="inlineStr">
        <is>
          <t>Thứ hai ngày 13-04-2026</t>
        </is>
      </c>
      <c r="C143" s="3" t="inlineStr">
        <is>
          <t>Chủ Nhật</t>
        </is>
      </c>
      <c r="D143" s="3" t="inlineStr">
        <is>
          <t>22738</t>
        </is>
      </c>
      <c r="E143" s="3" t="inlineStr">
        <is>
          <t>38</t>
        </is>
      </c>
      <c r="F143" s="3" t="inlineStr">
        <is>
          <t>G7.3, G7.1</t>
        </is>
      </c>
      <c r="G143" s="3" t="inlineStr">
        <is>
          <t>Tổng 4, Tổng 9</t>
        </is>
      </c>
      <c r="H143" s="3" t="inlineStr">
        <is>
          <t>0123456789</t>
        </is>
      </c>
      <c r="I143" s="3" t="inlineStr">
        <is>
          <t>Tổng 4-Bóng 9</t>
        </is>
      </c>
      <c r="J143" s="3" t="n">
        <v>20</v>
      </c>
      <c r="K143" s="6" t="inlineStr">
        <is>
          <t>TRƯỢT ❌</t>
        </is>
      </c>
      <c r="L143" s="3" t="inlineStr">
        <is>
          <t>04, 09, 13, 18, 22, 27, 31, 36, 40, 45, 54, 59, 63, 68, 72, 77, 81, 86, 90, 95</t>
        </is>
      </c>
      <c r="M143" s="6" t="inlineStr">
        <is>
          <t>TRƯỢT ❌</t>
        </is>
      </c>
      <c r="N143" s="7" t="inlineStr">
        <is>
          <t>TRÚNG N2 🎯</t>
        </is>
      </c>
      <c r="O143" s="3" t="inlineStr">
        <is>
          <t>04, 09, 13, 18, 22, 27, 31, 36, 40, 45, 54, 59, 63, 68, 72, 77, 81, 86, 90, 95</t>
        </is>
      </c>
    </row>
    <row r="144">
      <c r="A144" s="2" t="n">
        <v>97</v>
      </c>
      <c r="B144" s="2" t="inlineStr">
        <is>
          <t>Chủ nhật ngày 12-04-2026</t>
        </is>
      </c>
      <c r="C144" s="3" t="inlineStr">
        <is>
          <t>Thứ Bảy</t>
        </is>
      </c>
      <c r="D144" s="3" t="inlineStr">
        <is>
          <t>12000</t>
        </is>
      </c>
      <c r="E144" s="3" t="inlineStr">
        <is>
          <t>00</t>
        </is>
      </c>
      <c r="F144" s="3" t="inlineStr">
        <is>
          <t>G7.1, G7.3</t>
        </is>
      </c>
      <c r="G144" s="3" t="inlineStr">
        <is>
          <t>Tổng 0, Tổng 2, Tổng 5, Tổng 7</t>
        </is>
      </c>
      <c r="H144" s="3" t="inlineStr">
        <is>
          <t>01235678</t>
        </is>
      </c>
      <c r="I144" s="3" t="inlineStr">
        <is>
          <t>Tổng 5-Bóng 0</t>
        </is>
      </c>
      <c r="J144" s="3" t="n">
        <v>40</v>
      </c>
      <c r="K144" s="7" t="inlineStr">
        <is>
          <t>TRÚNG N1 🎯</t>
        </is>
      </c>
      <c r="L144" s="3" t="inlineStr">
        <is>
          <t>14, 19, 20, 25, 32, 37, 46, 48, 50, 52, 55, 64, 66, 69, 70, 78, 82, 87, 91, 93</t>
        </is>
      </c>
      <c r="M144" s="6" t="inlineStr">
        <is>
          <t>TRƯỢT ❌</t>
        </is>
      </c>
      <c r="N144" s="7" t="inlineStr">
        <is>
          <t>TRÚNG N1 🎯</t>
        </is>
      </c>
      <c r="O144" s="3" t="inlineStr">
        <is>
          <t>00, 02, 05, 07, 11, 14, 16, 19, 20, 23, 25, 28, 32, 34, 37, 39, 41, 43, 46, 48, 50, 52, 55, 57, 61, 64, 66, 69, 70, 73, 75, 78, 82, 84, 87, 89, 91, 93, 96, 98</t>
        </is>
      </c>
    </row>
    <row r="145">
      <c r="A145" s="2" t="n">
        <v>96</v>
      </c>
      <c r="B145" s="2" t="inlineStr">
        <is>
          <t>Thứ bảy ngày 11-04-2026</t>
        </is>
      </c>
      <c r="C145" s="3" t="inlineStr">
        <is>
          <t>Thứ Sáu</t>
        </is>
      </c>
      <c r="D145" s="3" t="inlineStr">
        <is>
          <t>24204</t>
        </is>
      </c>
      <c r="E145" s="3" t="inlineStr">
        <is>
          <t>04</t>
        </is>
      </c>
      <c r="F145" s="3" t="inlineStr">
        <is>
          <t>G7.4, G7.2</t>
        </is>
      </c>
      <c r="G145" s="3" t="inlineStr">
        <is>
          <t>Tổng 0, Tổng 1, Tổng 4, Tổng 5, Tổng 6, Tổng 9</t>
        </is>
      </c>
      <c r="H145" s="3" t="inlineStr">
        <is>
          <t>02345789</t>
        </is>
      </c>
      <c r="I145" s="3" t="inlineStr">
        <is>
          <t>Tổng 9-Bóng 4</t>
        </is>
      </c>
      <c r="J145" s="3" t="n">
        <v>60</v>
      </c>
      <c r="K145" s="7" t="inlineStr">
        <is>
          <t>TRÚNG N1 🎯</t>
        </is>
      </c>
      <c r="L145" s="3" t="inlineStr">
        <is>
          <t>01, 06, 14, 22, 24, 29, 32, 37, 46, 50, 55, 59, 64, 69, 77, 82, 87, 88, 91, 95</t>
        </is>
      </c>
      <c r="M145" s="6" t="inlineStr">
        <is>
          <t>TRƯỢT ❌</t>
        </is>
      </c>
      <c r="N145" s="7" t="inlineStr">
        <is>
          <t>TRÚNG N1 🎯</t>
        </is>
      </c>
      <c r="O145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46">
      <c r="A146" s="2" t="n">
        <v>95</v>
      </c>
      <c r="B146" s="2" t="inlineStr">
        <is>
          <t>Thứ sáu ngày 10-04-2026</t>
        </is>
      </c>
      <c r="C146" s="3" t="inlineStr">
        <is>
          <t>Thứ Năm</t>
        </is>
      </c>
      <c r="D146" s="3" t="inlineStr">
        <is>
          <t>46120</t>
        </is>
      </c>
      <c r="E146" s="3" t="inlineStr">
        <is>
          <t>20</t>
        </is>
      </c>
      <c r="F146" s="3" t="inlineStr">
        <is>
          <t>G7.4, G7.1</t>
        </is>
      </c>
      <c r="G146" s="3" t="inlineStr">
        <is>
          <t>Tổng 0, Tổng 2, Tổng 5, Tổng 7</t>
        </is>
      </c>
      <c r="H146" s="3" t="inlineStr">
        <is>
          <t>12346789</t>
        </is>
      </c>
      <c r="I146" s="3" t="inlineStr">
        <is>
          <t>Tổng 7-Bóng 2</t>
        </is>
      </c>
      <c r="J146" s="3" t="n">
        <v>36</v>
      </c>
      <c r="K146" s="7" t="inlineStr">
        <is>
          <t>TRÚNG N1 🎯</t>
        </is>
      </c>
      <c r="L146" s="3" t="inlineStr">
        <is>
          <t>14, 19, 25, 32, 37, 46, 48, 52, 57, 61, 64, 66, 69, 70, 75, 78, 82, 87, 91, 93</t>
        </is>
      </c>
      <c r="M146" s="6" t="inlineStr">
        <is>
          <t>TRƯỢT ❌</t>
        </is>
      </c>
      <c r="N146" s="7" t="inlineStr">
        <is>
          <t>TRÚNG N1 🎯</t>
        </is>
      </c>
      <c r="O146" s="3" t="inlineStr">
        <is>
          <t>02, 07, 11, 14, 16, 19, 20, 23, 25, 28, 32, 34, 37, 39, 41, 43, 46, 48, 52, 57, 61, 64, 66, 69, 70, 73, 75, 78, 82, 84, 87, 89, 91, 93, 96, 98</t>
        </is>
      </c>
    </row>
    <row r="147">
      <c r="A147" s="2" t="n">
        <v>94</v>
      </c>
      <c r="B147" s="2" t="inlineStr">
        <is>
          <t>Thứ năm ngày 09-04-2026</t>
        </is>
      </c>
      <c r="C147" s="3" t="inlineStr">
        <is>
          <t>Thứ Tư</t>
        </is>
      </c>
      <c r="D147" s="3" t="inlineStr">
        <is>
          <t>45625</t>
        </is>
      </c>
      <c r="E147" s="3" t="inlineStr">
        <is>
          <t>25</t>
        </is>
      </c>
      <c r="F147" s="3" t="inlineStr">
        <is>
          <t>G7.1, G7.4</t>
        </is>
      </c>
      <c r="G147" s="3" t="inlineStr">
        <is>
          <t>Tổng 1, Tổng 2, Tổng 3, Tổng 6, Tổng 7, Tổng 8</t>
        </is>
      </c>
      <c r="H147" s="3" t="inlineStr">
        <is>
          <t>01245679</t>
        </is>
      </c>
      <c r="I147" s="3" t="inlineStr">
        <is>
          <t>Tổng 2-Bóng 7</t>
        </is>
      </c>
      <c r="J147" s="3" t="n">
        <v>56</v>
      </c>
      <c r="K147" s="7" t="inlineStr">
        <is>
          <t>TRÚNG N1 🎯</t>
        </is>
      </c>
      <c r="L147" s="3" t="inlineStr">
        <is>
          <t>01, 06, 17, 24, 29, 30, 42, 44, 48, 49, 51, 52, 57, 66, 67, 70, 75, 80, 93, 94</t>
        </is>
      </c>
      <c r="M147" s="6" t="inlineStr">
        <is>
          <t>TRƯỢT ❌</t>
        </is>
      </c>
      <c r="N147" s="7" t="inlineStr">
        <is>
          <t>TRÚNG N1 🎯</t>
        </is>
      </c>
      <c r="O147" s="3" t="inlineStr">
        <is>
          <t>01, 02, 03, 06, 07, 08, 10, 11, 12, 15, 16, 17, 20, 21, 24, 25, 26, 29, 30, 34, 35, 39, 42, 43, 44, 47, 48, 49, 51, 52, 53, 56, 57, 58, 60, 61, 62, 65, 66, 67, 70, 71, 74, 75, 76, 79, 80, 84, 85, 89, 92, 93, 94, 97, 98, 99</t>
        </is>
      </c>
    </row>
    <row r="148">
      <c r="A148" s="2" t="n">
        <v>93</v>
      </c>
      <c r="B148" s="2" t="inlineStr">
        <is>
          <t>Thứ tư ngày 08-04-2026</t>
        </is>
      </c>
      <c r="C148" s="3" t="inlineStr">
        <is>
          <t>Thứ Ba</t>
        </is>
      </c>
      <c r="D148" s="3" t="inlineStr">
        <is>
          <t>27450</t>
        </is>
      </c>
      <c r="E148" s="3" t="inlineStr">
        <is>
          <t>50</t>
        </is>
      </c>
      <c r="F148" s="3" t="inlineStr">
        <is>
          <t>G7.3, G7.4</t>
        </is>
      </c>
      <c r="G148" s="3" t="inlineStr">
        <is>
          <t>Tổng 0, Tổng 1, Tổng 4, Tổng 5, Tổng 6, Tổng 9</t>
        </is>
      </c>
      <c r="H148" s="3" t="inlineStr">
        <is>
          <t>01235678</t>
        </is>
      </c>
      <c r="I148" s="3" t="inlineStr">
        <is>
          <t>Tổng 5-Bóng 0</t>
        </is>
      </c>
      <c r="J148" s="3" t="n">
        <v>60</v>
      </c>
      <c r="K148" s="7" t="inlineStr">
        <is>
          <t>TRÚNG N1 🎯</t>
        </is>
      </c>
      <c r="L148" s="3" t="inlineStr">
        <is>
          <t>06, 14, 22, 24, 29, 32, 37, 42, 46, 55, 59, 64, 68, 69, 77, 82, 87, 88, 91, 95</t>
        </is>
      </c>
      <c r="M148" s="6" t="inlineStr">
        <is>
          <t>TRƯỢT ❌</t>
        </is>
      </c>
      <c r="N148" s="7" t="inlineStr">
        <is>
          <t>TRÚNG N1 🎯</t>
        </is>
      </c>
      <c r="O148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49">
      <c r="A149" s="2" t="n">
        <v>92</v>
      </c>
      <c r="B149" s="2" t="inlineStr">
        <is>
          <t>Thứ ba ngày 07-04-2026</t>
        </is>
      </c>
      <c r="C149" s="3" t="inlineStr">
        <is>
          <t>Thứ Hai</t>
        </is>
      </c>
      <c r="D149" s="3" t="inlineStr">
        <is>
          <t>02382</t>
        </is>
      </c>
      <c r="E149" s="3" t="inlineStr">
        <is>
          <t>82</t>
        </is>
      </c>
      <c r="F149" s="3" t="inlineStr">
        <is>
          <t>G7.4, G7.2</t>
        </is>
      </c>
      <c r="G149" s="3" t="inlineStr">
        <is>
          <t>Tổng 1, Tổng 2, Tổng 3, Tổng 6, Tổng 7, Tổng 8</t>
        </is>
      </c>
      <c r="H149" s="3" t="inlineStr">
        <is>
          <t>0123456789</t>
        </is>
      </c>
      <c r="I149" s="3" t="inlineStr">
        <is>
          <t>Tổng 2-Bóng 7</t>
        </is>
      </c>
      <c r="J149" s="3" t="n">
        <v>60</v>
      </c>
      <c r="K149" s="6" t="inlineStr">
        <is>
          <t>TRƯỢT ❌</t>
        </is>
      </c>
      <c r="L149" s="3" t="inlineStr">
        <is>
          <t>01, 06, 17, 24, 29, 30, 42, 44, 48, 49, 51, 52, 61, 66, 67, 70, 80, 88, 93, 94</t>
        </is>
      </c>
      <c r="M149" s="6" t="inlineStr">
        <is>
          <t>TRƯỢT ❌</t>
        </is>
      </c>
      <c r="N149" s="7" t="inlineStr">
        <is>
          <t>TRÚNG N3 🎯</t>
        </is>
      </c>
      <c r="O14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50">
      <c r="A150" s="2" t="n">
        <v>91</v>
      </c>
      <c r="B150" s="2" t="inlineStr">
        <is>
          <t>Thứ hai ngày 06-04-2026</t>
        </is>
      </c>
      <c r="C150" s="3" t="inlineStr">
        <is>
          <t>Chủ Nhật</t>
        </is>
      </c>
      <c r="D150" s="3" t="inlineStr">
        <is>
          <t>76406</t>
        </is>
      </c>
      <c r="E150" s="3" t="inlineStr">
        <is>
          <t>06</t>
        </is>
      </c>
      <c r="F150" s="3" t="inlineStr">
        <is>
          <t>G7.3, G7.4</t>
        </is>
      </c>
      <c r="G150" s="3" t="inlineStr">
        <is>
          <t>Tổng 0, Tổng 2, Tổng 3, Tổng 5, Tổng 7, Tổng 8</t>
        </is>
      </c>
      <c r="H150" s="3" t="inlineStr">
        <is>
          <t>12346789</t>
        </is>
      </c>
      <c r="I150" s="3" t="inlineStr">
        <is>
          <t>Tổng 3-Bóng 8</t>
        </is>
      </c>
      <c r="J150" s="3" t="n">
        <v>56</v>
      </c>
      <c r="K150" s="6" t="inlineStr">
        <is>
          <t>TRƯỢT ❌</t>
        </is>
      </c>
      <c r="L150" s="3" t="inlineStr">
        <is>
          <t>14, 17, 30, 32, 37, 44, 46, 48, 49, 52, 64, 66, 67, 69, 70, 80, 87, 91, 93, 94</t>
        </is>
      </c>
      <c r="M150" s="6" t="inlineStr">
        <is>
          <t>TRƯỢT ❌</t>
        </is>
      </c>
      <c r="N150" s="7" t="inlineStr">
        <is>
          <t>TRÚNG N2 🎯</t>
        </is>
      </c>
      <c r="O150" s="3" t="inlineStr">
        <is>
          <t>02, 03, 07, 08, 11, 12, 14, 16, 17, 19, 20, 21, 23, 25, 26, 28, 30, 32, 34, 35, 37, 39, 41, 43, 44, 46, 48, 49, 52, 53, 57, 58, 61, 62, 64, 66, 67, 69, 70, 71, 73, 75, 76, 78, 80, 82, 84, 85, 87, 89, 91, 93, 94, 96, 98, 99</t>
        </is>
      </c>
    </row>
    <row r="151">
      <c r="A151" s="2" t="n">
        <v>90</v>
      </c>
      <c r="B151" s="2" t="inlineStr">
        <is>
          <t>Chủ nhật ngày 05-04-2026</t>
        </is>
      </c>
      <c r="C151" s="3" t="inlineStr">
        <is>
          <t>Thứ Bảy</t>
        </is>
      </c>
      <c r="D151" s="3" t="inlineStr">
        <is>
          <t>02855</t>
        </is>
      </c>
      <c r="E151" s="3" t="inlineStr">
        <is>
          <t>55</t>
        </is>
      </c>
      <c r="F151" s="3" t="inlineStr">
        <is>
          <t>G7.1, G7.2</t>
        </is>
      </c>
      <c r="G151" s="3" t="inlineStr">
        <is>
          <t>Tổng 1, Tổng 2, Tổng 4, Tổng 6, Tổng 7, Tổng 9</t>
        </is>
      </c>
      <c r="H151" s="3" t="inlineStr">
        <is>
          <t>01345689</t>
        </is>
      </c>
      <c r="I151" s="3" t="inlineStr">
        <is>
          <t>Tổng 6-Bóng 1</t>
        </is>
      </c>
      <c r="J151" s="3" t="n">
        <v>56</v>
      </c>
      <c r="K151" s="6" t="inlineStr">
        <is>
          <t>TRƯỢT ❌</t>
        </is>
      </c>
      <c r="L151" s="3" t="inlineStr">
        <is>
          <t>01, 13, 24, 29, 33, 36, 42, 48, 51, 52, 59, 61, 66, 68, 70, 75, 81, 88, 93, 95</t>
        </is>
      </c>
      <c r="M151" s="6" t="inlineStr">
        <is>
          <t>TRƯỢT ❌</t>
        </is>
      </c>
      <c r="N151" s="7" t="inlineStr">
        <is>
          <t>TRÚNG N2 🎯</t>
        </is>
      </c>
      <c r="O151" s="3" t="inlineStr">
        <is>
          <t>01, 02, 04, 06, 07, 09, 10, 11, 13, 15, 16, 18, 20, 24, 25, 29, 31, 33, 34, 36, 38, 39, 40, 42, 43, 45, 47, 48, 51, 52, 54, 56, 57, 59, 60, 61, 63, 65, 66, 68, 70, 74, 75, 79, 81, 83, 84, 86, 88, 89, 90, 92, 93, 95, 97, 98</t>
        </is>
      </c>
    </row>
    <row r="152">
      <c r="A152" s="2" t="n">
        <v>89</v>
      </c>
      <c r="B152" s="2" t="inlineStr">
        <is>
          <t>Thứ bảy ngày 04-04-2026</t>
        </is>
      </c>
      <c r="C152" s="3" t="inlineStr">
        <is>
          <t>Thứ Sáu</t>
        </is>
      </c>
      <c r="D152" s="3" t="inlineStr">
        <is>
          <t>29737</t>
        </is>
      </c>
      <c r="E152" s="3" t="inlineStr">
        <is>
          <t>37</t>
        </is>
      </c>
      <c r="F152" s="3" t="inlineStr">
        <is>
          <t>G7.4, G7.2</t>
        </is>
      </c>
      <c r="G152" s="3" t="inlineStr">
        <is>
          <t>Tổng 1, Tổng 2, Tổng 4, Tổng 6, Tổng 7, Tổng 9</t>
        </is>
      </c>
      <c r="H152" s="3" t="inlineStr">
        <is>
          <t>0123456789</t>
        </is>
      </c>
      <c r="I152" s="3" t="inlineStr">
        <is>
          <t>Tổng 2-Bóng 7</t>
        </is>
      </c>
      <c r="J152" s="3" t="n">
        <v>60</v>
      </c>
      <c r="K152" s="6" t="inlineStr">
        <is>
          <t>TRƯỢT ❌</t>
        </is>
      </c>
      <c r="L152" s="3" t="inlineStr">
        <is>
          <t>01, 13, 22, 24, 29, 36, 42, 45, 48, 51, 52, 59, 61, 66, 68, 70, 77, 88, 93, 95</t>
        </is>
      </c>
      <c r="M152" s="6" t="inlineStr">
        <is>
          <t>TRƯỢT ❌</t>
        </is>
      </c>
      <c r="N152" s="7" t="inlineStr">
        <is>
          <t>TRÚNG N3 🎯</t>
        </is>
      </c>
      <c r="O152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153">
      <c r="A153" s="2" t="n">
        <v>88</v>
      </c>
      <c r="B153" s="2" t="inlineStr">
        <is>
          <t>Thứ sáu ngày 03-04-2026</t>
        </is>
      </c>
      <c r="C153" s="3" t="inlineStr">
        <is>
          <t>Thứ Năm</t>
        </is>
      </c>
      <c r="D153" s="3" t="inlineStr">
        <is>
          <t>12944</t>
        </is>
      </c>
      <c r="E153" s="3" t="inlineStr">
        <is>
          <t>44</t>
        </is>
      </c>
      <c r="F153" s="3" t="inlineStr">
        <is>
          <t>G7.4, G7.1</t>
        </is>
      </c>
      <c r="G153" s="3" t="inlineStr">
        <is>
          <t>Tổng 1, Tổng 2, Tổng 6, Tổng 7</t>
        </is>
      </c>
      <c r="H153" s="3" t="inlineStr">
        <is>
          <t>034589</t>
        </is>
      </c>
      <c r="I153" s="3" t="inlineStr">
        <is>
          <t>Tổng 6-Bóng 1</t>
        </is>
      </c>
      <c r="J153" s="3" t="n">
        <v>36</v>
      </c>
      <c r="K153" s="6" t="inlineStr">
        <is>
          <t>TRƯỢT ❌</t>
        </is>
      </c>
      <c r="L153" s="3" t="inlineStr">
        <is>
          <t>01, 24, 29, 33, 38, 42, 47, 48, 51, 52, 57, 70, 74, 75, 83, 88, 89, 92, 93, 97</t>
        </is>
      </c>
      <c r="M153" s="6" t="inlineStr">
        <is>
          <t>TRƯỢT ❌</t>
        </is>
      </c>
      <c r="N153" s="6" t="inlineStr">
        <is>
          <t>TRƯỢT KHUNG ❌</t>
        </is>
      </c>
      <c r="O153" s="3" t="inlineStr">
        <is>
          <t>01, 02, 06, 07, 10, 15, 20, 24, 25, 29, 33, 34, 38, 39, 42, 43, 47, 48, 51, 52, 56, 57, 60, 65, 70, 74, 75, 79, 83, 84, 88, 89, 92, 93, 97, 98</t>
        </is>
      </c>
    </row>
    <row r="154">
      <c r="A154" s="2" t="n">
        <v>87</v>
      </c>
      <c r="B154" s="2" t="inlineStr">
        <is>
          <t>Thứ năm ngày 02-04-2026</t>
        </is>
      </c>
      <c r="C154" s="3" t="inlineStr">
        <is>
          <t>Thứ Tư</t>
        </is>
      </c>
      <c r="D154" s="3" t="inlineStr">
        <is>
          <t>91267</t>
        </is>
      </c>
      <c r="E154" s="3" t="inlineStr">
        <is>
          <t>67</t>
        </is>
      </c>
      <c r="F154" s="3" t="inlineStr">
        <is>
          <t>G7.4, G7.1</t>
        </is>
      </c>
      <c r="G154" s="3" t="inlineStr">
        <is>
          <t>Tổng 0, Tổng 2, Tổng 3, Tổng 5, Tổng 7, Tổng 8</t>
        </is>
      </c>
      <c r="H154" s="3" t="inlineStr">
        <is>
          <t>01235678</t>
        </is>
      </c>
      <c r="I154" s="3" t="inlineStr">
        <is>
          <t>Tổng 3-Bóng 8</t>
        </is>
      </c>
      <c r="J154" s="3" t="n">
        <v>56</v>
      </c>
      <c r="K154" s="7" t="inlineStr">
        <is>
          <t>TRÚNG N1 🎯</t>
        </is>
      </c>
      <c r="L154" s="3" t="inlineStr">
        <is>
          <t>14, 17, 19, 30, 32, 46, 48, 52, 55, 61, 64, 66, 69, 70, 75, 78, 80, 87, 91, 93</t>
        </is>
      </c>
      <c r="M154" s="6" t="inlineStr">
        <is>
          <t>TRƯỢT ❌</t>
        </is>
      </c>
      <c r="N154" s="7" t="inlineStr">
        <is>
          <t>TRÚNG N1 🎯</t>
        </is>
      </c>
      <c r="O154" s="3" t="inlineStr">
        <is>
          <t>00, 02, 03, 05, 07, 08, 11, 12, 14, 16, 17, 19, 20, 21, 23, 25, 26, 28, 30, 32, 34, 35, 37, 39, 41, 43, 46, 48, 50, 52, 53, 55, 57, 58, 61, 62, 64, 66, 67, 69, 70, 71, 73, 75, 76, 78, 80, 82, 84, 85, 87, 89, 91, 93, 96, 98</t>
        </is>
      </c>
    </row>
    <row r="155">
      <c r="A155" s="2" t="n">
        <v>86</v>
      </c>
      <c r="B155" s="2" t="inlineStr">
        <is>
          <t>Thứ tư ngày 01-04-2026</t>
        </is>
      </c>
      <c r="C155" s="3" t="inlineStr">
        <is>
          <t>Thứ Ba</t>
        </is>
      </c>
      <c r="D155" s="3" t="inlineStr">
        <is>
          <t>31666</t>
        </is>
      </c>
      <c r="E155" s="3" t="inlineStr">
        <is>
          <t>66</t>
        </is>
      </c>
      <c r="F155" s="3" t="inlineStr">
        <is>
          <t>G7.3, G7.1</t>
        </is>
      </c>
      <c r="G155" s="3" t="inlineStr">
        <is>
          <t>Tổng 0, Tổng 2, Tổng 5, Tổng 7</t>
        </is>
      </c>
      <c r="H155" s="3" t="inlineStr">
        <is>
          <t>01235678</t>
        </is>
      </c>
      <c r="I155" s="3" t="inlineStr">
        <is>
          <t>Tổng 5-Bóng 0</t>
        </is>
      </c>
      <c r="J155" s="3" t="n">
        <v>40</v>
      </c>
      <c r="K155" s="7" t="inlineStr">
        <is>
          <t>TRÚNG N1 🎯</t>
        </is>
      </c>
      <c r="L155" s="3" t="inlineStr">
        <is>
          <t>05, 14, 19, 28, 32, 37, 46, 48, 52, 55, 57, 61, 64, 69, 70, 75, 78, 87, 91, 93</t>
        </is>
      </c>
      <c r="M155" s="6" t="inlineStr">
        <is>
          <t>TRƯỢT ❌</t>
        </is>
      </c>
      <c r="N155" s="7" t="inlineStr">
        <is>
          <t>TRÚNG N1 🎯</t>
        </is>
      </c>
      <c r="O155" s="3" t="inlineStr">
        <is>
          <t>00, 02, 05, 07, 11, 14, 16, 19, 20, 23, 25, 28, 32, 34, 37, 39, 41, 43, 46, 48, 50, 52, 55, 57, 61, 64, 66, 69, 70, 73, 75, 78, 82, 84, 87, 89, 91, 93, 96, 98</t>
        </is>
      </c>
    </row>
    <row r="156">
      <c r="A156" s="2" t="n">
        <v>85</v>
      </c>
      <c r="B156" s="2" t="inlineStr">
        <is>
          <t>Thứ ba ngày 31-03-2026</t>
        </is>
      </c>
      <c r="C156" s="3" t="inlineStr">
        <is>
          <t>Thứ Hai</t>
        </is>
      </c>
      <c r="D156" s="3" t="inlineStr">
        <is>
          <t>11591</t>
        </is>
      </c>
      <c r="E156" s="3" t="inlineStr">
        <is>
          <t>91</t>
        </is>
      </c>
      <c r="F156" s="3" t="inlineStr">
        <is>
          <t>G7.4, G7.2</t>
        </is>
      </c>
      <c r="G156" s="3" t="inlineStr">
        <is>
          <t>Tổng 2, Tổng 3, Tổng 4, Tổng 7, Tổng 8, Tổng 9</t>
        </is>
      </c>
      <c r="H156" s="3" t="inlineStr">
        <is>
          <t>0123456789</t>
        </is>
      </c>
      <c r="I156" s="3" t="inlineStr">
        <is>
          <t>Tổng 4-Bóng 9</t>
        </is>
      </c>
      <c r="J156" s="3" t="n">
        <v>60</v>
      </c>
      <c r="K156" s="6" t="inlineStr">
        <is>
          <t>TRƯỢT ❌</t>
        </is>
      </c>
      <c r="L156" s="3" t="inlineStr">
        <is>
          <t>13, 17, 22, 30, 36, 45, 48, 49, 52, 57, 59, 61, 68, 70, 75, 77, 80, 93, 94, 95</t>
        </is>
      </c>
      <c r="M156" s="6" t="inlineStr">
        <is>
          <t>TRƯỢT ❌</t>
        </is>
      </c>
      <c r="N156" s="7" t="inlineStr">
        <is>
          <t>TRÚNG N2 🎯</t>
        </is>
      </c>
      <c r="O156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57">
      <c r="A157" s="2" t="n">
        <v>84</v>
      </c>
      <c r="B157" s="2" t="inlineStr">
        <is>
          <t>Thứ hai ngày 30-03-2026</t>
        </is>
      </c>
      <c r="C157" s="3" t="inlineStr">
        <is>
          <t>Chủ Nhật</t>
        </is>
      </c>
      <c r="D157" s="3" t="inlineStr">
        <is>
          <t>64464</t>
        </is>
      </c>
      <c r="E157" s="3" t="inlineStr">
        <is>
          <t>64</t>
        </is>
      </c>
      <c r="F157" s="3" t="inlineStr">
        <is>
          <t>G7.3, G7.4</t>
        </is>
      </c>
      <c r="G157" s="3" t="inlineStr">
        <is>
          <t>Tổng 4, Tổng 9</t>
        </is>
      </c>
      <c r="H157" s="3" t="inlineStr">
        <is>
          <t>013568</t>
        </is>
      </c>
      <c r="I157" s="3" t="inlineStr">
        <is>
          <t>Tổng 9-Bóng 4</t>
        </is>
      </c>
      <c r="J157" s="3" t="n">
        <v>16</v>
      </c>
      <c r="K157" s="6" t="inlineStr">
        <is>
          <t>TRƯỢT ❌</t>
        </is>
      </c>
      <c r="L157" s="3" t="inlineStr">
        <is>
          <t>04, 09, 13, 18, 31, 36, 40, 45, 54, 59, 63, 68, 81, 86, 90, 95</t>
        </is>
      </c>
      <c r="M157" s="6" t="inlineStr">
        <is>
          <t>TRƯỢT ❌</t>
        </is>
      </c>
      <c r="N157" s="6" t="inlineStr">
        <is>
          <t>TRƯỢT KHUNG ❌</t>
        </is>
      </c>
      <c r="O157" s="3" t="inlineStr">
        <is>
          <t>04, 09, 13, 18, 31, 36, 40, 45, 54, 59, 63, 68, 81, 86, 90, 95</t>
        </is>
      </c>
    </row>
    <row r="158">
      <c r="A158" s="2" t="n">
        <v>83</v>
      </c>
      <c r="B158" s="2" t="inlineStr">
        <is>
          <t>Chủ nhật ngày 29-03-2026</t>
        </is>
      </c>
      <c r="C158" s="3" t="inlineStr">
        <is>
          <t>Thứ Bảy</t>
        </is>
      </c>
      <c r="D158" s="3" t="inlineStr">
        <is>
          <t>37188</t>
        </is>
      </c>
      <c r="E158" s="3" t="inlineStr">
        <is>
          <t>88</t>
        </is>
      </c>
      <c r="F158" s="3" t="inlineStr">
        <is>
          <t>G7.1, G7.2</t>
        </is>
      </c>
      <c r="G158" s="3" t="inlineStr">
        <is>
          <t>Tổng 2, Tổng 3, Tổng 4, Tổng 7, Tổng 8, Tổng 9</t>
        </is>
      </c>
      <c r="H158" s="3" t="inlineStr">
        <is>
          <t>0123456789</t>
        </is>
      </c>
      <c r="I158" s="3" t="inlineStr">
        <is>
          <t>Tổng 8-Bóng 3</t>
        </is>
      </c>
      <c r="J158" s="3" t="n">
        <v>60</v>
      </c>
      <c r="K158" s="6" t="inlineStr">
        <is>
          <t>TRƯỢT ❌</t>
        </is>
      </c>
      <c r="L158" s="3" t="inlineStr">
        <is>
          <t>13, 17, 22, 30, 36, 45, 48, 49, 52, 57, 59, 61, 62, 68, 70, 77, 80, 93, 94, 95</t>
        </is>
      </c>
      <c r="M158" s="6" t="inlineStr">
        <is>
          <t>TRƯỢT ❌</t>
        </is>
      </c>
      <c r="N158" s="6" t="inlineStr">
        <is>
          <t>TRƯỢT KHUNG ❌</t>
        </is>
      </c>
      <c r="O158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59">
      <c r="A159" s="2" t="n">
        <v>82</v>
      </c>
      <c r="B159" s="2" t="inlineStr">
        <is>
          <t>Thứ bảy ngày 28-03-2026</t>
        </is>
      </c>
      <c r="C159" s="3" t="inlineStr">
        <is>
          <t>Thứ Sáu</t>
        </is>
      </c>
      <c r="D159" s="3" t="inlineStr">
        <is>
          <t>96422</t>
        </is>
      </c>
      <c r="E159" s="3" t="inlineStr">
        <is>
          <t>22</t>
        </is>
      </c>
      <c r="F159" s="3" t="inlineStr">
        <is>
          <t>G7.4, G7.2</t>
        </is>
      </c>
      <c r="G159" s="3" t="inlineStr">
        <is>
          <t>Tổng 1, Tổng 6</t>
        </is>
      </c>
      <c r="H159" s="3" t="inlineStr">
        <is>
          <t>014569</t>
        </is>
      </c>
      <c r="I159" s="3" t="inlineStr">
        <is>
          <t>Tổng 6-Bóng 1</t>
        </is>
      </c>
      <c r="J159" s="3" t="n">
        <v>16</v>
      </c>
      <c r="K159" s="6" t="inlineStr">
        <is>
          <t>TRƯỢT ❌</t>
        </is>
      </c>
      <c r="L159" s="3" t="inlineStr">
        <is>
          <t>01, 06, 10, 15, 24, 29, 42, 47, 51, 56, 60, 65, 74, 79, 92, 97</t>
        </is>
      </c>
      <c r="M159" s="6" t="inlineStr">
        <is>
          <t>TRƯỢT ❌</t>
        </is>
      </c>
      <c r="N159" s="6" t="inlineStr">
        <is>
          <t>TRƯỢT KHUNG ❌</t>
        </is>
      </c>
      <c r="O159" s="3" t="inlineStr">
        <is>
          <t>01, 06, 10, 15, 24, 29, 42, 47, 51, 56, 60, 65, 74, 79, 92, 97</t>
        </is>
      </c>
    </row>
    <row r="160">
      <c r="A160" s="2" t="n">
        <v>81</v>
      </c>
      <c r="B160" s="2" t="inlineStr">
        <is>
          <t>Thứ sáu ngày 27-03-2026</t>
        </is>
      </c>
      <c r="C160" s="3" t="inlineStr">
        <is>
          <t>Thứ Năm</t>
        </is>
      </c>
      <c r="D160" s="3" t="inlineStr">
        <is>
          <t>61332</t>
        </is>
      </c>
      <c r="E160" s="3" t="inlineStr">
        <is>
          <t>32</t>
        </is>
      </c>
      <c r="F160" s="3" t="inlineStr">
        <is>
          <t>G7.4, G7.1</t>
        </is>
      </c>
      <c r="G160" s="3" t="inlineStr">
        <is>
          <t>Tổng 0, Tổng 2, Tổng 3, Tổng 5, Tổng 7, Tổng 8</t>
        </is>
      </c>
      <c r="H160" s="3" t="inlineStr">
        <is>
          <t>0123456789</t>
        </is>
      </c>
      <c r="I160" s="3" t="inlineStr">
        <is>
          <t>Tổng 0-Bóng 5</t>
        </is>
      </c>
      <c r="J160" s="3" t="n">
        <v>60</v>
      </c>
      <c r="K160" s="7" t="inlineStr">
        <is>
          <t>TRÚNG N1 🎯</t>
        </is>
      </c>
      <c r="L160" s="3" t="inlineStr">
        <is>
          <t>08, 14, 17, 19, 30, 46, 48, 49, 52, 53, 57, 62, 69, 70, 78, 80, 87, 91, 93, 94</t>
        </is>
      </c>
      <c r="M160" s="6" t="inlineStr">
        <is>
          <t>TRƯỢT ❌</t>
        </is>
      </c>
      <c r="N160" s="7" t="inlineStr">
        <is>
          <t>TRÚNG N1 🎯</t>
        </is>
      </c>
      <c r="O16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61">
      <c r="A161" s="2" t="n">
        <v>80</v>
      </c>
      <c r="B161" s="2" t="inlineStr">
        <is>
          <t>Thứ năm ngày 26-03-2026</t>
        </is>
      </c>
      <c r="C161" s="3" t="inlineStr">
        <is>
          <t>Thứ Tư</t>
        </is>
      </c>
      <c r="D161" s="3" t="inlineStr">
        <is>
          <t>44693</t>
        </is>
      </c>
      <c r="E161" s="3" t="inlineStr">
        <is>
          <t>93</t>
        </is>
      </c>
      <c r="F161" s="3" t="inlineStr">
        <is>
          <t>G7.4, G7.1</t>
        </is>
      </c>
      <c r="G161" s="3" t="inlineStr">
        <is>
          <t>Tổng 1, Tổng 2, Tổng 4, Tổng 6, Tổng 7, Tổng 9</t>
        </is>
      </c>
      <c r="H161" s="3" t="inlineStr">
        <is>
          <t>024579</t>
        </is>
      </c>
      <c r="I161" s="3" t="inlineStr">
        <is>
          <t>Tổng 7-Bóng 2</t>
        </is>
      </c>
      <c r="J161" s="3" t="n">
        <v>44</v>
      </c>
      <c r="K161" s="7" t="inlineStr">
        <is>
          <t>TRÚNG N1 🎯</t>
        </is>
      </c>
      <c r="L161" s="3" t="inlineStr">
        <is>
          <t>01, 22, 24, 29, 42, 45, 48, 51, 52, 54, 57, 59, 70, 74, 75, 77, 90, 92, 95, 97</t>
        </is>
      </c>
      <c r="M161" s="6" t="inlineStr">
        <is>
          <t>TRƯỢT ❌</t>
        </is>
      </c>
      <c r="N161" s="7" t="inlineStr">
        <is>
          <t>TRÚNG N1 🎯</t>
        </is>
      </c>
      <c r="O161" s="3" t="inlineStr">
        <is>
          <t>01, 02, 04, 06, 07, 09, 10, 15, 20, 22, 24, 25, 27, 29, 34, 39, 40, 42, 43, 45, 47, 48, 51, 52, 54, 56, 57, 59, 60, 65, 70, 72, 74, 75, 77, 79, 84, 89, 90, 92, 93, 95, 97, 98</t>
        </is>
      </c>
    </row>
    <row r="162">
      <c r="A162" s="2" t="n">
        <v>79</v>
      </c>
      <c r="B162" s="2" t="inlineStr">
        <is>
          <t>Thứ tư ngày 25-03-2026</t>
        </is>
      </c>
      <c r="C162" s="3" t="inlineStr">
        <is>
          <t>Thứ Ba</t>
        </is>
      </c>
      <c r="D162" s="3" t="inlineStr">
        <is>
          <t>53988</t>
        </is>
      </c>
      <c r="E162" s="3" t="inlineStr">
        <is>
          <t>88</t>
        </is>
      </c>
      <c r="F162" s="3" t="inlineStr">
        <is>
          <t>G7.3, G7.1</t>
        </is>
      </c>
      <c r="G162" s="3" t="inlineStr">
        <is>
          <t>Tổng 0, Tổng 1, Tổng 2, Tổng 5, Tổng 6, Tổng 7</t>
        </is>
      </c>
      <c r="H162" s="3" t="inlineStr">
        <is>
          <t>01245679</t>
        </is>
      </c>
      <c r="I162" s="3" t="inlineStr">
        <is>
          <t>Tổng 0-Bóng 5</t>
        </is>
      </c>
      <c r="J162" s="3" t="n">
        <v>56</v>
      </c>
      <c r="K162" s="6" t="inlineStr">
        <is>
          <t>TRƯỢT ❌</t>
        </is>
      </c>
      <c r="L162" s="3" t="inlineStr">
        <is>
          <t>01, 14, 19, 24, 29, 37, 42, 46, 48, 51, 52, 55, 57, 61, 69, 70, 74, 78, 87, 91</t>
        </is>
      </c>
      <c r="M162" s="6" t="inlineStr">
        <is>
          <t>TRƯỢT ❌</t>
        </is>
      </c>
      <c r="N162" s="7" t="inlineStr">
        <is>
          <t>TRÚNG N2 🎯</t>
        </is>
      </c>
      <c r="O162" s="3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  <row r="163">
      <c r="A163" s="2" t="n">
        <v>78</v>
      </c>
      <c r="B163" s="2" t="inlineStr">
        <is>
          <t>Thứ ba ngày 24-03-2026</t>
        </is>
      </c>
      <c r="C163" s="3" t="inlineStr">
        <is>
          <t>Thứ Hai</t>
        </is>
      </c>
      <c r="D163" s="3" t="inlineStr">
        <is>
          <t>03829</t>
        </is>
      </c>
      <c r="E163" s="3" t="inlineStr">
        <is>
          <t>29</t>
        </is>
      </c>
      <c r="F163" s="3" t="inlineStr">
        <is>
          <t>G7.4, G7.2</t>
        </is>
      </c>
      <c r="G163" s="3" t="inlineStr">
        <is>
          <t>Tổng 0, Tổng 1, Tổng 3, Tổng 5, Tổng 6, Tổng 8</t>
        </is>
      </c>
      <c r="H163" s="3" t="inlineStr">
        <is>
          <t>234789</t>
        </is>
      </c>
      <c r="I163" s="3" t="inlineStr">
        <is>
          <t>Tổng 6-Bóng 1</t>
        </is>
      </c>
      <c r="J163" s="3" t="n">
        <v>48</v>
      </c>
      <c r="K163" s="7" t="inlineStr">
        <is>
          <t>TRÚNG N1 🎯</t>
        </is>
      </c>
      <c r="L163" s="3" t="inlineStr">
        <is>
          <t>08, 12, 14, 17, 19, 24, 30, 37, 42, 46, 49, 53, 62, 69, 78, 80, 83, 87, 91, 94</t>
        </is>
      </c>
      <c r="M163" s="6" t="inlineStr">
        <is>
          <t>TRƯỢT ❌</t>
        </is>
      </c>
      <c r="N163" s="7" t="inlineStr">
        <is>
          <t>TRÚNG N1 🎯</t>
        </is>
      </c>
      <c r="O163" s="3" t="inlineStr">
        <is>
          <t>03, 08, 12, 14, 17, 19, 21, 23, 24, 26, 28, 29, 30, 32, 33, 35, 37, 38, 41, 42, 44, 46, 47, 49, 53, 58, 62, 64, 67, 69, 71, 73, 74, 76, 78, 79, 80, 82, 83, 85, 87, 88, 91, 92, 94, 96, 97, 99</t>
        </is>
      </c>
    </row>
    <row r="164">
      <c r="A164" s="2" t="n">
        <v>77</v>
      </c>
      <c r="B164" s="2" t="inlineStr">
        <is>
          <t>Thứ hai ngày 23-03-2026</t>
        </is>
      </c>
      <c r="C164" s="3" t="inlineStr">
        <is>
          <t>Chủ Nhật</t>
        </is>
      </c>
      <c r="D164" s="3" t="inlineStr">
        <is>
          <t>77514</t>
        </is>
      </c>
      <c r="E164" s="3" t="inlineStr">
        <is>
          <t>14</t>
        </is>
      </c>
      <c r="F164" s="3" t="inlineStr">
        <is>
          <t>G7.3, G7.4</t>
        </is>
      </c>
      <c r="G164" s="3" t="inlineStr">
        <is>
          <t>Tổng 1, Tổng 2, Tổng 6, Tổng 7</t>
        </is>
      </c>
      <c r="H164" s="3" t="inlineStr">
        <is>
          <t>0123456789</t>
        </is>
      </c>
      <c r="I164" s="3" t="inlineStr">
        <is>
          <t>Tổng 7-Bóng 2</t>
        </is>
      </c>
      <c r="J164" s="3" t="n">
        <v>40</v>
      </c>
      <c r="K164" s="6" t="inlineStr">
        <is>
          <t>TRƯỢT ❌</t>
        </is>
      </c>
      <c r="L164" s="3" t="inlineStr">
        <is>
          <t>01, 07, 24, 33, 38, 42, 47, 48, 51, 52, 57, 61, 70, 74, 75, 83, 89, 92, 93, 97</t>
        </is>
      </c>
      <c r="M164" s="6" t="inlineStr">
        <is>
          <t>TRƯỢT ❌</t>
        </is>
      </c>
      <c r="N164" s="7" t="inlineStr">
        <is>
          <t>TRÚNG N2 🎯</t>
        </is>
      </c>
      <c r="O164" s="3" t="inlineStr">
        <is>
          <t>01, 02, 06, 07, 10, 11, 15, 16, 20, 24, 25, 29, 33, 34, 38, 39, 42, 43, 47, 48, 51, 52, 56, 57, 60, 61, 65, 66, 70, 74, 75, 79, 83, 84, 88, 89, 92, 93, 97, 98</t>
        </is>
      </c>
    </row>
    <row r="165">
      <c r="A165" s="2" t="n">
        <v>76</v>
      </c>
      <c r="B165" s="2" t="inlineStr">
        <is>
          <t>Chủ nhật ngày 22-03-2026</t>
        </is>
      </c>
      <c r="C165" s="3" t="inlineStr">
        <is>
          <t>Thứ Bảy</t>
        </is>
      </c>
      <c r="D165" s="3" t="inlineStr">
        <is>
          <t>58646</t>
        </is>
      </c>
      <c r="E165" s="3" t="inlineStr">
        <is>
          <t>46</t>
        </is>
      </c>
      <c r="F165" s="3" t="inlineStr">
        <is>
          <t>G7.1, G7.2</t>
        </is>
      </c>
      <c r="G165" s="3" t="inlineStr">
        <is>
          <t>Tổng 1, Tổng 3, Tổng 4, Tổng 6, Tổng 8, Tổng 9</t>
        </is>
      </c>
      <c r="H165" s="3" t="inlineStr">
        <is>
          <t>0123456789</t>
        </is>
      </c>
      <c r="I165" s="3" t="inlineStr">
        <is>
          <t>Tổng 4-Bóng 9</t>
        </is>
      </c>
      <c r="J165" s="3" t="n">
        <v>60</v>
      </c>
      <c r="K165" s="6" t="inlineStr">
        <is>
          <t>TRƯỢT ❌</t>
        </is>
      </c>
      <c r="L165" s="3" t="inlineStr">
        <is>
          <t>01, 08, 12, 13, 24, 30, 36, 42, 49, 51, 53, 59, 68, 77, 80, 81, 83, 86, 94, 95</t>
        </is>
      </c>
      <c r="M165" s="6" t="inlineStr">
        <is>
          <t>TRƯỢT ❌</t>
        </is>
      </c>
      <c r="N165" s="7" t="inlineStr">
        <is>
          <t>TRÚNG N3 🎯</t>
        </is>
      </c>
      <c r="O165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66">
      <c r="A166" s="2" t="n">
        <v>75</v>
      </c>
      <c r="B166" s="2" t="inlineStr">
        <is>
          <t>Thứ bảy ngày 21-03-2026</t>
        </is>
      </c>
      <c r="C166" s="3" t="inlineStr">
        <is>
          <t>Thứ Sáu</t>
        </is>
      </c>
      <c r="D166" s="3" t="inlineStr">
        <is>
          <t>88594</t>
        </is>
      </c>
      <c r="E166" s="3" t="inlineStr">
        <is>
          <t>94</t>
        </is>
      </c>
      <c r="F166" s="3" t="inlineStr">
        <is>
          <t>G7.2, G7.3</t>
        </is>
      </c>
      <c r="G166" s="3" t="inlineStr">
        <is>
          <t>Tổng 2, Tổng 3, Tổng 7, Tổng 8</t>
        </is>
      </c>
      <c r="H166" s="3" t="inlineStr">
        <is>
          <t>02345789</t>
        </is>
      </c>
      <c r="I166" s="3" t="inlineStr">
        <is>
          <t>Tổng 7-Bóng 2</t>
        </is>
      </c>
      <c r="J166" s="3" t="n">
        <v>36</v>
      </c>
      <c r="K166" s="7" t="inlineStr">
        <is>
          <t>TRÚNG N1 🎯</t>
        </is>
      </c>
      <c r="L166" s="3" t="inlineStr">
        <is>
          <t>07, 08, 12, 17, 21, 30, 48, 49, 52, 53, 57, 62, 70, 75, 80, 85, 89, 93, 94, 98</t>
        </is>
      </c>
      <c r="M166" s="7" t="inlineStr">
        <is>
          <t>TRÚNG HỎA LỰC 🎯</t>
        </is>
      </c>
      <c r="N166" s="7" t="inlineStr">
        <is>
          <t>TRÚNG N1 🎯</t>
        </is>
      </c>
      <c r="O166" s="3" t="inlineStr">
        <is>
          <t>02, 03, 07, 08, 12, 17, 20, 21, 25, 26, 30, 34, 35, 39, 43, 44, 48, 49, 52, 53, 57, 58, 62, 67, 70, 71, 75, 76, 80, 84, 85, 89, 93, 94, 98, 99</t>
        </is>
      </c>
    </row>
    <row r="167">
      <c r="A167" s="2" t="n">
        <v>74</v>
      </c>
      <c r="B167" s="2" t="inlineStr">
        <is>
          <t>Thứ sáu ngày 20-03-2026</t>
        </is>
      </c>
      <c r="C167" s="3" t="inlineStr">
        <is>
          <t>Thứ Năm</t>
        </is>
      </c>
      <c r="D167" s="3" t="inlineStr">
        <is>
          <t>81124</t>
        </is>
      </c>
      <c r="E167" s="3" t="inlineStr">
        <is>
          <t>24</t>
        </is>
      </c>
      <c r="F167" s="3" t="inlineStr">
        <is>
          <t>G7.4, G7.1</t>
        </is>
      </c>
      <c r="G167" s="3" t="inlineStr">
        <is>
          <t>Tổng 0, Tổng 1, Tổng 5, Tổng 6</t>
        </is>
      </c>
      <c r="H167" s="3" t="inlineStr">
        <is>
          <t>01245679</t>
        </is>
      </c>
      <c r="I167" s="3" t="inlineStr">
        <is>
          <t>Tổng 6-Bóng 1</t>
        </is>
      </c>
      <c r="J167" s="3" t="n">
        <v>36</v>
      </c>
      <c r="K167" s="7" t="inlineStr">
        <is>
          <t>TRÚNG N1 🎯</t>
        </is>
      </c>
      <c r="L167" s="3" t="inlineStr">
        <is>
          <t>01, 05, 14, 19, 23, 24, 28, 37, 42, 47, 51, 55, 69, 74, 78, 87, 91, 92, 96, 97</t>
        </is>
      </c>
      <c r="M167" s="7" t="inlineStr">
        <is>
          <t>TRÚNG HỎA LỰC 🎯</t>
        </is>
      </c>
      <c r="N167" s="7" t="inlineStr">
        <is>
          <t>TRÚNG N1 🎯</t>
        </is>
      </c>
      <c r="O167" s="3" t="inlineStr">
        <is>
          <t>00, 01, 05, 06, 10, 14, 15, 19, 23, 24, 28, 29, 32, 37, 41, 42, 46, 47, 50, 51, 55, 56, 60, 64, 65, 69, 73, 74, 78, 79, 82, 87, 91, 92, 96, 97</t>
        </is>
      </c>
    </row>
    <row r="168">
      <c r="A168" s="2" t="n">
        <v>73</v>
      </c>
      <c r="B168" s="2" t="inlineStr">
        <is>
          <t>Thứ năm ngày 19-03-2026</t>
        </is>
      </c>
      <c r="C168" s="3" t="inlineStr">
        <is>
          <t>Thứ Tư</t>
        </is>
      </c>
      <c r="D168" s="3" t="inlineStr">
        <is>
          <t>75495</t>
        </is>
      </c>
      <c r="E168" s="3" t="inlineStr">
        <is>
          <t>95</t>
        </is>
      </c>
      <c r="F168" s="3" t="inlineStr">
        <is>
          <t>G7.1, G7.2</t>
        </is>
      </c>
      <c r="G168" s="3" t="inlineStr">
        <is>
          <t>Tổng 2, Tổng 4, Tổng 7, Tổng 9</t>
        </is>
      </c>
      <c r="H168" s="3" t="inlineStr">
        <is>
          <t>0123456789</t>
        </is>
      </c>
      <c r="I168" s="3" t="inlineStr">
        <is>
          <t>Tổng 4-Bóng 9</t>
        </is>
      </c>
      <c r="J168" s="3" t="n">
        <v>40</v>
      </c>
      <c r="K168" s="7" t="inlineStr">
        <is>
          <t>TRÚNG N1 🎯</t>
        </is>
      </c>
      <c r="L168" s="3" t="inlineStr">
        <is>
          <t>13, 22, 27, 36, 45, 48, 52, 54, 57, 59, 61, 63, 68, 70, 75, 77, 81, 86, 89, 90</t>
        </is>
      </c>
      <c r="M168" s="6" t="inlineStr">
        <is>
          <t>TRƯỢT ❌</t>
        </is>
      </c>
      <c r="N168" s="7" t="inlineStr">
        <is>
          <t>TRÚNG N1 🎯</t>
        </is>
      </c>
      <c r="O168" s="3" t="inlineStr">
        <is>
          <t>02, 04, 07, 09, 11, 13, 16, 18, 20, 22, 25, 27, 31, 34, 36, 39, 40, 43, 45, 48, 52, 54, 57, 59, 61, 63, 66, 68, 70, 72, 75, 77, 81, 84, 86, 89, 90, 93, 95, 98</t>
        </is>
      </c>
    </row>
    <row r="169">
      <c r="A169" s="2" t="n">
        <v>72</v>
      </c>
      <c r="B169" s="2" t="inlineStr">
        <is>
          <t>Thứ tư ngày 18-03-2026</t>
        </is>
      </c>
      <c r="C169" s="3" t="inlineStr">
        <is>
          <t>Thứ Ba</t>
        </is>
      </c>
      <c r="D169" s="3" t="inlineStr">
        <is>
          <t>25287</t>
        </is>
      </c>
      <c r="E169" s="3" t="inlineStr">
        <is>
          <t>87</t>
        </is>
      </c>
      <c r="F169" s="3" t="inlineStr">
        <is>
          <t>G7.3, G7.1</t>
        </is>
      </c>
      <c r="G169" s="3" t="inlineStr">
        <is>
          <t>Tổng 2, Tổng 4, Tổng 7, Tổng 9</t>
        </is>
      </c>
      <c r="H169" s="3" t="inlineStr">
        <is>
          <t>02345789</t>
        </is>
      </c>
      <c r="I169" s="3" t="inlineStr">
        <is>
          <t>Tổng 2-Bóng 7</t>
        </is>
      </c>
      <c r="J169" s="3" t="n">
        <v>36</v>
      </c>
      <c r="K169" s="6" t="inlineStr">
        <is>
          <t>TRƯỢT ❌</t>
        </is>
      </c>
      <c r="L169" s="3" t="inlineStr">
        <is>
          <t>13, 22, 27, 36, 45, 48, 52, 54, 57, 59, 63, 68, 70, 75, 77, 81, 86, 89, 90, 93</t>
        </is>
      </c>
      <c r="M169" s="6" t="inlineStr">
        <is>
          <t>TRƯỢT ❌</t>
        </is>
      </c>
      <c r="N169" s="7" t="inlineStr">
        <is>
          <t>TRÚNG N2 🎯</t>
        </is>
      </c>
      <c r="O169" s="3" t="inlineStr">
        <is>
          <t>02, 04, 07, 09, 13, 18, 20, 22, 25, 27, 31, 34, 36, 39, 40, 43, 45, 48, 52, 54, 57, 59, 63, 68, 70, 72, 75, 77, 81, 84, 86, 89, 90, 93, 95, 98</t>
        </is>
      </c>
    </row>
    <row r="170">
      <c r="A170" s="2" t="n">
        <v>71</v>
      </c>
      <c r="B170" s="2" t="inlineStr">
        <is>
          <t>Thứ ba ngày 17-03-2026</t>
        </is>
      </c>
      <c r="C170" s="3" t="inlineStr">
        <is>
          <t>Thứ Hai</t>
        </is>
      </c>
      <c r="D170" s="3" t="inlineStr">
        <is>
          <t>07969</t>
        </is>
      </c>
      <c r="E170" s="3" t="inlineStr">
        <is>
          <t>69</t>
        </is>
      </c>
      <c r="F170" s="3" t="inlineStr">
        <is>
          <t>G7.4, G7.1</t>
        </is>
      </c>
      <c r="G170" s="3" t="inlineStr">
        <is>
          <t>Tổng 0, Tổng 1, Tổng 2, Tổng 5, Tổng 6, Tổng 7</t>
        </is>
      </c>
      <c r="H170" s="3" t="inlineStr">
        <is>
          <t>02345789</t>
        </is>
      </c>
      <c r="I170" s="3" t="inlineStr">
        <is>
          <t>Tổng 2-Bóng 7</t>
        </is>
      </c>
      <c r="J170" s="3" t="n">
        <v>56</v>
      </c>
      <c r="K170" s="7" t="inlineStr">
        <is>
          <t>TRÚNG N1 🎯</t>
        </is>
      </c>
      <c r="L170" s="3" t="inlineStr">
        <is>
          <t>01, 14, 19, 24, 28, 33, 37, 42, 48, 51, 52, 55, 57, 70, 74, 75, 78, 83, 91, 92</t>
        </is>
      </c>
      <c r="M170" s="6" t="inlineStr">
        <is>
          <t>TRƯỢT ❌</t>
        </is>
      </c>
      <c r="N170" s="7" t="inlineStr">
        <is>
          <t>TRÚNG N1 🎯</t>
        </is>
      </c>
      <c r="O170" s="3" t="inlineStr">
        <is>
          <t>00, 01, 02, 05, 06, 07, 10, 14, 15, 19, 20, 23, 24, 25, 28, 29, 32, 33, 34, 37, 38, 39, 41, 42, 43, 46, 47, 48, 50, 51, 52, 55, 56, 57, 60, 64, 65, 69, 70, 73, 74, 75, 78, 79, 82, 83, 84, 87, 88, 89, 91, 92, 93, 96, 97, 98</t>
        </is>
      </c>
    </row>
    <row r="171">
      <c r="A171" s="2" t="n">
        <v>70</v>
      </c>
      <c r="B171" s="2" t="inlineStr">
        <is>
          <t>Thứ hai ngày 16-03-2026</t>
        </is>
      </c>
      <c r="C171" s="3" t="inlineStr">
        <is>
          <t>Chủ Nhật</t>
        </is>
      </c>
      <c r="D171" s="3" t="inlineStr">
        <is>
          <t>77552</t>
        </is>
      </c>
      <c r="E171" s="3" t="inlineStr">
        <is>
          <t>52</t>
        </is>
      </c>
      <c r="F171" s="3" t="inlineStr">
        <is>
          <t>G7.3, G7.4</t>
        </is>
      </c>
      <c r="G171" s="3" t="inlineStr">
        <is>
          <t>Tổng 1, Tổng 2, Tổng 3, Tổng 6, Tổng 7, Tổng 8</t>
        </is>
      </c>
      <c r="H171" s="3" t="inlineStr">
        <is>
          <t>12346789</t>
        </is>
      </c>
      <c r="I171" s="3" t="inlineStr">
        <is>
          <t>Tổng 2-Bóng 7</t>
        </is>
      </c>
      <c r="J171" s="3" t="n">
        <v>60</v>
      </c>
      <c r="K171" s="7" t="inlineStr">
        <is>
          <t>TRÚNG N1 🎯</t>
        </is>
      </c>
      <c r="L171" s="3" t="inlineStr">
        <is>
          <t>01, 08, 12, 17, 24, 30, 38, 42, 48, 49, 51, 53, 57, 61, 62, 70, 75, 80, 83, 92</t>
        </is>
      </c>
      <c r="M171" s="6" t="inlineStr">
        <is>
          <t>TRƯỢT ❌</t>
        </is>
      </c>
      <c r="N171" s="7" t="inlineStr">
        <is>
          <t>TRÚNG N1 🎯</t>
        </is>
      </c>
      <c r="O171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72">
      <c r="A172" s="2" t="n">
        <v>69</v>
      </c>
      <c r="B172" s="2" t="inlineStr">
        <is>
          <t>Chủ nhật ngày 15-03-2026</t>
        </is>
      </c>
      <c r="C172" s="3" t="inlineStr">
        <is>
          <t>Thứ Bảy</t>
        </is>
      </c>
      <c r="D172" s="3" t="inlineStr">
        <is>
          <t>01770</t>
        </is>
      </c>
      <c r="E172" s="3" t="inlineStr">
        <is>
          <t>70</t>
        </is>
      </c>
      <c r="F172" s="3" t="inlineStr">
        <is>
          <t>G7.1, G7.2</t>
        </is>
      </c>
      <c r="G172" s="3" t="inlineStr">
        <is>
          <t>Tổng 0, Tổng 1, Tổng 2, Tổng 5, Tổng 6, Tổng 7</t>
        </is>
      </c>
      <c r="H172" s="3" t="inlineStr">
        <is>
          <t>01245679</t>
        </is>
      </c>
      <c r="I172" s="3" t="inlineStr">
        <is>
          <t>Tổng 6-Bóng 1</t>
        </is>
      </c>
      <c r="J172" s="3" t="n">
        <v>56</v>
      </c>
      <c r="K172" s="7" t="inlineStr">
        <is>
          <t>TRÚNG N1 🎯</t>
        </is>
      </c>
      <c r="L172" s="3" t="inlineStr">
        <is>
          <t>01, 05, 14, 19, 24, 28, 37, 42, 48, 51, 55, 57, 61, 74, 75, 78, 91, 92, 93, 97</t>
        </is>
      </c>
      <c r="M172" s="6" t="inlineStr">
        <is>
          <t>TRƯỢT ❌</t>
        </is>
      </c>
      <c r="N172" s="7" t="inlineStr">
        <is>
          <t>TRÚNG N1 🎯</t>
        </is>
      </c>
      <c r="O172" s="3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  <row r="173">
      <c r="A173" s="2" t="n">
        <v>68</v>
      </c>
      <c r="B173" s="2" t="inlineStr">
        <is>
          <t>Thứ bảy ngày 14-03-2026</t>
        </is>
      </c>
      <c r="C173" s="3" t="inlineStr">
        <is>
          <t>Thứ Sáu</t>
        </is>
      </c>
      <c r="D173" s="3" t="inlineStr">
        <is>
          <t>56848</t>
        </is>
      </c>
      <c r="E173" s="3" t="inlineStr">
        <is>
          <t>48</t>
        </is>
      </c>
      <c r="F173" s="3" t="inlineStr">
        <is>
          <t>G7.2, G7.3</t>
        </is>
      </c>
      <c r="G173" s="3" t="inlineStr">
        <is>
          <t>Tổng 1, Tổng 3, Tổng 4, Tổng 6, Tổng 8, Tổng 9</t>
        </is>
      </c>
      <c r="H173" s="3" t="inlineStr">
        <is>
          <t>01345689</t>
        </is>
      </c>
      <c r="I173" s="3" t="inlineStr">
        <is>
          <t>Tổng 3-Bóng 8</t>
        </is>
      </c>
      <c r="J173" s="3" t="n">
        <v>56</v>
      </c>
      <c r="K173" s="6" t="inlineStr">
        <is>
          <t>TRƯỢT ❌</t>
        </is>
      </c>
      <c r="L173" s="3" t="inlineStr">
        <is>
          <t>01, 08, 12, 13, 17, 24, 30, 36, 42, 49, 51, 53, 59, 68, 80, 81, 83, 86, 90, 92</t>
        </is>
      </c>
      <c r="M173" s="6" t="inlineStr">
        <is>
          <t>TRƯỢT ❌</t>
        </is>
      </c>
      <c r="N173" s="6" t="inlineStr">
        <is>
          <t>TRƯỢT KHUNG ❌</t>
        </is>
      </c>
      <c r="O173" s="3" t="inlineStr">
        <is>
          <t>01, 03, 04, 06, 08, 09, 10, 12, 13, 15, 17, 18, 21, 24, 26, 29, 30, 31, 33, 35, 36, 38, 40, 42, 44, 45, 47, 49, 51, 53, 54, 56, 58, 59, 60, 62, 63, 65, 67, 68, 71, 74, 76, 79, 80, 81, 83, 85, 86, 88, 90, 92, 94, 95, 97, 99</t>
        </is>
      </c>
    </row>
    <row r="174">
      <c r="A174" s="2" t="n">
        <v>67</v>
      </c>
      <c r="B174" s="2" t="inlineStr">
        <is>
          <t>Thứ sáu ngày 13-03-2026</t>
        </is>
      </c>
      <c r="C174" s="3" t="inlineStr">
        <is>
          <t>Thứ Năm</t>
        </is>
      </c>
      <c r="D174" s="3" t="inlineStr">
        <is>
          <t>86759</t>
        </is>
      </c>
      <c r="E174" s="3" t="inlineStr">
        <is>
          <t>59</t>
        </is>
      </c>
      <c r="F174" s="3" t="inlineStr">
        <is>
          <t>G7.4, G7.1</t>
        </is>
      </c>
      <c r="G174" s="3" t="inlineStr">
        <is>
          <t>Tổng 3, Tổng 4, Tổng 8, Tổng 9</t>
        </is>
      </c>
      <c r="H174" s="3" t="inlineStr">
        <is>
          <t>01345689</t>
        </is>
      </c>
      <c r="I174" s="3" t="inlineStr">
        <is>
          <t>Tổng 8-Bóng 3</t>
        </is>
      </c>
      <c r="J174" s="3" t="n">
        <v>36</v>
      </c>
      <c r="K174" s="7" t="inlineStr">
        <is>
          <t>TRÚNG N1 🎯</t>
        </is>
      </c>
      <c r="L174" s="3" t="inlineStr">
        <is>
          <t>08, 12, 13, 17, 21, 30, 36, 45, 49, 53, 54, 59, 62, 63, 68, 80, 81, 85, 86, 90</t>
        </is>
      </c>
      <c r="M174" s="7" t="inlineStr">
        <is>
          <t>TRÚNG HỎA LỰC 🎯</t>
        </is>
      </c>
      <c r="N174" s="7" t="inlineStr">
        <is>
          <t>TRÚNG N1 🎯</t>
        </is>
      </c>
      <c r="O174" s="3" t="inlineStr">
        <is>
          <t>03, 04, 08, 09, 12, 13, 17, 18, 21, 26, 30, 31, 35, 36, 40, 44, 45, 49, 53, 54, 58, 59, 62, 63, 67, 68, 71, 76, 80, 81, 85, 86, 90, 94, 95, 99</t>
        </is>
      </c>
    </row>
    <row r="175">
      <c r="A175" s="2" t="n">
        <v>66</v>
      </c>
      <c r="B175" s="2" t="inlineStr">
        <is>
          <t>Thứ năm ngày 12-03-2026</t>
        </is>
      </c>
      <c r="C175" s="3" t="inlineStr">
        <is>
          <t>Thứ Tư</t>
        </is>
      </c>
      <c r="D175" s="3" t="inlineStr">
        <is>
          <t>72124</t>
        </is>
      </c>
      <c r="E175" s="3" t="inlineStr">
        <is>
          <t>24</t>
        </is>
      </c>
      <c r="F175" s="3" t="inlineStr">
        <is>
          <t>G7.1, G7.2</t>
        </is>
      </c>
      <c r="G175" s="3" t="inlineStr">
        <is>
          <t>Tổng 1, Tổng 2, Tổng 3, Tổng 6, Tổng 7, Tổng 8</t>
        </is>
      </c>
      <c r="H175" s="3" t="inlineStr">
        <is>
          <t>0123456789</t>
        </is>
      </c>
      <c r="I175" s="3" t="inlineStr">
        <is>
          <t>Tổng 2-Bóng 7</t>
        </is>
      </c>
      <c r="J175" s="3" t="n">
        <v>60</v>
      </c>
      <c r="K175" s="7" t="inlineStr">
        <is>
          <t>TRÚNG N1 🎯</t>
        </is>
      </c>
      <c r="L175" s="3" t="inlineStr">
        <is>
          <t>01, 08, 12, 17, 30, 33, 38, 42, 48, 49, 51, 53, 57, 61, 62, 75, 80, 83, 85, 92</t>
        </is>
      </c>
      <c r="M175" s="6" t="inlineStr">
        <is>
          <t>TRƯỢT ❌</t>
        </is>
      </c>
      <c r="N175" s="7" t="inlineStr">
        <is>
          <t>TRÚNG N1 🎯</t>
        </is>
      </c>
      <c r="O175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76">
      <c r="A176" s="2" t="n">
        <v>65</v>
      </c>
      <c r="B176" s="2" t="inlineStr">
        <is>
          <t>Thứ tư ngày 11-03-2026</t>
        </is>
      </c>
      <c r="C176" s="3" t="inlineStr">
        <is>
          <t>Thứ Ba</t>
        </is>
      </c>
      <c r="D176" s="3" t="inlineStr">
        <is>
          <t>30368</t>
        </is>
      </c>
      <c r="E176" s="3" t="inlineStr">
        <is>
          <t>68</t>
        </is>
      </c>
      <c r="F176" s="3" t="inlineStr">
        <is>
          <t>G7.3, G7.4</t>
        </is>
      </c>
      <c r="G176" s="3" t="inlineStr">
        <is>
          <t>Tổng 0, Tổng 1, Tổng 4, Tổng 5, Tổng 6, Tổng 9</t>
        </is>
      </c>
      <c r="H176" s="3" t="inlineStr">
        <is>
          <t>0123456789</t>
        </is>
      </c>
      <c r="I176" s="3" t="inlineStr">
        <is>
          <t>Tổng 4-Bóng 9</t>
        </is>
      </c>
      <c r="J176" s="3" t="n">
        <v>60</v>
      </c>
      <c r="K176" s="7" t="inlineStr">
        <is>
          <t>TRÚNG N1 🎯</t>
        </is>
      </c>
      <c r="L176" s="3" t="inlineStr">
        <is>
          <t>01, 13, 19, 22, 33, 36, 37, 42, 51, 55, 59, 68, 77, 78, 81, 83, 86, 90, 91, 92</t>
        </is>
      </c>
      <c r="M176" s="7" t="inlineStr">
        <is>
          <t>TRÚNG HỎA LỰC 🎯</t>
        </is>
      </c>
      <c r="N176" s="7" t="inlineStr">
        <is>
          <t>TRÚNG N1 🎯</t>
        </is>
      </c>
      <c r="O17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77">
      <c r="A177" s="2" t="n">
        <v>64</v>
      </c>
      <c r="B177" s="2" t="inlineStr">
        <is>
          <t>Thứ ba ngày 10-03-2026</t>
        </is>
      </c>
      <c r="C177" s="3" t="inlineStr">
        <is>
          <t>Thứ Hai</t>
        </is>
      </c>
      <c r="D177" s="3" t="inlineStr">
        <is>
          <t>22342</t>
        </is>
      </c>
      <c r="E177" s="3" t="inlineStr">
        <is>
          <t>42</t>
        </is>
      </c>
      <c r="F177" s="3" t="inlineStr">
        <is>
          <t>G7.1, G7.2</t>
        </is>
      </c>
      <c r="G177" s="3" t="inlineStr">
        <is>
          <t>Tổng 0, Tổng 3, Tổng 5, Tổng 8</t>
        </is>
      </c>
      <c r="H177" s="3" t="inlineStr">
        <is>
          <t>01235678</t>
        </is>
      </c>
      <c r="I177" s="3" t="inlineStr">
        <is>
          <t>Tổng 5-Bóng 0</t>
        </is>
      </c>
      <c r="J177" s="3" t="n">
        <v>36</v>
      </c>
      <c r="K177" s="6" t="inlineStr">
        <is>
          <t>TRƯỢT ❌</t>
        </is>
      </c>
      <c r="L177" s="3" t="inlineStr">
        <is>
          <t>05, 08, 12, 14, 17, 19, 21, 23, 28, 30, 37, 41, 53, 55, 62, 78, 80, 85, 91, 96</t>
        </is>
      </c>
      <c r="M177" s="6" t="inlineStr">
        <is>
          <t>TRƯỢT ❌</t>
        </is>
      </c>
      <c r="N177" s="6" t="inlineStr">
        <is>
          <t>TRƯỢT KHUNG ❌</t>
        </is>
      </c>
      <c r="O177" s="3" t="inlineStr">
        <is>
          <t>00, 03, 05, 08, 12, 14, 17, 19, 21, 23, 26, 28, 30, 32, 35, 37, 41, 46, 50, 53, 55, 58, 62, 64, 67, 69, 71, 73, 76, 78, 80, 82, 85, 87, 91, 96</t>
        </is>
      </c>
    </row>
    <row r="178">
      <c r="A178" s="2" t="n">
        <v>63</v>
      </c>
      <c r="B178" s="2" t="inlineStr">
        <is>
          <t>Thứ hai ngày 09-03-2026</t>
        </is>
      </c>
      <c r="C178" s="3" t="inlineStr">
        <is>
          <t>Chủ Nhật</t>
        </is>
      </c>
      <c r="D178" s="3" t="inlineStr">
        <is>
          <t>90580</t>
        </is>
      </c>
      <c r="E178" s="3" t="inlineStr">
        <is>
          <t>80</t>
        </is>
      </c>
      <c r="F178" s="3" t="inlineStr">
        <is>
          <t>G7.3, G7.4</t>
        </is>
      </c>
      <c r="G178" s="3" t="inlineStr">
        <is>
          <t>Tổng 1, Tổng 4, Tổng 6, Tổng 9</t>
        </is>
      </c>
      <c r="H178" s="3" t="inlineStr">
        <is>
          <t>2479</t>
        </is>
      </c>
      <c r="I178" s="3" t="inlineStr">
        <is>
          <t>Tổng 9-Bóng 4</t>
        </is>
      </c>
      <c r="J178" s="3" t="n">
        <v>20</v>
      </c>
      <c r="K178" s="6" t="inlineStr">
        <is>
          <t>TRƯỢT ❌</t>
        </is>
      </c>
      <c r="L178" s="3" t="inlineStr">
        <is>
          <t>04, 09, 22, 24, 27, 29, 40, 42, 45, 47, 54, 59, 72, 74, 77, 79, 90, 92, 95, 97</t>
        </is>
      </c>
      <c r="M178" s="6" t="inlineStr">
        <is>
          <t>TRƯỢT ❌</t>
        </is>
      </c>
      <c r="N178" s="7" t="inlineStr">
        <is>
          <t>TRÚNG N2 🎯</t>
        </is>
      </c>
      <c r="O178" s="3" t="inlineStr">
        <is>
          <t>04, 09, 22, 24, 27, 29, 40, 42, 45, 47, 54, 59, 72, 74, 77, 79, 90, 92, 95, 97</t>
        </is>
      </c>
    </row>
    <row r="179">
      <c r="A179" s="2" t="n">
        <v>62</v>
      </c>
      <c r="B179" s="2" t="inlineStr">
        <is>
          <t>Chủ nhật ngày 08-03-2026</t>
        </is>
      </c>
      <c r="C179" s="3" t="inlineStr">
        <is>
          <t>Thứ Bảy</t>
        </is>
      </c>
      <c r="D179" s="3" t="inlineStr">
        <is>
          <t>81336</t>
        </is>
      </c>
      <c r="E179" s="3" t="inlineStr">
        <is>
          <t>36</t>
        </is>
      </c>
      <c r="F179" s="3" t="inlineStr">
        <is>
          <t>G7.1, G7.2</t>
        </is>
      </c>
      <c r="G179" s="3" t="inlineStr">
        <is>
          <t>Tổng 2, Tổng 3, Tổng 7, Tổng 8</t>
        </is>
      </c>
      <c r="H179" s="3" t="inlineStr">
        <is>
          <t>12346789</t>
        </is>
      </c>
      <c r="I179" s="3" t="inlineStr">
        <is>
          <t>Tổng 7-Bóng 2</t>
        </is>
      </c>
      <c r="J179" s="3" t="n">
        <v>40</v>
      </c>
      <c r="K179" s="6" t="inlineStr">
        <is>
          <t>TRƯỢT ❌</t>
        </is>
      </c>
      <c r="L179" s="3" t="inlineStr">
        <is>
          <t>07, 08, 12, 17, 21, 30, 48, 49, 53, 57, 61, 62, 70, 75, 80, 85, 89, 93, 94, 98</t>
        </is>
      </c>
      <c r="M179" s="6" t="inlineStr">
        <is>
          <t>TRƯỢT ❌</t>
        </is>
      </c>
      <c r="N179" s="7" t="inlineStr">
        <is>
          <t>TRÚNG N2 🎯</t>
        </is>
      </c>
      <c r="O179" s="3" t="inlineStr">
        <is>
          <t>02, 03, 07, 08, 11, 12, 16, 17, 20, 21, 25, 26, 30, 34, 35, 39, 43, 44, 48, 49, 52, 53, 57, 58, 61, 62, 66, 67, 70, 71, 75, 76, 80, 84, 85, 89, 93, 94, 98, 99</t>
        </is>
      </c>
    </row>
    <row r="180">
      <c r="A180" s="2" t="n">
        <v>61</v>
      </c>
      <c r="B180" s="2" t="inlineStr">
        <is>
          <t>Thứ bảy ngày 07-03-2026</t>
        </is>
      </c>
      <c r="C180" s="3" t="inlineStr">
        <is>
          <t>Thứ Sáu</t>
        </is>
      </c>
      <c r="D180" s="3" t="inlineStr">
        <is>
          <t>51951</t>
        </is>
      </c>
      <c r="E180" s="3" t="inlineStr">
        <is>
          <t>51</t>
        </is>
      </c>
      <c r="F180" s="3" t="inlineStr">
        <is>
          <t>G7.2, G7.3</t>
        </is>
      </c>
      <c r="G180" s="3" t="inlineStr">
        <is>
          <t>Tổng 2, Tổng 3, Tổng 7, Tổng 8</t>
        </is>
      </c>
      <c r="H180" s="3" t="inlineStr">
        <is>
          <t>0123456789</t>
        </is>
      </c>
      <c r="I180" s="3" t="inlineStr">
        <is>
          <t>Tổng 2-Bóng 7</t>
        </is>
      </c>
      <c r="J180" s="3" t="n">
        <v>40</v>
      </c>
      <c r="K180" s="6" t="inlineStr">
        <is>
          <t>TRƯỢT ❌</t>
        </is>
      </c>
      <c r="L180" s="3" t="inlineStr">
        <is>
          <t>07, 08, 12, 17, 21, 30, 48, 49, 53, 57, 61, 62, 70, 75, 80, 85, 89, 93, 94, 98</t>
        </is>
      </c>
      <c r="M180" s="6" t="inlineStr">
        <is>
          <t>TRƯỢT ❌</t>
        </is>
      </c>
      <c r="N180" s="7" t="inlineStr">
        <is>
          <t>TRÚNG N3 🎯</t>
        </is>
      </c>
      <c r="O180" s="3" t="inlineStr">
        <is>
          <t>02, 03, 07, 08, 11, 12, 16, 17, 20, 21, 25, 26, 30, 34, 35, 39, 43, 44, 48, 49, 52, 53, 57, 58, 61, 62, 66, 67, 70, 71, 75, 76, 80, 84, 85, 89, 93, 94, 98, 99</t>
        </is>
      </c>
    </row>
    <row r="181">
      <c r="A181" s="2" t="n">
        <v>60</v>
      </c>
      <c r="B181" s="2" t="inlineStr">
        <is>
          <t>Thứ sáu ngày 06-03-2026</t>
        </is>
      </c>
      <c r="C181" s="3" t="inlineStr">
        <is>
          <t>Thứ Năm</t>
        </is>
      </c>
      <c r="D181" s="3" t="inlineStr">
        <is>
          <t>38249</t>
        </is>
      </c>
      <c r="E181" s="3" t="inlineStr">
        <is>
          <t>49</t>
        </is>
      </c>
      <c r="F181" s="3" t="inlineStr">
        <is>
          <t>G7.4, G7.1</t>
        </is>
      </c>
      <c r="G181" s="3" t="inlineStr">
        <is>
          <t>Tổng 0, Tổng 2, Tổng 3, Tổng 5, Tổng 7, Tổng 8</t>
        </is>
      </c>
      <c r="H181" s="3" t="inlineStr">
        <is>
          <t>014569</t>
        </is>
      </c>
      <c r="I181" s="3" t="inlineStr">
        <is>
          <t>Tổng 0-Bóng 5</t>
        </is>
      </c>
      <c r="J181" s="3" t="n">
        <v>52</v>
      </c>
      <c r="K181" s="7" t="inlineStr">
        <is>
          <t>TRÚNG N1 🎯</t>
        </is>
      </c>
      <c r="L181" s="3" t="inlineStr">
        <is>
          <t>05, 08, 12, 17, 19, 21, 30, 48, 49, 53, 55, 57, 61, 62, 75, 80, 85, 89, 91, 94</t>
        </is>
      </c>
      <c r="M181" s="7" t="inlineStr">
        <is>
          <t>TRÚNG HỎA LỰC 🎯</t>
        </is>
      </c>
      <c r="N181" s="7" t="inlineStr">
        <is>
          <t>TRÚNG N1 🎯</t>
        </is>
      </c>
      <c r="O181" s="3" t="inlineStr">
        <is>
          <t>00, 02, 03, 05, 07, 08, 11, 12, 14, 16, 17, 19, 20, 21, 25, 26, 30, 34, 35, 39, 41, 43, 44, 46, 48, 49, 50, 52, 53, 55, 57, 58, 61, 62, 64, 66, 67, 69, 70, 71, 75, 76, 80, 84, 85, 89, 91, 93, 94, 96, 98, 99</t>
        </is>
      </c>
    </row>
    <row r="182">
      <c r="A182" s="2" t="n">
        <v>59</v>
      </c>
      <c r="B182" s="2" t="inlineStr">
        <is>
          <t>Thứ năm ngày 05-03-2026</t>
        </is>
      </c>
      <c r="C182" s="3" t="inlineStr">
        <is>
          <t>Thứ Tư</t>
        </is>
      </c>
      <c r="D182" s="3" t="inlineStr">
        <is>
          <t>16659</t>
        </is>
      </c>
      <c r="E182" s="3" t="inlineStr">
        <is>
          <t>59</t>
        </is>
      </c>
      <c r="F182" s="3" t="inlineStr">
        <is>
          <t>G7.1, G7.2</t>
        </is>
      </c>
      <c r="G182" s="3" t="inlineStr">
        <is>
          <t>Tổng 0, Tổng 3, Tổng 5, Tổng 8</t>
        </is>
      </c>
      <c r="H182" s="3" t="inlineStr">
        <is>
          <t>0123456789</t>
        </is>
      </c>
      <c r="I182" s="3" t="inlineStr">
        <is>
          <t>Tổng 5-Bóng 0</t>
        </is>
      </c>
      <c r="J182" s="3" t="n">
        <v>40</v>
      </c>
      <c r="K182" s="6" t="inlineStr">
        <is>
          <t>TRƯỢT ❌</t>
        </is>
      </c>
      <c r="L182" s="3" t="inlineStr">
        <is>
          <t>05, 08, 12, 14, 17, 19, 21, 23, 28, 30, 37, 49, 53, 55, 62, 78, 80, 85, 91, 94</t>
        </is>
      </c>
      <c r="M182" s="6" t="inlineStr">
        <is>
          <t>TRƯỢT ❌</t>
        </is>
      </c>
      <c r="N182" s="7" t="inlineStr">
        <is>
          <t>TRÚNG N2 🎯</t>
        </is>
      </c>
      <c r="O182" s="3" t="inlineStr">
        <is>
          <t>00, 03, 05, 08, 12, 14, 17, 19, 21, 23, 26, 28, 30, 32, 35, 37, 41, 44, 46, 49, 50, 53, 55, 58, 62, 64, 67, 69, 71, 73, 76, 78, 80, 82, 85, 87, 91, 94, 96, 99</t>
        </is>
      </c>
    </row>
    <row r="183">
      <c r="A183" s="2" t="n">
        <v>58</v>
      </c>
      <c r="B183" s="2" t="inlineStr">
        <is>
          <t>Thứ tư ngày 04-03-2026</t>
        </is>
      </c>
      <c r="C183" s="3" t="inlineStr">
        <is>
          <t>Thứ Ba</t>
        </is>
      </c>
      <c r="D183" s="3" t="inlineStr">
        <is>
          <t>10619</t>
        </is>
      </c>
      <c r="E183" s="3" t="inlineStr">
        <is>
          <t>19</t>
        </is>
      </c>
      <c r="F183" s="3" t="inlineStr">
        <is>
          <t>G7.3, G7.1</t>
        </is>
      </c>
      <c r="G183" s="3" t="inlineStr">
        <is>
          <t>Tổng 1, Tổng 3, Tổng 4, Tổng 6, Tổng 8, Tổng 9</t>
        </is>
      </c>
      <c r="H183" s="3" t="inlineStr">
        <is>
          <t>12346789</t>
        </is>
      </c>
      <c r="I183" s="3" t="inlineStr">
        <is>
          <t>Tổng 1-Bóng 6</t>
        </is>
      </c>
      <c r="J183" s="3" t="n">
        <v>60</v>
      </c>
      <c r="K183" s="6" t="inlineStr">
        <is>
          <t>TRƯỢT ❌</t>
        </is>
      </c>
      <c r="L183" s="3" t="inlineStr">
        <is>
          <t>01, 08, 12, 13, 17, 22, 30, 33, 45, 53, 54, 62, 68, 77, 81, 83, 85, 86, 90, 92</t>
        </is>
      </c>
      <c r="M183" s="6" t="inlineStr">
        <is>
          <t>TRƯỢT ❌</t>
        </is>
      </c>
      <c r="N183" s="7" t="inlineStr">
        <is>
          <t>TRÚNG N2 🎯</t>
        </is>
      </c>
      <c r="O18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84">
      <c r="A184" s="2" t="n">
        <v>57</v>
      </c>
      <c r="B184" s="2" t="inlineStr">
        <is>
          <t>Thứ ba ngày 03-03-2026</t>
        </is>
      </c>
      <c r="C184" s="3" t="inlineStr">
        <is>
          <t>Thứ Hai</t>
        </is>
      </c>
      <c r="D184" s="3" t="inlineStr">
        <is>
          <t>70078</t>
        </is>
      </c>
      <c r="E184" s="3" t="inlineStr">
        <is>
          <t>78</t>
        </is>
      </c>
      <c r="F184" s="3" t="inlineStr">
        <is>
          <t>G7.1, G7.2</t>
        </is>
      </c>
      <c r="G184" s="3" t="inlineStr">
        <is>
          <t>Tổng 2, Tổng 4, Tổng 7, Tổng 9</t>
        </is>
      </c>
      <c r="H184" s="3" t="inlineStr">
        <is>
          <t>01345689</t>
        </is>
      </c>
      <c r="I184" s="3" t="inlineStr">
        <is>
          <t>Tổng 4-Bóng 9</t>
        </is>
      </c>
      <c r="J184" s="3" t="n">
        <v>36</v>
      </c>
      <c r="K184" s="6" t="inlineStr">
        <is>
          <t>TRƯỢT ❌</t>
        </is>
      </c>
      <c r="L184" s="3" t="inlineStr">
        <is>
          <t>04, 07, 09, 13, 45, 48, 54, 57, 61, 63, 68, 70, 75, 81, 84, 86, 89, 90, 93, 98</t>
        </is>
      </c>
      <c r="M184" s="6" t="inlineStr">
        <is>
          <t>TRƯỢT ❌</t>
        </is>
      </c>
      <c r="N184" s="7" t="inlineStr">
        <is>
          <t>TRÚNG N3 🎯</t>
        </is>
      </c>
      <c r="O184" s="3" t="inlineStr">
        <is>
          <t>02, 04, 07, 09, 11, 13, 16, 18, 20, 25, 31, 34, 36, 39, 40, 43, 45, 48, 52, 54, 57, 59, 61, 63, 66, 68, 70, 75, 81, 84, 86, 89, 90, 93, 95, 98</t>
        </is>
      </c>
    </row>
    <row r="185">
      <c r="A185" s="2" t="n">
        <v>56</v>
      </c>
      <c r="B185" s="2" t="inlineStr">
        <is>
          <t>Thứ hai ngày 02-03-2026</t>
        </is>
      </c>
      <c r="C185" s="3" t="inlineStr">
        <is>
          <t>Chủ Nhật</t>
        </is>
      </c>
      <c r="D185" s="3" t="inlineStr">
        <is>
          <t>75257</t>
        </is>
      </c>
      <c r="E185" s="3" t="inlineStr">
        <is>
          <t>57</t>
        </is>
      </c>
      <c r="F185" s="3" t="inlineStr">
        <is>
          <t>G7.3, G7.1</t>
        </is>
      </c>
      <c r="G185" s="3" t="inlineStr">
        <is>
          <t>Tổng 1, Tổng 6</t>
        </is>
      </c>
      <c r="H185" s="3" t="inlineStr">
        <is>
          <t>0123456789</t>
        </is>
      </c>
      <c r="I185" s="3" t="inlineStr">
        <is>
          <t>Tổng 6-Bóng 1</t>
        </is>
      </c>
      <c r="J185" s="3" t="n">
        <v>20</v>
      </c>
      <c r="K185" s="6" t="inlineStr">
        <is>
          <t>TRƯỢT ❌</t>
        </is>
      </c>
      <c r="L185" s="3" t="inlineStr">
        <is>
          <t>01, 06, 10, 15, 24, 29, 33, 38, 42, 47, 51, 56, 60, 65, 74, 79, 83, 88, 92, 97</t>
        </is>
      </c>
      <c r="M185" s="6" t="inlineStr">
        <is>
          <t>TRƯỢT ❌</t>
        </is>
      </c>
      <c r="N185" s="6" t="inlineStr">
        <is>
          <t>TRƯỢT KHUNG ❌</t>
        </is>
      </c>
      <c r="O185" s="3" t="inlineStr">
        <is>
          <t>01, 06, 10, 15, 24, 29, 33, 38, 42, 47, 51, 56, 60, 65, 74, 79, 83, 88, 92, 97</t>
        </is>
      </c>
    </row>
    <row r="186">
      <c r="A186" s="2" t="n">
        <v>55</v>
      </c>
      <c r="B186" s="2" t="inlineStr">
        <is>
          <t>Chủ nhật ngày 01-03-2026</t>
        </is>
      </c>
      <c r="C186" s="3" t="inlineStr">
        <is>
          <t>Thứ Bảy</t>
        </is>
      </c>
      <c r="D186" s="3" t="inlineStr">
        <is>
          <t>90148</t>
        </is>
      </c>
      <c r="E186" s="3" t="inlineStr">
        <is>
          <t>48</t>
        </is>
      </c>
      <c r="F186" s="3" t="inlineStr">
        <is>
          <t>G7.1, G7.2</t>
        </is>
      </c>
      <c r="G186" s="3" t="inlineStr">
        <is>
          <t>Tổng 0, Tổng 1, Tổng 5, Tổng 6</t>
        </is>
      </c>
      <c r="H186" s="3" t="inlineStr">
        <is>
          <t>0123456789</t>
        </is>
      </c>
      <c r="I186" s="3" t="inlineStr">
        <is>
          <t>Tổng 5-Bóng 0</t>
        </is>
      </c>
      <c r="J186" s="3" t="n">
        <v>40</v>
      </c>
      <c r="K186" s="6" t="inlineStr">
        <is>
          <t>TRƯỢT ❌</t>
        </is>
      </c>
      <c r="L186" s="3" t="inlineStr">
        <is>
          <t>01, 05, 14, 23, 24, 28, 33, 37, 38, 47, 51, 55, 74, 78, 83, 88, 91, 92, 96, 97</t>
        </is>
      </c>
      <c r="M186" s="6" t="inlineStr">
        <is>
          <t>TRƯỢT ❌</t>
        </is>
      </c>
      <c r="N186" s="7" t="inlineStr">
        <is>
          <t>TRÚNG N3 🎯</t>
        </is>
      </c>
      <c r="O186" s="3" t="inlineStr">
        <is>
          <t>00, 01, 05, 06, 10, 14, 15, 19, 23, 24, 28, 29, 32, 33, 37, 38, 41, 42, 46, 47, 50, 51, 55, 56, 60, 64, 65, 69, 73, 74, 78, 79, 82, 83, 87, 88, 91, 92, 96, 97</t>
        </is>
      </c>
    </row>
    <row r="187">
      <c r="A187" s="2" t="n">
        <v>54</v>
      </c>
      <c r="B187" s="2" t="inlineStr">
        <is>
          <t>Thứ bảy ngày 28-02-2026</t>
        </is>
      </c>
      <c r="C187" s="3" t="inlineStr">
        <is>
          <t>Thứ Sáu</t>
        </is>
      </c>
      <c r="D187" s="3" t="inlineStr">
        <is>
          <t>47891</t>
        </is>
      </c>
      <c r="E187" s="3" t="inlineStr">
        <is>
          <t>91</t>
        </is>
      </c>
      <c r="F187" s="3" t="inlineStr">
        <is>
          <t>G7.2, G7.3</t>
        </is>
      </c>
      <c r="G187" s="3" t="inlineStr">
        <is>
          <t>Tổng 1, Tổng 2, Tổng 3, Tổng 6, Tổng 7, Tổng 8</t>
        </is>
      </c>
      <c r="H187" s="3" t="inlineStr">
        <is>
          <t>0123456789</t>
        </is>
      </c>
      <c r="I187" s="3" t="inlineStr">
        <is>
          <t>Tổng 8-Bóng 3</t>
        </is>
      </c>
      <c r="J187" s="3" t="n">
        <v>60</v>
      </c>
      <c r="K187" s="6" t="inlineStr">
        <is>
          <t>TRƯỢT ❌</t>
        </is>
      </c>
      <c r="L187" s="3" t="inlineStr">
        <is>
          <t>01, 08, 12, 17, 21, 24, 30, 33, 38, 48, 53, 61, 62, 74, 75, 80, 83, 85, 92, 97</t>
        </is>
      </c>
      <c r="M187" s="6" t="inlineStr">
        <is>
          <t>TRƯỢT ❌</t>
        </is>
      </c>
      <c r="N187" s="7" t="inlineStr">
        <is>
          <t>TRÚNG N2 🎯</t>
        </is>
      </c>
      <c r="O18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88">
      <c r="A188" s="2" t="n">
        <v>53</v>
      </c>
      <c r="B188" s="2" t="inlineStr">
        <is>
          <t>Thứ sáu ngày 27-02-2026</t>
        </is>
      </c>
      <c r="C188" s="3" t="inlineStr">
        <is>
          <t>Thứ Năm</t>
        </is>
      </c>
      <c r="D188" s="3" t="inlineStr">
        <is>
          <t>13283</t>
        </is>
      </c>
      <c r="E188" s="3" t="inlineStr">
        <is>
          <t>83</t>
        </is>
      </c>
      <c r="F188" s="3" t="inlineStr">
        <is>
          <t>G7.4, G7.1</t>
        </is>
      </c>
      <c r="G188" s="3" t="inlineStr">
        <is>
          <t>Tổng 0, Tổng 3, Tổng 4, Tổng 5, Tổng 8, Tổng 9</t>
        </is>
      </c>
      <c r="H188" s="3" t="inlineStr">
        <is>
          <t>014569</t>
        </is>
      </c>
      <c r="I188" s="3" t="inlineStr">
        <is>
          <t>Tổng 4-Bóng 9</t>
        </is>
      </c>
      <c r="J188" s="3" t="n">
        <v>48</v>
      </c>
      <c r="K188" s="6" t="inlineStr">
        <is>
          <t>TRƯỢT ❌</t>
        </is>
      </c>
      <c r="L188" s="3" t="inlineStr">
        <is>
          <t>05, 08, 12, 13, 14, 17, 21, 30, 45, 49, 53, 54, 55, 62, 68, 80, 81, 85, 86, 90</t>
        </is>
      </c>
      <c r="M188" s="6" t="inlineStr">
        <is>
          <t>TRƯỢT ❌</t>
        </is>
      </c>
      <c r="N188" s="7" t="inlineStr">
        <is>
          <t>TRÚNG N2 🎯</t>
        </is>
      </c>
      <c r="O188" s="3" t="inlineStr">
        <is>
          <t>00, 03, 04, 05, 08, 09, 12, 13, 14, 17, 18, 19, 21, 26, 30, 31, 35, 36, 40, 41, 44, 45, 46, 49, 50, 53, 54, 55, 58, 59, 62, 63, 64, 67, 68, 69, 71, 76, 80, 81, 85, 86, 90, 91, 94, 95, 96, 99</t>
        </is>
      </c>
    </row>
    <row r="189">
      <c r="A189" s="2" t="n">
        <v>52</v>
      </c>
      <c r="B189" s="2" t="inlineStr">
        <is>
          <t>Thứ năm ngày 26-02-2026</t>
        </is>
      </c>
      <c r="C189" s="3" t="inlineStr">
        <is>
          <t>Thứ Tư</t>
        </is>
      </c>
      <c r="D189" s="3" t="inlineStr">
        <is>
          <t>86408</t>
        </is>
      </c>
      <c r="E189" s="3" t="inlineStr">
        <is>
          <t>08</t>
        </is>
      </c>
      <c r="F189" s="3" t="inlineStr">
        <is>
          <t>G7.1, G7.2</t>
        </is>
      </c>
      <c r="G189" s="3" t="inlineStr">
        <is>
          <t>Tổng 0, Tổng 2, Tổng 3, Tổng 5, Tổng 7, Tổng 8</t>
        </is>
      </c>
      <c r="H189" s="3" t="inlineStr">
        <is>
          <t>0123456789</t>
        </is>
      </c>
      <c r="I189" s="3" t="inlineStr">
        <is>
          <t>Tổng 5-Bóng 0</t>
        </is>
      </c>
      <c r="J189" s="3" t="n">
        <v>60</v>
      </c>
      <c r="K189" s="7" t="inlineStr">
        <is>
          <t>TRÚNG N1 🎯</t>
        </is>
      </c>
      <c r="L189" s="3" t="inlineStr">
        <is>
          <t>05, 12, 14, 17, 21, 23, 28, 30, 37, 48, 49, 53, 55, 61, 62, 75, 80, 85, 89, 94</t>
        </is>
      </c>
      <c r="M189" s="6" t="inlineStr">
        <is>
          <t>TRƯỢT ❌</t>
        </is>
      </c>
      <c r="N189" s="7" t="inlineStr">
        <is>
          <t>TRÚNG N1 🎯</t>
        </is>
      </c>
      <c r="O189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90">
      <c r="A190" s="2" t="n">
        <v>51</v>
      </c>
      <c r="B190" s="2" t="inlineStr">
        <is>
          <t>Thứ tư ngày 25-02-2026</t>
        </is>
      </c>
      <c r="C190" s="3" t="inlineStr">
        <is>
          <t>Thứ Ba</t>
        </is>
      </c>
      <c r="D190" s="3" t="inlineStr">
        <is>
          <t>48153</t>
        </is>
      </c>
      <c r="E190" s="3" t="inlineStr">
        <is>
          <t>53</t>
        </is>
      </c>
      <c r="F190" s="3" t="inlineStr">
        <is>
          <t>G7.1, G7.2</t>
        </is>
      </c>
      <c r="G190" s="3" t="inlineStr">
        <is>
          <t>Tổng 1, Tổng 4, Tổng 6, Tổng 9</t>
        </is>
      </c>
      <c r="H190" s="3" t="inlineStr">
        <is>
          <t>0123456789</t>
        </is>
      </c>
      <c r="I190" s="3" t="inlineStr">
        <is>
          <t>Tổng 1-Bóng 6</t>
        </is>
      </c>
      <c r="J190" s="3" t="n">
        <v>40</v>
      </c>
      <c r="K190" s="6" t="inlineStr">
        <is>
          <t>TRƯỢT ❌</t>
        </is>
      </c>
      <c r="L190" s="3" t="inlineStr">
        <is>
          <t>01, 13, 22, 24, 27, 33, 38, 45, 47, 51, 54, 63, 68, 74, 77, 81, 86, 90, 92, 97</t>
        </is>
      </c>
      <c r="M190" s="6" t="inlineStr">
        <is>
          <t>TRƯỢT ❌</t>
        </is>
      </c>
      <c r="N190" s="7" t="inlineStr">
        <is>
          <t>TRÚNG N3 🎯</t>
        </is>
      </c>
      <c r="O190" s="3" t="inlineStr">
        <is>
          <t>01, 04, 06, 09, 10, 13, 15, 18, 22, 24, 27, 29, 31, 33, 36, 38, 40, 42, 45, 47, 51, 54, 56, 59, 60, 63, 65, 68, 72, 74, 77, 79, 81, 83, 86, 88, 90, 92, 95, 97</t>
        </is>
      </c>
    </row>
    <row r="191">
      <c r="A191" s="2" t="n">
        <v>50</v>
      </c>
      <c r="B191" s="2" t="inlineStr">
        <is>
          <t>Thứ ba ngày 24-02-2026</t>
        </is>
      </c>
      <c r="C191" s="3" t="inlineStr">
        <is>
          <t>Thứ Hai</t>
        </is>
      </c>
      <c r="D191" s="3" t="inlineStr">
        <is>
          <t>65037</t>
        </is>
      </c>
      <c r="E191" s="3" t="inlineStr">
        <is>
          <t>37</t>
        </is>
      </c>
      <c r="F191" s="3" t="inlineStr">
        <is>
          <t>G7.1, G7.3</t>
        </is>
      </c>
      <c r="G191" s="3" t="inlineStr">
        <is>
          <t>Tổng 0, Tổng 1, Tổng 4, Tổng 5, Tổng 6, Tổng 9</t>
        </is>
      </c>
      <c r="H191" s="3" t="inlineStr">
        <is>
          <t>02345789</t>
        </is>
      </c>
      <c r="I191" s="3" t="inlineStr">
        <is>
          <t>Tổng 1-Bóng 6</t>
        </is>
      </c>
      <c r="J191" s="3" t="n">
        <v>60</v>
      </c>
      <c r="K191" s="7" t="inlineStr">
        <is>
          <t>TRÚNG N1 🎯</t>
        </is>
      </c>
      <c r="L191" s="3" t="inlineStr">
        <is>
          <t>01, 05, 13, 14, 22, 24, 28, 33, 38, 45, 54, 55, 63, 68, 74, 77, 81, 86, 90, 92</t>
        </is>
      </c>
      <c r="M191" s="6" t="inlineStr">
        <is>
          <t>TRƯỢT ❌</t>
        </is>
      </c>
      <c r="N191" s="7" t="inlineStr">
        <is>
          <t>TRÚNG N1 🎯</t>
        </is>
      </c>
      <c r="O19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92">
      <c r="A192" s="2" t="n">
        <v>49</v>
      </c>
      <c r="B192" s="2" t="inlineStr">
        <is>
          <t>Thứ hai ngày 23-02-2026</t>
        </is>
      </c>
      <c r="C192" s="3" t="inlineStr">
        <is>
          <t>Chủ Nhật</t>
        </is>
      </c>
      <c r="D192" s="3" t="inlineStr">
        <is>
          <t>67655</t>
        </is>
      </c>
      <c r="E192" s="3" t="inlineStr">
        <is>
          <t>55</t>
        </is>
      </c>
      <c r="F192" s="3" t="inlineStr">
        <is>
          <t>G7.3, G7.1</t>
        </is>
      </c>
      <c r="G192" s="3" t="inlineStr">
        <is>
          <t>Tổng 1, Tổng 3, Tổng 4, Tổng 6, Tổng 8, Tổng 9</t>
        </is>
      </c>
      <c r="H192" s="3" t="inlineStr">
        <is>
          <t>034589</t>
        </is>
      </c>
      <c r="I192" s="3" t="inlineStr">
        <is>
          <t>Tổng 6-Bóng 1</t>
        </is>
      </c>
      <c r="J192" s="3" t="n">
        <v>48</v>
      </c>
      <c r="K192" s="6" t="inlineStr">
        <is>
          <t>TRƯỢT ❌</t>
        </is>
      </c>
      <c r="L192" s="3" t="inlineStr">
        <is>
          <t>01, 13, 24, 30, 33, 38, 45, 47, 51, 54, 63, 68, 74, 80, 81, 85, 86, 90, 92, 97</t>
        </is>
      </c>
      <c r="M192" s="6" t="inlineStr">
        <is>
          <t>TRƯỢT ❌</t>
        </is>
      </c>
      <c r="N192" s="7" t="inlineStr">
        <is>
          <t>TRÚNG N3 🎯</t>
        </is>
      </c>
      <c r="O192" s="3" t="inlineStr">
        <is>
          <t>01, 03, 04, 06, 08, 09, 10, 13, 15, 18, 24, 29, 30, 31, 33, 35, 36, 38, 40, 42, 44, 45, 47, 49, 51, 53, 54, 56, 58, 59, 60, 63, 65, 68, 74, 79, 80, 81, 83, 85, 86, 88, 90, 92, 94, 95, 97, 99</t>
        </is>
      </c>
    </row>
    <row r="193">
      <c r="A193" s="2" t="n">
        <v>48</v>
      </c>
      <c r="B193" s="2" t="inlineStr">
        <is>
          <t>Chủ nhật ngày 22-02-2026</t>
        </is>
      </c>
      <c r="C193" s="3" t="inlineStr">
        <is>
          <t>Thứ Bảy</t>
        </is>
      </c>
      <c r="D193" s="3" t="inlineStr">
        <is>
          <t>64512</t>
        </is>
      </c>
      <c r="E193" s="3" t="inlineStr">
        <is>
          <t>12</t>
        </is>
      </c>
      <c r="F193" s="3" t="inlineStr">
        <is>
          <t>G7.1, G7.2</t>
        </is>
      </c>
      <c r="G193" s="3" t="inlineStr">
        <is>
          <t>Tổng 0, Tổng 3, Tổng 5, Tổng 8</t>
        </is>
      </c>
      <c r="H193" s="3" t="inlineStr">
        <is>
          <t>014569</t>
        </is>
      </c>
      <c r="I193" s="3" t="inlineStr">
        <is>
          <t>Tổng 8-Bóng 3</t>
        </is>
      </c>
      <c r="J193" s="3" t="n">
        <v>32</v>
      </c>
      <c r="K193" s="7" t="inlineStr">
        <is>
          <t>TRÚNG N1 🎯</t>
        </is>
      </c>
      <c r="L193" s="3" t="inlineStr">
        <is>
          <t>03, 05, 14, 17, 19, 21, 26, 30, 41, 46, 49, 50, 55, 62, 71, 80, 85, 94, 96, 99</t>
        </is>
      </c>
      <c r="M193" s="6" t="inlineStr">
        <is>
          <t>TRƯỢT ❌</t>
        </is>
      </c>
      <c r="N193" s="7" t="inlineStr">
        <is>
          <t>TRÚNG N1 🎯</t>
        </is>
      </c>
      <c r="O193" s="3" t="inlineStr">
        <is>
          <t>00, 03, 05, 08, 12, 14, 17, 19, 21, 26, 30, 35, 41, 44, 46, 49, 50, 53, 55, 58, 62, 64, 67, 69, 71, 76, 80, 85, 91, 94, 96, 99</t>
        </is>
      </c>
    </row>
    <row r="194">
      <c r="A194" s="2" t="n">
        <v>47</v>
      </c>
      <c r="B194" s="2" t="inlineStr">
        <is>
          <t>Thứ bảy ngày 21-02-2026</t>
        </is>
      </c>
      <c r="C194" s="3" t="inlineStr">
        <is>
          <t>Thứ Sáu</t>
        </is>
      </c>
      <c r="D194" s="3" t="inlineStr">
        <is>
          <t>44413</t>
        </is>
      </c>
      <c r="E194" s="3" t="inlineStr">
        <is>
          <t>13</t>
        </is>
      </c>
      <c r="F194" s="3" t="inlineStr">
        <is>
          <t>G7.2, G7.3</t>
        </is>
      </c>
      <c r="G194" s="3" t="inlineStr">
        <is>
          <t>Tổng 1, Tổng 3, Tổng 4, Tổng 6, Tổng 8, Tổng 9</t>
        </is>
      </c>
      <c r="H194" s="3" t="inlineStr">
        <is>
          <t>0123456789</t>
        </is>
      </c>
      <c r="I194" s="3" t="inlineStr">
        <is>
          <t>Tổng 8-Bóng 3</t>
        </is>
      </c>
      <c r="J194" s="3" t="n">
        <v>60</v>
      </c>
      <c r="K194" s="7" t="inlineStr">
        <is>
          <t>TRÚNG N1 🎯</t>
        </is>
      </c>
      <c r="L194" s="3" t="inlineStr">
        <is>
          <t>01, 17, 21, 22, 30, 33, 45, 51, 54, 62, 63, 68, 74, 77, 80, 81, 85, 86, 90, 92</t>
        </is>
      </c>
      <c r="M194" s="6" t="inlineStr">
        <is>
          <t>TRƯỢT ❌</t>
        </is>
      </c>
      <c r="N194" s="7" t="inlineStr">
        <is>
          <t>TRÚNG N1 🎯</t>
        </is>
      </c>
      <c r="O19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95">
      <c r="A195" s="2" t="n">
        <v>46</v>
      </c>
      <c r="B195" s="2" t="inlineStr">
        <is>
          <t>Thứ sáu ngày 20-02-2026</t>
        </is>
      </c>
      <c r="C195" s="3" t="inlineStr">
        <is>
          <t>Chủ Nhật</t>
        </is>
      </c>
      <c r="D195" s="3" t="inlineStr">
        <is>
          <t>36481</t>
        </is>
      </c>
      <c r="E195" s="3" t="inlineStr">
        <is>
          <t>81</t>
        </is>
      </c>
      <c r="F195" s="3" t="inlineStr">
        <is>
          <t>G7.3, G7.1</t>
        </is>
      </c>
      <c r="G195" s="3" t="inlineStr">
        <is>
          <t>Tổng 1, Tổng 2, Tổng 6, Tổng 7</t>
        </is>
      </c>
      <c r="H195" s="3" t="inlineStr">
        <is>
          <t>02345789</t>
        </is>
      </c>
      <c r="I195" s="3" t="inlineStr">
        <is>
          <t>Tổng 2-Bóng 7</t>
        </is>
      </c>
      <c r="J195" s="3" t="n">
        <v>36</v>
      </c>
      <c r="K195" s="6" t="inlineStr">
        <is>
          <t>TRƯỢT ❌</t>
        </is>
      </c>
      <c r="L195" s="3" t="inlineStr">
        <is>
          <t>01, 07, 24, 33, 38, 47, 48, 51, 60, 70, 74, 75, 79, 84, 88, 89, 92, 93, 97, 98</t>
        </is>
      </c>
      <c r="M195" s="6" t="inlineStr">
        <is>
          <t>TRƯỢT ❌</t>
        </is>
      </c>
      <c r="N195" s="6" t="inlineStr">
        <is>
          <t>TRƯỢT KHUNG ❌</t>
        </is>
      </c>
      <c r="O195" s="3" t="inlineStr">
        <is>
          <t>01, 02, 06, 07, 10, 15, 20, 24, 25, 29, 33, 34, 38, 39, 42, 43, 47, 48, 51, 52, 56, 57, 60, 65, 70, 74, 75, 79, 83, 84, 88, 89, 92, 93, 97, 98</t>
        </is>
      </c>
    </row>
    <row r="196">
      <c r="A196" s="2" t="n">
        <v>45</v>
      </c>
      <c r="B196" s="2" t="inlineStr">
        <is>
          <t>Chủ nhật ngày 15-02-2026</t>
        </is>
      </c>
      <c r="C196" s="3" t="inlineStr">
        <is>
          <t>Thứ Bảy</t>
        </is>
      </c>
      <c r="D196" s="3" t="inlineStr">
        <is>
          <t>22601</t>
        </is>
      </c>
      <c r="E196" s="3" t="inlineStr">
        <is>
          <t>01</t>
        </is>
      </c>
      <c r="F196" s="3" t="inlineStr">
        <is>
          <t>G7.1, G7.2</t>
        </is>
      </c>
      <c r="G196" s="3" t="inlineStr">
        <is>
          <t>Tổng 2, Tổng 4, Tổng 7, Tổng 9</t>
        </is>
      </c>
      <c r="H196" s="3" t="inlineStr">
        <is>
          <t>01345689</t>
        </is>
      </c>
      <c r="I196" s="3" t="inlineStr">
        <is>
          <t>Tổng 7-Bóng 2</t>
        </is>
      </c>
      <c r="J196" s="3" t="n">
        <v>36</v>
      </c>
      <c r="K196" s="6" t="inlineStr">
        <is>
          <t>TRƯỢT ❌</t>
        </is>
      </c>
      <c r="L196" s="3" t="inlineStr">
        <is>
          <t>04, 07, 09, 13, 18, 31, 45, 48, 54, 61, 63, 68, 70, 75, 84, 86, 89, 90, 93, 98</t>
        </is>
      </c>
      <c r="M196" s="6" t="inlineStr">
        <is>
          <t>TRƯỢT ❌</t>
        </is>
      </c>
      <c r="N196" s="7" t="inlineStr">
        <is>
          <t>TRÚNG N2 🎯</t>
        </is>
      </c>
      <c r="O196" s="3" t="inlineStr">
        <is>
          <t>02, 04, 07, 09, 11, 13, 16, 18, 20, 25, 31, 34, 36, 39, 40, 43, 45, 48, 52, 54, 57, 59, 61, 63, 66, 68, 70, 75, 81, 84, 86, 89, 90, 93, 95, 98</t>
        </is>
      </c>
    </row>
    <row r="197">
      <c r="A197" s="2" t="n">
        <v>44</v>
      </c>
      <c r="B197" s="2" t="inlineStr">
        <is>
          <t>Thứ bảy ngày 14-02-2026</t>
        </is>
      </c>
      <c r="C197" s="3" t="inlineStr">
        <is>
          <t>Thứ Sáu</t>
        </is>
      </c>
      <c r="D197" s="3" t="inlineStr">
        <is>
          <t>90630</t>
        </is>
      </c>
      <c r="E197" s="3" t="inlineStr">
        <is>
          <t>30</t>
        </is>
      </c>
      <c r="F197" s="3" t="inlineStr">
        <is>
          <t>G7.3, G7.4</t>
        </is>
      </c>
      <c r="G197" s="3" t="inlineStr">
        <is>
          <t>Tổng 1, Tổng 3, Tổng 6, Tổng 8</t>
        </is>
      </c>
      <c r="H197" s="3" t="inlineStr">
        <is>
          <t>0123456789</t>
        </is>
      </c>
      <c r="I197" s="3" t="inlineStr">
        <is>
          <t>Tổng 8-Bóng 3</t>
        </is>
      </c>
      <c r="J197" s="3" t="n">
        <v>40</v>
      </c>
      <c r="K197" s="7" t="inlineStr">
        <is>
          <t>TRÚNG N1 🎯</t>
        </is>
      </c>
      <c r="L197" s="3" t="inlineStr">
        <is>
          <t>01, 17, 21, 24, 30, 33, 38, 47, 49, 51, 60, 62, 74, 80, 85, 88, 92, 94, 97, 99</t>
        </is>
      </c>
      <c r="M197" s="7" t="inlineStr">
        <is>
          <t>TRÚNG HỎA LỰC 🎯</t>
        </is>
      </c>
      <c r="N197" s="7" t="inlineStr">
        <is>
          <t>TRÚNG N1 🎯</t>
        </is>
      </c>
      <c r="O197" s="3" t="inlineStr">
        <is>
          <t>01, 03, 06, 08, 10, 12, 15, 17, 21, 24, 26, 29, 30, 33, 35, 38, 42, 44, 47, 49, 51, 53, 56, 58, 60, 62, 65, 67, 71, 74, 76, 79, 80, 83, 85, 88, 92, 94, 97, 99</t>
        </is>
      </c>
    </row>
    <row r="198">
      <c r="A198" s="2" t="n">
        <v>43</v>
      </c>
      <c r="B198" s="2" t="inlineStr">
        <is>
          <t>Thứ sáu ngày 13-02-2026</t>
        </is>
      </c>
      <c r="C198" s="3" t="inlineStr">
        <is>
          <t>Thứ Năm</t>
        </is>
      </c>
      <c r="D198" s="3" t="inlineStr">
        <is>
          <t>93177</t>
        </is>
      </c>
      <c r="E198" s="3" t="inlineStr">
        <is>
          <t>77</t>
        </is>
      </c>
      <c r="F198" s="3" t="inlineStr">
        <is>
          <t>G7.4, G7.1</t>
        </is>
      </c>
      <c r="G198" s="3" t="inlineStr">
        <is>
          <t>Tổng 1, Tổng 3, Tổng 4, Tổng 6, Tổng 8, Tổng 9</t>
        </is>
      </c>
      <c r="H198" s="3" t="inlineStr">
        <is>
          <t>013568</t>
        </is>
      </c>
      <c r="I198" s="3" t="inlineStr">
        <is>
          <t>Tổng 8-Bóng 3</t>
        </is>
      </c>
      <c r="J198" s="3" t="n">
        <v>44</v>
      </c>
      <c r="K198" s="6" t="inlineStr">
        <is>
          <t>TRƯỢT ❌</t>
        </is>
      </c>
      <c r="L198" s="3" t="inlineStr">
        <is>
          <t>01, 09, 13, 17, 21, 30, 33, 38, 45, 51, 54, 60, 62, 63, 68, 80, 85, 86, 88, 90</t>
        </is>
      </c>
      <c r="M198" s="6" t="inlineStr">
        <is>
          <t>TRƯỢT ❌</t>
        </is>
      </c>
      <c r="N198" s="7" t="inlineStr">
        <is>
          <t>TRÚNG N2 🎯</t>
        </is>
      </c>
      <c r="O198" s="3" t="inlineStr">
        <is>
          <t>01, 03, 04, 06, 08, 09, 10, 12, 13, 15, 17, 18, 21, 26, 30, 31, 33, 35, 36, 38, 40, 45, 51, 53, 54, 56, 58, 59, 60, 62, 63, 65, 67, 68, 71, 76, 80, 81, 83, 85, 86, 88, 90, 95</t>
        </is>
      </c>
    </row>
    <row r="199">
      <c r="A199" s="2" t="n">
        <v>42</v>
      </c>
      <c r="B199" s="2" t="inlineStr">
        <is>
          <t>Thứ năm ngày 12-02-2026</t>
        </is>
      </c>
      <c r="C199" s="3" t="inlineStr">
        <is>
          <t>Thứ Tư</t>
        </is>
      </c>
      <c r="D199" s="3" t="inlineStr">
        <is>
          <t>81475</t>
        </is>
      </c>
      <c r="E199" s="3" t="inlineStr">
        <is>
          <t>75</t>
        </is>
      </c>
      <c r="F199" s="3" t="inlineStr">
        <is>
          <t>G7.1, G7.2</t>
        </is>
      </c>
      <c r="G199" s="3" t="inlineStr">
        <is>
          <t>Tổng 1, Tổng 2, Tổng 6, Tổng 7</t>
        </is>
      </c>
      <c r="H199" s="3" t="inlineStr">
        <is>
          <t>234789</t>
        </is>
      </c>
      <c r="I199" s="3" t="inlineStr">
        <is>
          <t>Tổng 6-Bóng 1</t>
        </is>
      </c>
      <c r="J199" s="3" t="n">
        <v>28</v>
      </c>
      <c r="K199" s="7" t="inlineStr">
        <is>
          <t>TRÚNG N1 🎯</t>
        </is>
      </c>
      <c r="L199" s="3" t="inlineStr">
        <is>
          <t>07, 24, 29, 33, 38, 42, 47, 48, 52, 70, 74, 75, 79, 84, 88, 89, 92, 93, 97, 98</t>
        </is>
      </c>
      <c r="M199" s="7" t="inlineStr">
        <is>
          <t>TRÚNG HỎA LỰC 🎯</t>
        </is>
      </c>
      <c r="N199" s="7" t="inlineStr">
        <is>
          <t>TRÚNG N1 🎯</t>
        </is>
      </c>
      <c r="O199" s="3" t="inlineStr">
        <is>
          <t>02, 07, 20, 24, 25, 29, 33, 34, 38, 39, 42, 43, 47, 48, 52, 57, 70, 74, 75, 79, 83, 84, 88, 89, 92, 93, 97, 98</t>
        </is>
      </c>
    </row>
    <row r="200">
      <c r="A200" s="2" t="n">
        <v>41</v>
      </c>
      <c r="B200" s="2" t="inlineStr">
        <is>
          <t>Thứ tư ngày 11-02-2026</t>
        </is>
      </c>
      <c r="C200" s="3" t="inlineStr">
        <is>
          <t>Thứ Ba</t>
        </is>
      </c>
      <c r="D200" s="3" t="inlineStr">
        <is>
          <t>20692</t>
        </is>
      </c>
      <c r="E200" s="3" t="inlineStr">
        <is>
          <t>92</t>
        </is>
      </c>
      <c r="F200" s="3" t="inlineStr">
        <is>
          <t>G7.1, G7.4</t>
        </is>
      </c>
      <c r="G200" s="3" t="inlineStr">
        <is>
          <t>Tổng 1, Tổng 2, Tổng 4, Tổng 6, Tổng 7, Tổng 9</t>
        </is>
      </c>
      <c r="H200" s="3" t="inlineStr">
        <is>
          <t>014569</t>
        </is>
      </c>
      <c r="I200" s="3" t="inlineStr">
        <is>
          <t>Tổng 6-Bóng 1</t>
        </is>
      </c>
      <c r="J200" s="3" t="n">
        <v>52</v>
      </c>
      <c r="K200" s="7" t="inlineStr">
        <is>
          <t>TRÚNG N1 🎯</t>
        </is>
      </c>
      <c r="L200" s="3" t="inlineStr">
        <is>
          <t>01, 07, 09, 24, 45, 47, 48, 51, 54, 60, 61, 63, 68, 70, 74, 86, 89, 90, 93, 97</t>
        </is>
      </c>
      <c r="M200" s="6" t="inlineStr">
        <is>
          <t>TRƯỢT ❌</t>
        </is>
      </c>
      <c r="N200" s="7" t="inlineStr">
        <is>
          <t>TRÚNG N1 🎯</t>
        </is>
      </c>
      <c r="O200" s="3" t="inlineStr">
        <is>
          <t>01, 02, 04, 06, 07, 09, 10, 11, 13, 15, 16, 18, 20, 24, 25, 29, 31, 34, 36, 39, 40, 42, 43, 45, 47, 48, 51, 52, 54, 56, 57, 59, 60, 61, 63, 65, 66, 68, 70, 74, 75, 79, 81, 84, 86, 89, 90, 92, 93, 95, 97, 98</t>
        </is>
      </c>
    </row>
    <row r="201">
      <c r="A201" s="2" t="n">
        <v>40</v>
      </c>
      <c r="B201" s="2" t="inlineStr">
        <is>
          <t>Thứ ba ngày 10-02-2026</t>
        </is>
      </c>
      <c r="C201" s="3" t="inlineStr">
        <is>
          <t>Thứ Hai</t>
        </is>
      </c>
      <c r="D201" s="3" t="inlineStr">
        <is>
          <t>65390</t>
        </is>
      </c>
      <c r="E201" s="3" t="inlineStr">
        <is>
          <t>90</t>
        </is>
      </c>
      <c r="F201" s="3" t="inlineStr">
        <is>
          <t>G7.3, G7.1</t>
        </is>
      </c>
      <c r="G201" s="3" t="inlineStr">
        <is>
          <t>Tổng 0, Tổng 3, Tổng 5, Tổng 8</t>
        </is>
      </c>
      <c r="H201" s="3" t="inlineStr">
        <is>
          <t>01245679</t>
        </is>
      </c>
      <c r="I201" s="3" t="inlineStr">
        <is>
          <t>Tổng 8-Bóng 3</t>
        </is>
      </c>
      <c r="J201" s="3" t="n">
        <v>40</v>
      </c>
      <c r="K201" s="6" t="inlineStr">
        <is>
          <t>TRƯỢT ❌</t>
        </is>
      </c>
      <c r="L201" s="3" t="inlineStr">
        <is>
          <t>03, 05, 14, 17, 19, 21, 23, 28, 30, 41, 49, 50, 55, 62, 78, 80, 85, 94, 96, 99</t>
        </is>
      </c>
      <c r="M201" s="6" t="inlineStr">
        <is>
          <t>TRƯỢT ❌</t>
        </is>
      </c>
      <c r="N201" s="6" t="inlineStr">
        <is>
          <t>TRƯỢT KHUNG ❌</t>
        </is>
      </c>
      <c r="O201" s="3" t="inlineStr">
        <is>
          <t>00, 03, 05, 08, 12, 14, 17, 19, 21, 23, 26, 28, 30, 32, 35, 37, 41, 44, 46, 49, 50, 53, 55, 58, 62, 64, 67, 69, 71, 73, 76, 78, 80, 82, 85, 87, 91, 94, 96, 99</t>
        </is>
      </c>
    </row>
    <row r="202">
      <c r="A202" s="2" t="n">
        <v>39</v>
      </c>
      <c r="B202" s="2" t="inlineStr">
        <is>
          <t>Thứ hai ngày 09-02-2026</t>
        </is>
      </c>
      <c r="C202" s="3" t="inlineStr">
        <is>
          <t>Chủ Nhật</t>
        </is>
      </c>
      <c r="D202" s="3" t="inlineStr">
        <is>
          <t>05901</t>
        </is>
      </c>
      <c r="E202" s="3" t="inlineStr">
        <is>
          <t>01</t>
        </is>
      </c>
      <c r="F202" s="3" t="inlineStr">
        <is>
          <t>G7.3, G7.1</t>
        </is>
      </c>
      <c r="G202" s="3" t="inlineStr">
        <is>
          <t>Tổng 1, Tổng 2, Tổng 3, Tổng 6, Tổng 7, Tổng 8</t>
        </is>
      </c>
      <c r="H202" s="3" t="inlineStr">
        <is>
          <t>01345689</t>
        </is>
      </c>
      <c r="I202" s="3" t="inlineStr">
        <is>
          <t>Tổng 7-Bóng 2</t>
        </is>
      </c>
      <c r="J202" s="3" t="n">
        <v>60</v>
      </c>
      <c r="K202" s="7" t="inlineStr">
        <is>
          <t>TRÚNG N1 🎯</t>
        </is>
      </c>
      <c r="L202" s="3" t="inlineStr">
        <is>
          <t>07, 17, 21, 24, 30, 33, 38, 47, 48, 49, 51, 61, 62, 74, 80, 85, 89, 93, 94, 97</t>
        </is>
      </c>
      <c r="M202" s="6" t="inlineStr">
        <is>
          <t>TRƯỢT ❌</t>
        </is>
      </c>
      <c r="N202" s="7" t="inlineStr">
        <is>
          <t>TRÚNG N1 🎯</t>
        </is>
      </c>
      <c r="O202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203">
      <c r="A203" s="2" t="n">
        <v>38</v>
      </c>
      <c r="B203" s="2" t="inlineStr">
        <is>
          <t>Chủ nhật ngày 08-02-2026</t>
        </is>
      </c>
      <c r="C203" s="3" t="inlineStr">
        <is>
          <t>Thứ Bảy</t>
        </is>
      </c>
      <c r="D203" s="3" t="inlineStr">
        <is>
          <t>57977</t>
        </is>
      </c>
      <c r="E203" s="3" t="inlineStr">
        <is>
          <t>77</t>
        </is>
      </c>
      <c r="F203" s="3" t="inlineStr">
        <is>
          <t>G7.3, G7.4</t>
        </is>
      </c>
      <c r="G203" s="3" t="inlineStr">
        <is>
          <t>Tổng 2, Tổng 4, Tổng 7, Tổng 9</t>
        </is>
      </c>
      <c r="H203" s="3" t="inlineStr">
        <is>
          <t>12346789</t>
        </is>
      </c>
      <c r="I203" s="3" t="inlineStr">
        <is>
          <t>Tổng 2-Bóng 7</t>
        </is>
      </c>
      <c r="J203" s="3" t="n">
        <v>40</v>
      </c>
      <c r="K203" s="7" t="inlineStr">
        <is>
          <t>TRÚNG N1 🎯</t>
        </is>
      </c>
      <c r="L203" s="3" t="inlineStr">
        <is>
          <t>04, 07, 09, 13, 22, 27, 45, 48, 54, 61, 63, 68, 70, 72, 77, 84, 86, 89, 93, 98</t>
        </is>
      </c>
      <c r="M203" s="7" t="inlineStr">
        <is>
          <t>TRÚNG HỎA LỰC 🎯</t>
        </is>
      </c>
      <c r="N203" s="7" t="inlineStr">
        <is>
          <t>TRÚNG N1 🎯</t>
        </is>
      </c>
      <c r="O203" s="3" t="inlineStr">
        <is>
          <t>02, 04, 07, 09, 11, 13, 16, 18, 20, 22, 25, 27, 31, 34, 36, 39, 40, 43, 45, 48, 52, 54, 57, 59, 61, 63, 66, 68, 70, 72, 75, 77, 81, 84, 86, 89, 90, 93, 95, 98</t>
        </is>
      </c>
    </row>
    <row r="204">
      <c r="A204" s="2" t="n">
        <v>37</v>
      </c>
      <c r="B204" s="2" t="inlineStr">
        <is>
          <t>Thứ bảy ngày 07-02-2026</t>
        </is>
      </c>
      <c r="C204" s="3" t="inlineStr">
        <is>
          <t>Thứ Sáu</t>
        </is>
      </c>
      <c r="D204" s="3" t="inlineStr">
        <is>
          <t>38385</t>
        </is>
      </c>
      <c r="E204" s="3" t="inlineStr">
        <is>
          <t>85</t>
        </is>
      </c>
      <c r="F204" s="3" t="inlineStr">
        <is>
          <t>G7.4, G7.1</t>
        </is>
      </c>
      <c r="G204" s="3" t="inlineStr">
        <is>
          <t>Tổng 0, Tổng 5</t>
        </is>
      </c>
      <c r="H204" s="3" t="inlineStr">
        <is>
          <t>013568</t>
        </is>
      </c>
      <c r="I204" s="3" t="inlineStr">
        <is>
          <t>Tổng 0-Bóng 5</t>
        </is>
      </c>
      <c r="J204" s="3" t="n">
        <v>20</v>
      </c>
      <c r="K204" s="6" t="inlineStr">
        <is>
          <t>TRƯỢT ❌</t>
        </is>
      </c>
      <c r="L204" s="3" t="inlineStr">
        <is>
          <t>00, 05, 14, 19, 23, 28, 32, 37, 41, 46, 50, 55, 64, 69, 73, 78, 82, 87, 91, 96</t>
        </is>
      </c>
      <c r="M204" s="6" t="inlineStr">
        <is>
          <t>TRƯỢT ❌</t>
        </is>
      </c>
      <c r="N204" s="6" t="inlineStr">
        <is>
          <t>TRƯỢT KHUNG ❌</t>
        </is>
      </c>
      <c r="O204" s="3" t="inlineStr">
        <is>
          <t>00, 05, 14, 19, 23, 28, 32, 37, 41, 46, 50, 55, 64, 69, 73, 78, 82, 87, 91, 96</t>
        </is>
      </c>
    </row>
    <row r="205">
      <c r="A205" s="2" t="n">
        <v>36</v>
      </c>
      <c r="B205" s="2" t="inlineStr">
        <is>
          <t>Thứ sáu ngày 06-02-2026</t>
        </is>
      </c>
      <c r="C205" s="3" t="inlineStr">
        <is>
          <t>Thứ Năm</t>
        </is>
      </c>
      <c r="D205" s="3" t="inlineStr">
        <is>
          <t>06133</t>
        </is>
      </c>
      <c r="E205" s="3" t="inlineStr">
        <is>
          <t>33</t>
        </is>
      </c>
      <c r="F205" s="3" t="inlineStr">
        <is>
          <t>G7.1, G7.4</t>
        </is>
      </c>
      <c r="G205" s="3" t="inlineStr">
        <is>
          <t>Tổng 2, Tổng 3, Tổng 7, Tổng 8</t>
        </is>
      </c>
      <c r="H205" s="3" t="inlineStr">
        <is>
          <t>023578</t>
        </is>
      </c>
      <c r="I205" s="3" t="inlineStr">
        <is>
          <t>Tổng 2-Bóng 7</t>
        </is>
      </c>
      <c r="J205" s="3" t="n">
        <v>32</v>
      </c>
      <c r="K205" s="6" t="inlineStr">
        <is>
          <t>TRƯỢT ❌</t>
        </is>
      </c>
      <c r="L205" s="3" t="inlineStr">
        <is>
          <t>03, 07, 17, 21, 26, 30, 48, 52, 53, 57, 58, 62, 70, 71, 75, 80, 84, 89, 93, 98</t>
        </is>
      </c>
      <c r="M205" s="6" t="inlineStr">
        <is>
          <t>TRƯỢT ❌</t>
        </is>
      </c>
      <c r="N205" s="7" t="inlineStr">
        <is>
          <t>TRÚNG N2 🎯</t>
        </is>
      </c>
      <c r="O205" s="3" t="inlineStr">
        <is>
          <t>02, 03, 07, 08, 12, 17, 20, 21, 25, 26, 30, 34, 35, 39, 43, 48, 52, 53, 57, 58, 62, 67, 70, 71, 75, 76, 80, 84, 85, 89, 93, 98</t>
        </is>
      </c>
    </row>
    <row r="206">
      <c r="A206" s="2" t="n">
        <v>35</v>
      </c>
      <c r="B206" s="2" t="inlineStr">
        <is>
          <t>Thứ năm ngày 05-02-2026</t>
        </is>
      </c>
      <c r="C206" s="3" t="inlineStr">
        <is>
          <t>Thứ Tư</t>
        </is>
      </c>
      <c r="D206" s="3" t="inlineStr">
        <is>
          <t>10268</t>
        </is>
      </c>
      <c r="E206" s="3" t="inlineStr">
        <is>
          <t>68</t>
        </is>
      </c>
      <c r="F206" s="3" t="inlineStr">
        <is>
          <t>G7.1, G7.2</t>
        </is>
      </c>
      <c r="G206" s="3" t="inlineStr">
        <is>
          <t>Tổng 1, Tổng 4, Tổng 6, Tổng 9</t>
        </is>
      </c>
      <c r="H206" s="3" t="inlineStr">
        <is>
          <t>013568</t>
        </is>
      </c>
      <c r="I206" s="3" t="inlineStr">
        <is>
          <t>Tổng 4-Bóng 9</t>
        </is>
      </c>
      <c r="J206" s="3" t="n">
        <v>28</v>
      </c>
      <c r="K206" s="7" t="inlineStr">
        <is>
          <t>TRÚNG N1 🎯</t>
        </is>
      </c>
      <c r="L206" s="3" t="inlineStr">
        <is>
          <t>04, 06, 09, 10, 13, 18, 31, 33, 36, 38, 45, 51, 54, 60, 63, 68, 81, 86, 88, 90</t>
        </is>
      </c>
      <c r="M206" s="7" t="inlineStr">
        <is>
          <t>TRÚNG HỎA LỰC 🎯</t>
        </is>
      </c>
      <c r="N206" s="7" t="inlineStr">
        <is>
          <t>TRÚNG N1 🎯</t>
        </is>
      </c>
      <c r="O206" s="3" t="inlineStr">
        <is>
          <t>01, 04, 06, 09, 10, 13, 15, 18, 31, 33, 36, 38, 40, 45, 51, 54, 56, 59, 60, 63, 65, 68, 81, 83, 86, 88, 90, 95</t>
        </is>
      </c>
    </row>
    <row r="207">
      <c r="A207" s="2" t="n">
        <v>34</v>
      </c>
      <c r="B207" s="2" t="inlineStr">
        <is>
          <t>Thứ tư ngày 04-02-2026</t>
        </is>
      </c>
      <c r="C207" s="3" t="inlineStr">
        <is>
          <t>Thứ Ba</t>
        </is>
      </c>
      <c r="D207" s="3" t="inlineStr">
        <is>
          <t>06517</t>
        </is>
      </c>
      <c r="E207" s="3" t="inlineStr">
        <is>
          <t>17</t>
        </is>
      </c>
      <c r="F207" s="3" t="inlineStr">
        <is>
          <t>G7.1, G7.2</t>
        </is>
      </c>
      <c r="G207" s="3" t="inlineStr">
        <is>
          <t>Tổng 0, Tổng 2, Tổng 5, Tổng 7</t>
        </is>
      </c>
      <c r="H207" s="3" t="inlineStr">
        <is>
          <t>12346789</t>
        </is>
      </c>
      <c r="I207" s="3" t="inlineStr">
        <is>
          <t>Tổng 0-Bóng 5</t>
        </is>
      </c>
      <c r="J207" s="3" t="n">
        <v>36</v>
      </c>
      <c r="K207" s="6" t="inlineStr">
        <is>
          <t>TRƯỢT ❌</t>
        </is>
      </c>
      <c r="L207" s="3" t="inlineStr">
        <is>
          <t>07, 14, 19, 23, 28, 41, 46, 48, 52, 61, 69, 70, 75, 78, 82, 84, 89, 93, 96, 98</t>
        </is>
      </c>
      <c r="M207" s="6" t="inlineStr">
        <is>
          <t>TRƯỢT ❌</t>
        </is>
      </c>
      <c r="N207" s="6" t="inlineStr">
        <is>
          <t>TRƯỢT KHUNG ❌</t>
        </is>
      </c>
      <c r="O207" s="3" t="inlineStr">
        <is>
          <t>02, 07, 11, 14, 16, 19, 20, 23, 25, 28, 32, 34, 37, 39, 41, 43, 46, 48, 52, 57, 61, 64, 66, 69, 70, 73, 75, 78, 82, 84, 87, 89, 91, 93, 96, 98</t>
        </is>
      </c>
    </row>
    <row r="208">
      <c r="A208" s="2" t="n">
        <v>33</v>
      </c>
      <c r="B208" s="2" t="inlineStr">
        <is>
          <t>Thứ ba ngày 03-02-2026</t>
        </is>
      </c>
      <c r="C208" s="3" t="inlineStr">
        <is>
          <t>Thứ Hai</t>
        </is>
      </c>
      <c r="D208" s="3" t="inlineStr">
        <is>
          <t>97648</t>
        </is>
      </c>
      <c r="E208" s="3" t="inlineStr">
        <is>
          <t>48</t>
        </is>
      </c>
      <c r="F208" s="3" t="inlineStr">
        <is>
          <t>G7.1, G7.2</t>
        </is>
      </c>
      <c r="G208" s="3" t="inlineStr">
        <is>
          <t>Tổng 0, Tổng 2, Tổng 3, Tổng 5, Tổng 7, Tổng 8</t>
        </is>
      </c>
      <c r="H208" s="3" t="inlineStr">
        <is>
          <t>0123456789</t>
        </is>
      </c>
      <c r="I208" s="3" t="inlineStr">
        <is>
          <t>Tổng 8-Bóng 3</t>
        </is>
      </c>
      <c r="J208" s="3" t="n">
        <v>60</v>
      </c>
      <c r="K208" s="7" t="inlineStr">
        <is>
          <t>TRÚNG N1 🎯</t>
        </is>
      </c>
      <c r="L208" s="3" t="inlineStr">
        <is>
          <t>05, 07, 14, 17, 21, 23, 28, 30, 48, 49, 55, 61, 62, 70, 78, 80, 89, 93, 94, 96</t>
        </is>
      </c>
      <c r="M208" s="7" t="inlineStr">
        <is>
          <t>TRÚNG HỎA LỰC 🎯</t>
        </is>
      </c>
      <c r="N208" s="7" t="inlineStr">
        <is>
          <t>TRÚNG N1 🎯</t>
        </is>
      </c>
      <c r="O208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209">
      <c r="A209" s="2" t="n">
        <v>32</v>
      </c>
      <c r="B209" s="2" t="inlineStr">
        <is>
          <t>Thứ hai ngày 02-02-2026</t>
        </is>
      </c>
      <c r="C209" s="3" t="inlineStr">
        <is>
          <t>Chủ Nhật</t>
        </is>
      </c>
      <c r="D209" s="3" t="inlineStr">
        <is>
          <t>73461</t>
        </is>
      </c>
      <c r="E209" s="3" t="inlineStr">
        <is>
          <t>61</t>
        </is>
      </c>
      <c r="F209" s="3" t="inlineStr">
        <is>
          <t>G7.3, G7.1</t>
        </is>
      </c>
      <c r="G209" s="3" t="inlineStr">
        <is>
          <t>Tổng 0, Tổng 1, Tổng 3, Tổng 5, Tổng 6, Tổng 8</t>
        </is>
      </c>
      <c r="H209" s="3" t="inlineStr">
        <is>
          <t>02345789</t>
        </is>
      </c>
      <c r="I209" s="3" t="inlineStr">
        <is>
          <t>Tổng 0-Bóng 5</t>
        </is>
      </c>
      <c r="J209" s="3" t="n">
        <v>60</v>
      </c>
      <c r="K209" s="6" t="inlineStr">
        <is>
          <t>TRƯỢT ❌</t>
        </is>
      </c>
      <c r="L209" s="3" t="inlineStr">
        <is>
          <t>05, 14, 17, 21, 23, 24, 28, 30, 38, 47, 49, 51, 62, 74, 78, 80, 88, 94, 96, 97</t>
        </is>
      </c>
      <c r="M209" s="6" t="inlineStr">
        <is>
          <t>TRƯỢT ❌</t>
        </is>
      </c>
      <c r="N209" s="7" t="inlineStr">
        <is>
          <t>TRÚNG N3 🎯</t>
        </is>
      </c>
      <c r="O209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210">
      <c r="A210" s="2" t="n">
        <v>31</v>
      </c>
      <c r="B210" s="2" t="inlineStr">
        <is>
          <t>Chủ nhật ngày 01-02-2026</t>
        </is>
      </c>
      <c r="C210" s="3" t="inlineStr">
        <is>
          <t>Thứ Bảy</t>
        </is>
      </c>
      <c r="D210" s="3" t="inlineStr">
        <is>
          <t>01377</t>
        </is>
      </c>
      <c r="E210" s="3" t="inlineStr">
        <is>
          <t>77</t>
        </is>
      </c>
      <c r="F210" s="3" t="inlineStr">
        <is>
          <t>G7.4, G7.1</t>
        </is>
      </c>
      <c r="G210" s="3" t="inlineStr">
        <is>
          <t>Tổng 1, Tổng 4, Tổng 6, Tổng 9</t>
        </is>
      </c>
      <c r="H210" s="3" t="inlineStr">
        <is>
          <t>01245679</t>
        </is>
      </c>
      <c r="I210" s="3" t="inlineStr">
        <is>
          <t>Tổng 4-Bóng 9</t>
        </is>
      </c>
      <c r="J210" s="3" t="n">
        <v>36</v>
      </c>
      <c r="K210" s="7" t="inlineStr">
        <is>
          <t>TRÚNG N1 🎯</t>
        </is>
      </c>
      <c r="L210" s="3" t="inlineStr">
        <is>
          <t>04, 09, 13, 18, 22, 24, 27, 31, 45, 47, 51, 54, 60, 63, 68, 72, 74, 79, 86, 97</t>
        </is>
      </c>
      <c r="M210" s="6" t="inlineStr">
        <is>
          <t>TRƯỢT ❌</t>
        </is>
      </c>
      <c r="N210" s="7" t="inlineStr">
        <is>
          <t>TRÚNG N1 🎯</t>
        </is>
      </c>
      <c r="O210" s="3" t="inlineStr">
        <is>
          <t>01, 04, 06, 09, 10, 13, 15, 18, 22, 24, 27, 29, 31, 36, 40, 42, 45, 47, 51, 54, 56, 59, 60, 63, 65, 68, 72, 74, 77, 79, 81, 86, 90, 92, 95, 97</t>
        </is>
      </c>
    </row>
    <row r="211">
      <c r="A211" s="2" t="n">
        <v>30</v>
      </c>
      <c r="B211" s="2" t="inlineStr">
        <is>
          <t>Thứ bảy ngày 31-01-2026</t>
        </is>
      </c>
      <c r="C211" s="3" t="inlineStr">
        <is>
          <t>Thứ Sáu</t>
        </is>
      </c>
      <c r="D211" s="3" t="inlineStr">
        <is>
          <t>42754</t>
        </is>
      </c>
      <c r="E211" s="3" t="inlineStr">
        <is>
          <t>54</t>
        </is>
      </c>
      <c r="F211" s="3" t="inlineStr">
        <is>
          <t>G7.4, G7.1</t>
        </is>
      </c>
      <c r="G211" s="3" t="inlineStr">
        <is>
          <t>Tổng 1, Tổng 3, Tổng 4, Tổng 6, Tổng 8, Tổng 9</t>
        </is>
      </c>
      <c r="H211" s="3" t="inlineStr">
        <is>
          <t>01235678</t>
        </is>
      </c>
      <c r="I211" s="3" t="inlineStr">
        <is>
          <t>Tổng 1-Bóng 6</t>
        </is>
      </c>
      <c r="J211" s="3" t="n">
        <v>56</v>
      </c>
      <c r="K211" s="7" t="inlineStr">
        <is>
          <t>TRÚNG N1 🎯</t>
        </is>
      </c>
      <c r="L211" s="3" t="inlineStr">
        <is>
          <t>09, 17, 21, 22, 24, 27, 30, 38, 45, 47, 51, 60, 62, 63, 68, 74, 80, 86, 88, 97</t>
        </is>
      </c>
      <c r="M211" s="6" t="inlineStr">
        <is>
          <t>TRƯỢT ❌</t>
        </is>
      </c>
      <c r="N211" s="7" t="inlineStr">
        <is>
          <t>TRÚNG N1 🎯</t>
        </is>
      </c>
      <c r="O211" s="3" t="inlineStr">
        <is>
          <t>01, 03, 04, 06, 08, 09, 10, 12, 13, 15, 17, 18, 21, 22, 24, 26, 27, 29, 30, 31, 33, 35, 36, 38, 40, 42, 45, 47, 51, 53, 54, 56, 58, 59, 60, 62, 63, 65, 67, 68, 71, 72, 74, 76, 77, 79, 80, 81, 83, 85, 86, 88, 90, 92, 95, 97</t>
        </is>
      </c>
    </row>
    <row r="212">
      <c r="A212" s="2" t="n">
        <v>29</v>
      </c>
      <c r="B212" s="2" t="inlineStr">
        <is>
          <t>Thứ sáu ngày 30-01-2026</t>
        </is>
      </c>
      <c r="C212" s="3" t="inlineStr">
        <is>
          <t>Thứ Năm</t>
        </is>
      </c>
      <c r="D212" s="3" t="inlineStr">
        <is>
          <t>32845</t>
        </is>
      </c>
      <c r="E212" s="3" t="inlineStr">
        <is>
          <t>45</t>
        </is>
      </c>
      <c r="F212" s="3" t="inlineStr">
        <is>
          <t>G7.4, G7.1</t>
        </is>
      </c>
      <c r="G212" s="3" t="inlineStr">
        <is>
          <t>Tổng 0, Tổng 4, Tổng 5, Tổng 9</t>
        </is>
      </c>
      <c r="H212" s="3" t="inlineStr">
        <is>
          <t>01235678</t>
        </is>
      </c>
      <c r="I212" s="3" t="inlineStr">
        <is>
          <t>Tổng 0-Bóng 5</t>
        </is>
      </c>
      <c r="J212" s="3" t="n">
        <v>40</v>
      </c>
      <c r="K212" s="7" t="inlineStr">
        <is>
          <t>TRÚNG N1 🎯</t>
        </is>
      </c>
      <c r="L212" s="3" t="inlineStr">
        <is>
          <t>04, 05, 09, 13, 14, 19, 22, 23, 27, 28, 41, 45, 50, 55, 63, 68, 72, 78, 86, 96</t>
        </is>
      </c>
      <c r="M212" s="7" t="inlineStr">
        <is>
          <t>TRÚNG HỎA LỰC 🎯</t>
        </is>
      </c>
      <c r="N212" s="7" t="inlineStr">
        <is>
          <t>TRÚNG N1 🎯</t>
        </is>
      </c>
      <c r="O212" s="3" t="inlineStr">
        <is>
          <t>00, 04, 05, 09, 13, 14, 18, 19, 22, 23, 27, 28, 31, 32, 36, 37, 40, 41, 45, 46, 50, 54, 55, 59, 63, 64, 68, 69, 72, 73, 77, 78, 81, 82, 86, 87, 90, 91, 95, 96</t>
        </is>
      </c>
    </row>
    <row r="213">
      <c r="A213" s="2" t="n">
        <v>28</v>
      </c>
      <c r="B213" s="2" t="inlineStr">
        <is>
          <t>Thứ năm ngày 29-01-2026</t>
        </is>
      </c>
      <c r="C213" s="3" t="inlineStr">
        <is>
          <t>Thứ Tư</t>
        </is>
      </c>
      <c r="D213" s="3" t="inlineStr">
        <is>
          <t>38814</t>
        </is>
      </c>
      <c r="E213" s="3" t="inlineStr">
        <is>
          <t>14</t>
        </is>
      </c>
      <c r="F213" s="3" t="inlineStr">
        <is>
          <t>G7.2, G7.4</t>
        </is>
      </c>
      <c r="G213" s="3" t="inlineStr">
        <is>
          <t>Tổng 1, Tổng 4, Tổng 6, Tổng 9</t>
        </is>
      </c>
      <c r="H213" s="3" t="inlineStr">
        <is>
          <t>124679</t>
        </is>
      </c>
      <c r="I213" s="3" t="inlineStr">
        <is>
          <t>Tổng 4-Bóng 9</t>
        </is>
      </c>
      <c r="J213" s="3" t="n">
        <v>36</v>
      </c>
      <c r="K213" s="6" t="inlineStr">
        <is>
          <t>TRƯỢT ❌</t>
        </is>
      </c>
      <c r="L213" s="3" t="inlineStr">
        <is>
          <t>04, 09, 13, 18, 22, 24, 27, 31, 36, 45, 47, 51, 60, 63, 68, 72, 74, 79, 86, 97</t>
        </is>
      </c>
      <c r="M213" s="6" t="inlineStr">
        <is>
          <t>TRƯỢT ❌</t>
        </is>
      </c>
      <c r="N213" s="7" t="inlineStr">
        <is>
          <t>TRÚNG N2 🎯</t>
        </is>
      </c>
      <c r="O213" s="3" t="inlineStr">
        <is>
          <t>01, 04, 06, 09, 10, 13, 15, 18, 22, 24, 27, 29, 31, 36, 40, 42, 45, 47, 51, 54, 56, 59, 60, 63, 65, 68, 72, 74, 77, 79, 81, 86, 90, 92, 95, 97</t>
        </is>
      </c>
    </row>
    <row r="214">
      <c r="A214" s="2" t="n">
        <v>27</v>
      </c>
      <c r="B214" s="2" t="inlineStr">
        <is>
          <t>Thứ tư ngày 28-01-2026</t>
        </is>
      </c>
      <c r="C214" s="3" t="inlineStr">
        <is>
          <t>Thứ Ba</t>
        </is>
      </c>
      <c r="D214" s="3" t="inlineStr">
        <is>
          <t>24121</t>
        </is>
      </c>
      <c r="E214" s="3" t="inlineStr">
        <is>
          <t>21</t>
        </is>
      </c>
      <c r="F214" s="3" t="inlineStr">
        <is>
          <t>G7.1, G7.2</t>
        </is>
      </c>
      <c r="G214" s="3" t="inlineStr">
        <is>
          <t>Tổng 2, Tổng 3, Tổng 4, Tổng 7, Tổng 8, Tổng 9</t>
        </is>
      </c>
      <c r="H214" s="3" t="inlineStr">
        <is>
          <t>012567</t>
        </is>
      </c>
      <c r="I214" s="3" t="inlineStr">
        <is>
          <t>Tổng 3-Bóng 8</t>
        </is>
      </c>
      <c r="J214" s="3" t="n">
        <v>48</v>
      </c>
      <c r="K214" s="7" t="inlineStr">
        <is>
          <t>TRÚNG N1 🎯</t>
        </is>
      </c>
      <c r="L214" s="3" t="inlineStr">
        <is>
          <t>03, 04, 07, 09, 13, 17, 18, 22, 27, 30, 45, 61, 62, 63, 68, 70, 72, 75, 80, 86</t>
        </is>
      </c>
      <c r="M214" s="6" t="inlineStr">
        <is>
          <t>TRƯỢT ❌</t>
        </is>
      </c>
      <c r="N214" s="7" t="inlineStr">
        <is>
          <t>TRÚNG N1 🎯</t>
        </is>
      </c>
      <c r="O214" s="3" t="inlineStr">
        <is>
          <t>02, 03, 04, 07, 08, 09, 11, 12, 13, 16, 17, 18, 20, 21, 22, 25, 26, 27, 30, 31, 35, 36, 40, 45, 52, 53, 54, 57, 58, 59, 61, 62, 63, 66, 67, 68, 70, 71, 72, 75, 76, 77, 80, 81, 85, 86, 90, 95</t>
        </is>
      </c>
    </row>
    <row r="215">
      <c r="A215" s="2" t="n">
        <v>26</v>
      </c>
      <c r="B215" s="2" t="inlineStr">
        <is>
          <t>Thứ ba ngày 27-01-2026</t>
        </is>
      </c>
      <c r="C215" s="3" t="inlineStr">
        <is>
          <t>Thứ Hai</t>
        </is>
      </c>
      <c r="D215" s="3" t="inlineStr">
        <is>
          <t>39380</t>
        </is>
      </c>
      <c r="E215" s="3" t="inlineStr">
        <is>
          <t>80</t>
        </is>
      </c>
      <c r="F215" s="3" t="inlineStr">
        <is>
          <t>G7.1, G7.2</t>
        </is>
      </c>
      <c r="G215" s="3" t="inlineStr">
        <is>
          <t>Tổng 1, Tổng 3, Tổng 6, Tổng 8</t>
        </is>
      </c>
      <c r="H215" s="3" t="inlineStr">
        <is>
          <t>01235678</t>
        </is>
      </c>
      <c r="I215" s="3" t="inlineStr">
        <is>
          <t>Tổng 1-Bóng 6</t>
        </is>
      </c>
      <c r="J215" s="3" t="n">
        <v>36</v>
      </c>
      <c r="K215" s="7" t="inlineStr">
        <is>
          <t>TRÚNG N1 🎯</t>
        </is>
      </c>
      <c r="L215" s="3" t="inlineStr">
        <is>
          <t>03, 17, 21, 24, 26, 29, 30, 33, 38, 42, 47, 51, 60, 62, 71, 74, 79, 80, 88, 97</t>
        </is>
      </c>
      <c r="M215" s="7" t="inlineStr">
        <is>
          <t>TRÚNG HỎA LỰC 🎯</t>
        </is>
      </c>
      <c r="N215" s="7" t="inlineStr">
        <is>
          <t>TRÚNG N1 🎯</t>
        </is>
      </c>
      <c r="O215" s="3" t="inlineStr">
        <is>
          <t>01, 03, 06, 08, 10, 12, 15, 17, 21, 24, 26, 29, 30, 33, 35, 38, 42, 47, 51, 53, 56, 58, 60, 62, 65, 67, 71, 74, 76, 79, 80, 83, 85, 88, 92, 97</t>
        </is>
      </c>
    </row>
    <row r="216">
      <c r="A216" s="2" t="n">
        <v>25</v>
      </c>
      <c r="B216" s="2" t="inlineStr">
        <is>
          <t>Thứ hai ngày 26-01-2026</t>
        </is>
      </c>
      <c r="C216" s="3" t="inlineStr">
        <is>
          <t>Chủ Nhật</t>
        </is>
      </c>
      <c r="D216" s="3" t="inlineStr">
        <is>
          <t>00974</t>
        </is>
      </c>
      <c r="E216" s="3" t="inlineStr">
        <is>
          <t>74</t>
        </is>
      </c>
      <c r="F216" s="3" t="inlineStr">
        <is>
          <t>G7.1, G7.3</t>
        </is>
      </c>
      <c r="G216" s="3" t="inlineStr">
        <is>
          <t>Tổng 1, Tổng 4, Tổng 6, Tổng 9</t>
        </is>
      </c>
      <c r="H216" s="3" t="inlineStr">
        <is>
          <t>12346789</t>
        </is>
      </c>
      <c r="I216" s="3" t="inlineStr">
        <is>
          <t>Tổng 6-Bóng 1</t>
        </is>
      </c>
      <c r="J216" s="3" t="n">
        <v>40</v>
      </c>
      <c r="K216" s="7" t="inlineStr">
        <is>
          <t>TRÚNG N1 🎯</t>
        </is>
      </c>
      <c r="L216" s="3" t="inlineStr">
        <is>
          <t>04, 09, 13, 18, 22, 24, 27, 31, 38, 45, 47, 51, 60, 63, 68, 72, 74, 86, 88, 97</t>
        </is>
      </c>
      <c r="M216" s="7" t="inlineStr">
        <is>
          <t>TRÚNG HỎA LỰC 🎯</t>
        </is>
      </c>
      <c r="N216" s="7" t="inlineStr">
        <is>
          <t>TRÚNG N1 🎯</t>
        </is>
      </c>
      <c r="O216" s="3" t="inlineStr">
        <is>
          <t>01, 04, 06, 09, 10, 13, 15, 18, 22, 24, 27, 29, 31, 33, 36, 38, 40, 42, 45, 47, 51, 54, 56, 59, 60, 63, 65, 68, 72, 74, 77, 79, 81, 83, 86, 88, 90, 92, 95, 97</t>
        </is>
      </c>
    </row>
    <row r="217">
      <c r="A217" s="2" t="n">
        <v>24</v>
      </c>
      <c r="B217" s="2" t="inlineStr">
        <is>
          <t>Chủ nhật ngày 25-01-2026</t>
        </is>
      </c>
      <c r="C217" s="3" t="inlineStr">
        <is>
          <t>Thứ Bảy</t>
        </is>
      </c>
      <c r="D217" s="3" t="inlineStr">
        <is>
          <t>08230</t>
        </is>
      </c>
      <c r="E217" s="3" t="inlineStr">
        <is>
          <t>30</t>
        </is>
      </c>
      <c r="F217" s="3" t="inlineStr">
        <is>
          <t>G7.4, G7.1</t>
        </is>
      </c>
      <c r="G217" s="3" t="inlineStr">
        <is>
          <t>Tổng 1, Tổng 2, Tổng 6, Tổng 7</t>
        </is>
      </c>
      <c r="H217" s="3" t="inlineStr">
        <is>
          <t>01345689</t>
        </is>
      </c>
      <c r="I217" s="3" t="inlineStr">
        <is>
          <t>Tổng 1-Bóng 6</t>
        </is>
      </c>
      <c r="J217" s="3" t="n">
        <v>40</v>
      </c>
      <c r="K217" s="6" t="inlineStr">
        <is>
          <t>TRƯỢT ❌</t>
        </is>
      </c>
      <c r="L217" s="3" t="inlineStr">
        <is>
          <t>07, 24, 29, 38, 47, 48, 51, 52, 60, 61, 70, 74, 75, 79, 84, 88, 89, 93, 97, 98</t>
        </is>
      </c>
      <c r="M217" s="6" t="inlineStr">
        <is>
          <t>TRƯỢT ❌</t>
        </is>
      </c>
      <c r="N217" s="7" t="inlineStr">
        <is>
          <t>TRÚNG N2 🎯</t>
        </is>
      </c>
      <c r="O217" s="3" t="inlineStr">
        <is>
          <t>01, 02, 06, 07, 10, 11, 15, 16, 20, 24, 25, 29, 33, 34, 38, 39, 42, 43, 47, 48, 51, 52, 56, 57, 60, 61, 65, 66, 70, 74, 75, 79, 83, 84, 88, 89, 92, 93, 97, 98</t>
        </is>
      </c>
    </row>
    <row r="218">
      <c r="A218" s="2" t="n">
        <v>23</v>
      </c>
      <c r="B218" s="2" t="inlineStr">
        <is>
          <t>Thứ bảy ngày 24-01-2026</t>
        </is>
      </c>
      <c r="C218" s="3" t="inlineStr">
        <is>
          <t>Thứ Sáu</t>
        </is>
      </c>
      <c r="D218" s="3" t="inlineStr">
        <is>
          <t>52062</t>
        </is>
      </c>
      <c r="E218" s="3" t="inlineStr">
        <is>
          <t>62</t>
        </is>
      </c>
      <c r="F218" s="3" t="inlineStr">
        <is>
          <t>G7.4, G7.2</t>
        </is>
      </c>
      <c r="G218" s="3" t="inlineStr">
        <is>
          <t>Tổng 0, Tổng 1, Tổng 2, Tổng 5, Tổng 6, Tổng 7</t>
        </is>
      </c>
      <c r="H218" s="3" t="inlineStr">
        <is>
          <t>0123456789</t>
        </is>
      </c>
      <c r="I218" s="3" t="inlineStr">
        <is>
          <t>Tổng 7-Bóng 2</t>
        </is>
      </c>
      <c r="J218" s="3" t="n">
        <v>60</v>
      </c>
      <c r="K218" s="6" t="inlineStr">
        <is>
          <t>TRƯỢT ❌</t>
        </is>
      </c>
      <c r="L218" s="3" t="inlineStr">
        <is>
          <t>05, 07, 19, 23, 24, 28, 38, 47, 48, 51, 55, 60, 61, 70, 78, 88, 89, 93, 96, 97</t>
        </is>
      </c>
      <c r="M218" s="6" t="inlineStr">
        <is>
          <t>TRƯỢT ❌</t>
        </is>
      </c>
      <c r="N218" s="7" t="inlineStr">
        <is>
          <t>TRÚNG N3 🎯</t>
        </is>
      </c>
      <c r="O218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219">
      <c r="A219" s="2" t="n">
        <v>22</v>
      </c>
      <c r="B219" s="2" t="inlineStr">
        <is>
          <t>Thứ sáu ngày 23-01-2026</t>
        </is>
      </c>
      <c r="C219" s="3" t="inlineStr">
        <is>
          <t>Thứ Năm</t>
        </is>
      </c>
      <c r="D219" s="3" t="inlineStr">
        <is>
          <t>57022</t>
        </is>
      </c>
      <c r="E219" s="3" t="inlineStr">
        <is>
          <t>22</t>
        </is>
      </c>
      <c r="F219" s="3" t="inlineStr">
        <is>
          <t>G7.4, G7.1</t>
        </is>
      </c>
      <c r="G219" s="3" t="inlineStr">
        <is>
          <t>Tổng 2, Tổng 3, Tổng 7, Tổng 8</t>
        </is>
      </c>
      <c r="H219" s="3" t="inlineStr">
        <is>
          <t>01345689</t>
        </is>
      </c>
      <c r="I219" s="3" t="inlineStr">
        <is>
          <t>Tổng 8-Bóng 3</t>
        </is>
      </c>
      <c r="J219" s="3" t="n">
        <v>40</v>
      </c>
      <c r="K219" s="6" t="inlineStr">
        <is>
          <t>TRƯỢT ❌</t>
        </is>
      </c>
      <c r="L219" s="3" t="inlineStr">
        <is>
          <t>03, 07, 17, 26, 30, 48, 49, 52, 61, 62, 70, 71, 75, 80, 84, 89, 93, 94, 98, 99</t>
        </is>
      </c>
      <c r="M219" s="6" t="inlineStr">
        <is>
          <t>TRƯỢT ❌</t>
        </is>
      </c>
      <c r="N219" s="7" t="inlineStr">
        <is>
          <t>TRÚNG N2 🎯</t>
        </is>
      </c>
      <c r="O219" s="3" t="inlineStr">
        <is>
          <t>02, 03, 07, 08, 11, 12, 16, 17, 20, 21, 25, 26, 30, 34, 35, 39, 43, 44, 48, 49, 52, 53, 57, 58, 61, 62, 66, 67, 70, 71, 75, 76, 80, 84, 85, 89, 93, 94, 98, 99</t>
        </is>
      </c>
    </row>
    <row r="220">
      <c r="A220" s="2" t="n">
        <v>21</v>
      </c>
      <c r="B220" s="2" t="inlineStr">
        <is>
          <t>Thứ năm ngày 22-01-2026</t>
        </is>
      </c>
      <c r="C220" s="3" t="inlineStr">
        <is>
          <t>Thứ Tư</t>
        </is>
      </c>
      <c r="D220" s="3" t="inlineStr">
        <is>
          <t>84063</t>
        </is>
      </c>
      <c r="E220" s="3" t="inlineStr">
        <is>
          <t>63</t>
        </is>
      </c>
      <c r="F220" s="3" t="inlineStr">
        <is>
          <t>G7.1, G7.2</t>
        </is>
      </c>
      <c r="G220" s="3" t="inlineStr">
        <is>
          <t>Tổng 0, Tổng 1, Tổng 3, Tổng 5, Tổng 6, Tổng 8</t>
        </is>
      </c>
      <c r="H220" s="3" t="inlineStr">
        <is>
          <t>0123456789</t>
        </is>
      </c>
      <c r="I220" s="3" t="inlineStr">
        <is>
          <t>Tổng 5-Bóng 0</t>
        </is>
      </c>
      <c r="J220" s="3" t="n">
        <v>60</v>
      </c>
      <c r="K220" s="6" t="inlineStr">
        <is>
          <t>TRƯỢT ❌</t>
        </is>
      </c>
      <c r="L220" s="3" t="inlineStr">
        <is>
          <t>05, 17, 19, 23, 24, 28, 38, 41, 47, 49, 51, 55, 60, 62, 74, 78, 88, 94, 96, 97</t>
        </is>
      </c>
      <c r="M220" s="6" t="inlineStr">
        <is>
          <t>TRƯỢT ❌</t>
        </is>
      </c>
      <c r="N220" s="7" t="inlineStr">
        <is>
          <t>TRÚNG N3 🎯</t>
        </is>
      </c>
      <c r="O220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221">
      <c r="A221" s="2" t="n">
        <v>20</v>
      </c>
      <c r="B221" s="2" t="inlineStr">
        <is>
          <t>Thứ tư ngày 21-01-2026</t>
        </is>
      </c>
      <c r="C221" s="3" t="inlineStr">
        <is>
          <t>Thứ Ba</t>
        </is>
      </c>
      <c r="D221" s="3" t="inlineStr">
        <is>
          <t>06186</t>
        </is>
      </c>
      <c r="E221" s="3" t="inlineStr">
        <is>
          <t>86</t>
        </is>
      </c>
      <c r="F221" s="3" t="inlineStr">
        <is>
          <t>G7.1, G7.2</t>
        </is>
      </c>
      <c r="G221" s="3" t="inlineStr">
        <is>
          <t>Tổng 2, Tổng 3, Tổng 4, Tổng 7, Tổng 8, Tổng 9</t>
        </is>
      </c>
      <c r="H221" s="3" t="inlineStr">
        <is>
          <t>0123456789</t>
        </is>
      </c>
      <c r="I221" s="3" t="inlineStr">
        <is>
          <t>Tổng 7-Bóng 2</t>
        </is>
      </c>
      <c r="J221" s="3" t="n">
        <v>60</v>
      </c>
      <c r="K221" s="7" t="inlineStr">
        <is>
          <t>TRÚNG N1 🎯</t>
        </is>
      </c>
      <c r="L221" s="3" t="inlineStr">
        <is>
          <t>04, 07, 09, 13, 17, 22, 27, 45, 48, 49, 61, 62, 68, 70, 72, 86, 89, 93, 94, 98</t>
        </is>
      </c>
      <c r="M221" s="7" t="inlineStr">
        <is>
          <t>TRÚNG HỎA LỰC 🎯</t>
        </is>
      </c>
      <c r="N221" s="7" t="inlineStr">
        <is>
          <t>TRÚNG N1 🎯</t>
        </is>
      </c>
      <c r="O221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222">
      <c r="A222" s="2" t="n">
        <v>19</v>
      </c>
      <c r="B222" s="2" t="inlineStr">
        <is>
          <t>Thứ ba ngày 20-01-2026</t>
        </is>
      </c>
      <c r="C222" s="3" t="inlineStr">
        <is>
          <t>Thứ Hai</t>
        </is>
      </c>
      <c r="D222" s="3" t="inlineStr">
        <is>
          <t>56878</t>
        </is>
      </c>
      <c r="E222" s="3" t="inlineStr">
        <is>
          <t>78</t>
        </is>
      </c>
      <c r="F222" s="3" t="inlineStr">
        <is>
          <t>G7.1, G7.2</t>
        </is>
      </c>
      <c r="G222" s="3" t="inlineStr">
        <is>
          <t>Tổng 0, Tổng 1, Tổng 5, Tổng 6</t>
        </is>
      </c>
      <c r="H222" s="3" t="inlineStr">
        <is>
          <t>02345789</t>
        </is>
      </c>
      <c r="I222" s="3" t="inlineStr">
        <is>
          <t>Tổng 5-Bóng 0</t>
        </is>
      </c>
      <c r="J222" s="3" t="n">
        <v>40</v>
      </c>
      <c r="K222" s="7" t="inlineStr">
        <is>
          <t>TRÚNG N1 🎯</t>
        </is>
      </c>
      <c r="L222" s="3" t="inlineStr">
        <is>
          <t>05, 19, 23, 24, 28, 29, 38, 41, 42, 46, 47, 50, 51, 55, 60, 74, 79, 88, 96, 97</t>
        </is>
      </c>
      <c r="M222" s="6" t="inlineStr">
        <is>
          <t>TRƯỢT ❌</t>
        </is>
      </c>
      <c r="N222" s="7" t="inlineStr">
        <is>
          <t>TRÚNG N1 🎯</t>
        </is>
      </c>
      <c r="O222" s="3" t="inlineStr">
        <is>
          <t>00, 01, 05, 06, 10, 14, 15, 19, 23, 24, 28, 29, 32, 33, 37, 38, 41, 42, 46, 47, 50, 51, 55, 56, 60, 64, 65, 69, 73, 74, 78, 79, 82, 83, 87, 88, 91, 92, 96, 97</t>
        </is>
      </c>
    </row>
    <row r="223">
      <c r="A223" s="2" t="n">
        <v>18</v>
      </c>
      <c r="B223" s="2" t="inlineStr">
        <is>
          <t>Thứ hai ngày 19-01-2026</t>
        </is>
      </c>
      <c r="C223" s="3" t="inlineStr">
        <is>
          <t>Chủ Nhật</t>
        </is>
      </c>
      <c r="D223" s="3" t="inlineStr">
        <is>
          <t>88286</t>
        </is>
      </c>
      <c r="E223" s="3" t="inlineStr">
        <is>
          <t>86</t>
        </is>
      </c>
      <c r="F223" s="3" t="inlineStr">
        <is>
          <t>G7.3, G7.1</t>
        </is>
      </c>
      <c r="G223" s="3" t="inlineStr">
        <is>
          <t>Tổng 2, Tổng 3, Tổng 4, Tổng 7, Tổng 8, Tổng 9</t>
        </is>
      </c>
      <c r="H223" s="3" t="inlineStr">
        <is>
          <t>01245679</t>
        </is>
      </c>
      <c r="I223" s="3" t="inlineStr">
        <is>
          <t>Tổng 4-Bóng 9</t>
        </is>
      </c>
      <c r="J223" s="3" t="n">
        <v>60</v>
      </c>
      <c r="K223" s="7" t="inlineStr">
        <is>
          <t>TRÚNG N1 🎯</t>
        </is>
      </c>
      <c r="L223" s="3" t="inlineStr">
        <is>
          <t>04, 07, 09, 13, 17, 22, 27, 45, 48, 49, 61, 62, 68, 70, 72, 84, 89, 93, 94, 98</t>
        </is>
      </c>
      <c r="M223" s="6" t="inlineStr">
        <is>
          <t>TRƯỢT ❌</t>
        </is>
      </c>
      <c r="N223" s="7" t="inlineStr">
        <is>
          <t>TRÚNG N1 🎯</t>
        </is>
      </c>
      <c r="O22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224">
      <c r="A224" s="2" t="n">
        <v>17</v>
      </c>
      <c r="B224" s="2" t="inlineStr">
        <is>
          <t>Chủ nhật ngày 18-01-2026</t>
        </is>
      </c>
      <c r="C224" s="3" t="inlineStr">
        <is>
          <t>Thứ Bảy</t>
        </is>
      </c>
      <c r="D224" s="3" t="inlineStr">
        <is>
          <t>17151</t>
        </is>
      </c>
      <c r="E224" s="3" t="inlineStr">
        <is>
          <t>51</t>
        </is>
      </c>
      <c r="F224" s="3" t="inlineStr">
        <is>
          <t>G7.4, G7.1</t>
        </is>
      </c>
      <c r="G224" s="3" t="inlineStr">
        <is>
          <t>Tổng 0, Tổng 4, Tổng 5, Tổng 9</t>
        </is>
      </c>
      <c r="H224" s="3" t="inlineStr">
        <is>
          <t>0123456789</t>
        </is>
      </c>
      <c r="I224" s="3" t="inlineStr">
        <is>
          <t>Tổng 9-Bóng 4</t>
        </is>
      </c>
      <c r="J224" s="3" t="n">
        <v>40</v>
      </c>
      <c r="K224" s="6" t="inlineStr">
        <is>
          <t>TRƯỢT ❌</t>
        </is>
      </c>
      <c r="L224" s="3" t="inlineStr">
        <is>
          <t>04, 05, 09, 13, 18, 19, 22, 23, 27, 28, 31, 36, 41, 45, 46, 50, 55, 68, 72, 96</t>
        </is>
      </c>
      <c r="M224" s="6" t="inlineStr">
        <is>
          <t>TRƯỢT ❌</t>
        </is>
      </c>
      <c r="N224" s="7" t="inlineStr">
        <is>
          <t>TRÚNG N2 🎯</t>
        </is>
      </c>
      <c r="O224" s="3" t="inlineStr">
        <is>
          <t>00, 04, 05, 09, 13, 14, 18, 19, 22, 23, 27, 28, 31, 32, 36, 37, 40, 41, 45, 46, 50, 54, 55, 59, 63, 64, 68, 69, 72, 73, 77, 78, 81, 82, 86, 87, 90, 91, 95, 96</t>
        </is>
      </c>
    </row>
    <row r="225">
      <c r="A225" s="2" t="n">
        <v>16</v>
      </c>
      <c r="B225" s="2" t="inlineStr">
        <is>
          <t>Thứ bảy ngày 17-01-2026</t>
        </is>
      </c>
      <c r="C225" s="3" t="inlineStr">
        <is>
          <t>Thứ Sáu</t>
        </is>
      </c>
      <c r="D225" s="3" t="inlineStr">
        <is>
          <t>09824</t>
        </is>
      </c>
      <c r="E225" s="3" t="inlineStr">
        <is>
          <t>24</t>
        </is>
      </c>
      <c r="F225" s="3" t="inlineStr">
        <is>
          <t>G7.2, G7.4</t>
        </is>
      </c>
      <c r="G225" s="3" t="inlineStr">
        <is>
          <t>Tổng 1, Tổng 4, Tổng 6, Tổng 9</t>
        </is>
      </c>
      <c r="H225" s="3" t="inlineStr">
        <is>
          <t>02345789</t>
        </is>
      </c>
      <c r="I225" s="3" t="inlineStr">
        <is>
          <t>Tổng 9-Bóng 4</t>
        </is>
      </c>
      <c r="J225" s="3" t="n">
        <v>40</v>
      </c>
      <c r="K225" s="7" t="inlineStr">
        <is>
          <t>TRÚNG N1 🎯</t>
        </is>
      </c>
      <c r="L225" s="3" t="inlineStr">
        <is>
          <t>04, 09, 13, 18, 22, 24, 27, 31, 36, 38, 45, 47, 60, 68, 72, 74, 79, 81, 88, 97</t>
        </is>
      </c>
      <c r="M225" s="7" t="inlineStr">
        <is>
          <t>TRÚNG HỎA LỰC 🎯</t>
        </is>
      </c>
      <c r="N225" s="7" t="inlineStr">
        <is>
          <t>TRÚNG N1 🎯</t>
        </is>
      </c>
      <c r="O225" s="3" t="inlineStr">
        <is>
          <t>01, 04, 06, 09, 10, 13, 15, 18, 22, 24, 27, 29, 31, 33, 36, 38, 40, 42, 45, 47, 51, 54, 56, 59, 60, 63, 65, 68, 72, 74, 77, 79, 81, 83, 86, 88, 90, 92, 95, 97</t>
        </is>
      </c>
    </row>
    <row r="226">
      <c r="A226" s="2" t="n">
        <v>15</v>
      </c>
      <c r="B226" s="2" t="inlineStr">
        <is>
          <t>Thứ sáu ngày 16-01-2026</t>
        </is>
      </c>
      <c r="C226" s="3" t="inlineStr">
        <is>
          <t>Thứ Năm</t>
        </is>
      </c>
      <c r="D226" s="3" t="inlineStr">
        <is>
          <t>90128</t>
        </is>
      </c>
      <c r="E226" s="3" t="inlineStr">
        <is>
          <t>28</t>
        </is>
      </c>
      <c r="F226" s="3" t="inlineStr">
        <is>
          <t>G7.4, G7.1</t>
        </is>
      </c>
      <c r="G226" s="3" t="inlineStr">
        <is>
          <t>Tổng 3, Tổng 8</t>
        </is>
      </c>
      <c r="H226" s="3" t="inlineStr">
        <is>
          <t>01245679</t>
        </is>
      </c>
      <c r="I226" s="3" t="inlineStr">
        <is>
          <t>Tổng 3-Bóng 8</t>
        </is>
      </c>
      <c r="J226" s="3" t="n">
        <v>20</v>
      </c>
      <c r="K226" s="6" t="inlineStr">
        <is>
          <t>TRƯỢT ❌</t>
        </is>
      </c>
      <c r="L226" s="3" t="inlineStr">
        <is>
          <t>03, 08, 12, 17, 21, 26, 30, 35, 44, 49, 53, 58, 62, 67, 71, 76, 80, 85, 94, 99</t>
        </is>
      </c>
      <c r="M226" s="6" t="inlineStr">
        <is>
          <t>TRƯỢT ❌</t>
        </is>
      </c>
      <c r="N226" s="6" t="inlineStr">
        <is>
          <t>TRƯỢT KHUNG ❌</t>
        </is>
      </c>
      <c r="O226" s="3" t="inlineStr">
        <is>
          <t>03, 08, 12, 17, 21, 26, 30, 35, 44, 49, 53, 58, 62, 67, 71, 76, 80, 85, 94, 99</t>
        </is>
      </c>
    </row>
    <row r="227">
      <c r="A227" s="2" t="n">
        <v>14</v>
      </c>
      <c r="B227" s="2" t="inlineStr">
        <is>
          <t>Thứ năm ngày 15-01-2026</t>
        </is>
      </c>
      <c r="C227" s="3" t="inlineStr">
        <is>
          <t>Thứ Tư</t>
        </is>
      </c>
      <c r="D227" s="3" t="inlineStr">
        <is>
          <t>84522</t>
        </is>
      </c>
      <c r="E227" s="3" t="inlineStr">
        <is>
          <t>22</t>
        </is>
      </c>
      <c r="F227" s="3" t="inlineStr">
        <is>
          <t>G7.1, G7.2</t>
        </is>
      </c>
      <c r="G227" s="3" t="inlineStr">
        <is>
          <t>Tổng 1, Tổng 3, Tổng 6, Tổng 8</t>
        </is>
      </c>
      <c r="H227" s="3" t="inlineStr">
        <is>
          <t>01245679</t>
        </is>
      </c>
      <c r="I227" s="3" t="inlineStr">
        <is>
          <t>Tổng 6-Bóng 1</t>
        </is>
      </c>
      <c r="J227" s="3" t="n">
        <v>36</v>
      </c>
      <c r="K227" s="6" t="inlineStr">
        <is>
          <t>TRƯỢT ❌</t>
        </is>
      </c>
      <c r="L227" s="3" t="inlineStr">
        <is>
          <t>03, 17, 21, 24, 26, 29, 30, 42, 47, 49, 51, 60, 62, 71, 74, 79, 80, 94, 97, 99</t>
        </is>
      </c>
      <c r="M227" s="6" t="inlineStr">
        <is>
          <t>TRƯỢT ❌</t>
        </is>
      </c>
      <c r="N227" s="7" t="inlineStr">
        <is>
          <t>TRÚNG N3 🎯</t>
        </is>
      </c>
      <c r="O227" s="3" t="inlineStr">
        <is>
          <t>01, 03, 06, 08, 10, 12, 15, 17, 21, 24, 26, 29, 30, 35, 42, 44, 47, 49, 51, 53, 56, 58, 60, 62, 65, 67, 71, 74, 76, 79, 80, 85, 92, 94, 97, 99</t>
        </is>
      </c>
    </row>
    <row r="228">
      <c r="A228" s="2" t="n">
        <v>13</v>
      </c>
      <c r="B228" s="2" t="inlineStr">
        <is>
          <t>Thứ tư ngày 14-01-2026</t>
        </is>
      </c>
      <c r="C228" s="3" t="inlineStr">
        <is>
          <t>Thứ Ba</t>
        </is>
      </c>
      <c r="D228" s="3" t="inlineStr">
        <is>
          <t>02817</t>
        </is>
      </c>
      <c r="E228" s="3" t="inlineStr">
        <is>
          <t>17</t>
        </is>
      </c>
      <c r="F228" s="3" t="inlineStr">
        <is>
          <t>G7.1, G7.2</t>
        </is>
      </c>
      <c r="G228" s="3" t="inlineStr">
        <is>
          <t>Tổng 0, Tổng 1, Tổng 4, Tổng 5, Tổng 6, Tổng 9</t>
        </is>
      </c>
      <c r="H228" s="3" t="inlineStr">
        <is>
          <t>0123456789</t>
        </is>
      </c>
      <c r="I228" s="3" t="inlineStr">
        <is>
          <t>Tổng 4-Bóng 9</t>
        </is>
      </c>
      <c r="J228" s="3" t="n">
        <v>60</v>
      </c>
      <c r="K228" s="6" t="inlineStr">
        <is>
          <t>TRƯỢT ❌</t>
        </is>
      </c>
      <c r="L228" s="3" t="inlineStr">
        <is>
          <t>05, 09, 13, 19, 23, 24, 27, 28, 38, 41, 45, 47, 55, 60, 68, 72, 74, 88, 96, 97</t>
        </is>
      </c>
      <c r="M228" s="6" t="inlineStr">
        <is>
          <t>TRƯỢT ❌</t>
        </is>
      </c>
      <c r="N228" s="7" t="inlineStr">
        <is>
          <t>TRÚNG N2 🎯</t>
        </is>
      </c>
      <c r="O228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229">
      <c r="A229" s="2" t="n">
        <v>12</v>
      </c>
      <c r="B229" s="2" t="inlineStr">
        <is>
          <t>Thứ ba ngày 13-01-2026</t>
        </is>
      </c>
      <c r="C229" s="3" t="inlineStr">
        <is>
          <t>Thứ Hai</t>
        </is>
      </c>
      <c r="D229" s="3" t="inlineStr">
        <is>
          <t>28027</t>
        </is>
      </c>
      <c r="E229" s="3" t="inlineStr">
        <is>
          <t>27</t>
        </is>
      </c>
      <c r="F229" s="3" t="inlineStr">
        <is>
          <t>G7.1, G7.2</t>
        </is>
      </c>
      <c r="G229" s="3" t="inlineStr">
        <is>
          <t>Tổng 0, Tổng 2, Tổng 4, Tổng 5, Tổng 7, Tổng 9</t>
        </is>
      </c>
      <c r="H229" s="3" t="inlineStr">
        <is>
          <t>0123456789</t>
        </is>
      </c>
      <c r="I229" s="3" t="inlineStr">
        <is>
          <t>Tổng 5-Bóng 0</t>
        </is>
      </c>
      <c r="J229" s="3" t="n">
        <v>60</v>
      </c>
      <c r="K229" s="7" t="inlineStr">
        <is>
          <t>TRÚNG N1 🎯</t>
        </is>
      </c>
      <c r="L229" s="3" t="inlineStr">
        <is>
          <t>04, 05, 07, 09, 13, 19, 23, 28, 41, 45, 48, 55, 61, 68, 70, 72, 89, 93, 96, 98</t>
        </is>
      </c>
      <c r="M229" s="6" t="inlineStr">
        <is>
          <t>TRƯỢT ❌</t>
        </is>
      </c>
      <c r="N229" s="7" t="inlineStr">
        <is>
          <t>TRÚNG N1 🎯</t>
        </is>
      </c>
      <c r="O22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230">
      <c r="A230" s="2" t="n">
        <v>11</v>
      </c>
      <c r="B230" s="2" t="inlineStr">
        <is>
          <t>Thứ hai ngày 12-01-2026</t>
        </is>
      </c>
      <c r="C230" s="3" t="inlineStr">
        <is>
          <t>Chủ Nhật</t>
        </is>
      </c>
      <c r="D230" s="3" t="inlineStr">
        <is>
          <t>31894</t>
        </is>
      </c>
      <c r="E230" s="3" t="inlineStr">
        <is>
          <t>94</t>
        </is>
      </c>
      <c r="F230" s="3" t="inlineStr">
        <is>
          <t>G7.1, G7.2</t>
        </is>
      </c>
      <c r="G230" s="3" t="inlineStr">
        <is>
          <t>Tổng 0, Tổng 2, Tổng 4, Tổng 5, Tổng 7, Tổng 9</t>
        </is>
      </c>
      <c r="H230" s="3" t="inlineStr">
        <is>
          <t>0123456789</t>
        </is>
      </c>
      <c r="I230" s="3" t="inlineStr">
        <is>
          <t>Tổng 0-Bóng 5</t>
        </is>
      </c>
      <c r="J230" s="3" t="n">
        <v>60</v>
      </c>
      <c r="K230" s="6" t="inlineStr">
        <is>
          <t>TRƯỢT ❌</t>
        </is>
      </c>
      <c r="L230" s="3" t="inlineStr">
        <is>
          <t>04, 05, 07, 09, 13, 19, 23, 28, 41, 45, 48, 55, 61, 68, 70, 72, 89, 93, 96, 98</t>
        </is>
      </c>
      <c r="M230" s="6" t="inlineStr">
        <is>
          <t>TRƯỢT ❌</t>
        </is>
      </c>
      <c r="N230" s="7" t="inlineStr">
        <is>
          <t>TRÚNG N2 🎯</t>
        </is>
      </c>
      <c r="O230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231">
      <c r="A231" s="2" t="n">
        <v>10</v>
      </c>
      <c r="B231" s="2" t="inlineStr">
        <is>
          <t>Chủ nhật ngày 11-01-2026</t>
        </is>
      </c>
      <c r="C231" s="3" t="inlineStr">
        <is>
          <t>Thứ Bảy</t>
        </is>
      </c>
      <c r="D231" s="3" t="inlineStr">
        <is>
          <t>82438</t>
        </is>
      </c>
      <c r="E231" s="3" t="inlineStr">
        <is>
          <t>38</t>
        </is>
      </c>
      <c r="F231" s="3" t="inlineStr">
        <is>
          <t>G7.4, G7.1</t>
        </is>
      </c>
      <c r="G231" s="3" t="inlineStr">
        <is>
          <t>Tổng 0, Tổng 2, Tổng 4, Tổng 5, Tổng 7, Tổng 9</t>
        </is>
      </c>
      <c r="H231" s="3" t="inlineStr">
        <is>
          <t>0123456789</t>
        </is>
      </c>
      <c r="I231" s="3" t="inlineStr">
        <is>
          <t>Tổng 0-Bóng 5</t>
        </is>
      </c>
      <c r="J231" s="3" t="n">
        <v>60</v>
      </c>
      <c r="K231" s="6" t="inlineStr">
        <is>
          <t>TRƯỢT ❌</t>
        </is>
      </c>
      <c r="L231" s="3" t="inlineStr">
        <is>
          <t>04, 05, 07, 09, 13, 19, 23, 28, 41, 45, 48, 55, 61, 68, 70, 72, 89, 93, 96, 98</t>
        </is>
      </c>
      <c r="M231" s="6" t="inlineStr">
        <is>
          <t>TRƯỢT ❌</t>
        </is>
      </c>
      <c r="N231" s="7" t="inlineStr">
        <is>
          <t>TRÚNG N3 🎯</t>
        </is>
      </c>
      <c r="O231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232">
      <c r="A232" s="2" t="n">
        <v>9</v>
      </c>
      <c r="B232" s="2" t="inlineStr">
        <is>
          <t>Thứ bảy ngày 10-01-2026</t>
        </is>
      </c>
      <c r="C232" s="3" t="inlineStr">
        <is>
          <t>Thứ Sáu</t>
        </is>
      </c>
      <c r="D232" s="3" t="inlineStr">
        <is>
          <t>67793</t>
        </is>
      </c>
      <c r="E232" s="3" t="inlineStr">
        <is>
          <t>93</t>
        </is>
      </c>
      <c r="F232" s="3" t="inlineStr">
        <is>
          <t>G7.1, G7.2</t>
        </is>
      </c>
      <c r="G232" s="3" t="inlineStr">
        <is>
          <t>Tổng 0, Tổng 1, Tổng 5, Tổng 6</t>
        </is>
      </c>
      <c r="H232" s="3" t="inlineStr">
        <is>
          <t>0123456789</t>
        </is>
      </c>
      <c r="I232" s="3" t="inlineStr">
        <is>
          <t>Tổng 0-Bóng 5</t>
        </is>
      </c>
      <c r="J232" s="3" t="n">
        <v>40</v>
      </c>
      <c r="K232" s="6" t="inlineStr">
        <is>
          <t>TRƯỢT ❌</t>
        </is>
      </c>
      <c r="L232" s="3" t="inlineStr">
        <is>
          <t>05, 19, 23, 24, 28, 29, 38, 41, 42, 46, 47, 50, 51, 55, 60, 74, 79, 88, 96, 97</t>
        </is>
      </c>
      <c r="M232" s="6" t="inlineStr">
        <is>
          <t>TRƯỢT ❌</t>
        </is>
      </c>
      <c r="N232" s="7" t="inlineStr">
        <is>
          <t>TRÚNG N2 🎯</t>
        </is>
      </c>
      <c r="O232" s="3" t="inlineStr">
        <is>
          <t>00, 01, 05, 06, 10, 14, 15, 19, 23, 24, 28, 29, 32, 33, 37, 38, 41, 42, 46, 47, 50, 51, 55, 56, 60, 64, 65, 69, 73, 74, 78, 79, 82, 83, 87, 88, 91, 92, 96, 97</t>
        </is>
      </c>
    </row>
    <row r="233">
      <c r="A233" s="2" t="n">
        <v>8</v>
      </c>
      <c r="B233" s="2" t="inlineStr">
        <is>
          <t>Thứ sáu ngày 09-01-2026</t>
        </is>
      </c>
      <c r="C233" s="3" t="inlineStr">
        <is>
          <t>Thứ Năm</t>
        </is>
      </c>
      <c r="D233" s="3" t="inlineStr">
        <is>
          <t>39523</t>
        </is>
      </c>
      <c r="E233" s="3" t="inlineStr">
        <is>
          <t>23</t>
        </is>
      </c>
      <c r="F233" s="3" t="inlineStr">
        <is>
          <t>G7.4, G7.1</t>
        </is>
      </c>
      <c r="G233" s="3" t="inlineStr">
        <is>
          <t>Tổng 3, Tổng 4, Tổng 8, Tổng 9</t>
        </is>
      </c>
      <c r="H233" s="3" t="inlineStr">
        <is>
          <t>0123456789</t>
        </is>
      </c>
      <c r="I233" s="3" t="inlineStr">
        <is>
          <t>Tổng 8-Bóng 3</t>
        </is>
      </c>
      <c r="J233" s="3" t="n">
        <v>40</v>
      </c>
      <c r="K233" s="6" t="inlineStr">
        <is>
          <t>TRƯỢT ❌</t>
        </is>
      </c>
      <c r="L233" s="3" t="inlineStr">
        <is>
          <t>03, 04, 09, 13, 17, 18, 22, 26, 30, 31, 36, 45, 49, 62, 68, 71, 72, 80, 81, 99</t>
        </is>
      </c>
      <c r="M233" s="6" t="inlineStr">
        <is>
          <t>TRƯỢT ❌</t>
        </is>
      </c>
      <c r="N233" s="6" t="inlineStr">
        <is>
          <t>TRƯỢT KHUNG ❌</t>
        </is>
      </c>
      <c r="O233" s="3" t="inlineStr">
        <is>
          <t>03, 04, 08, 09, 12, 13, 17, 18, 21, 22, 26, 27, 30, 31, 35, 36, 40, 44, 45, 49, 53, 54, 58, 59, 62, 63, 67, 68, 71, 72, 76, 77, 80, 81, 85, 86, 90, 94, 95, 99</t>
        </is>
      </c>
    </row>
    <row r="234">
      <c r="A234" s="2" t="n">
        <v>7</v>
      </c>
      <c r="B234" s="2" t="inlineStr">
        <is>
          <t>Thứ năm ngày 08-01-2026</t>
        </is>
      </c>
      <c r="C234" s="3" t="inlineStr">
        <is>
          <t>Thứ Tư</t>
        </is>
      </c>
      <c r="D234" s="3" t="inlineStr">
        <is>
          <t>40162</t>
        </is>
      </c>
      <c r="E234" s="3" t="inlineStr">
        <is>
          <t>62</t>
        </is>
      </c>
      <c r="F234" s="3" t="inlineStr">
        <is>
          <t>G7.1, G7.2</t>
        </is>
      </c>
      <c r="G234" s="3" t="inlineStr">
        <is>
          <t>Tổng 0, Tổng 2, Tổng 5, Tổng 7</t>
        </is>
      </c>
      <c r="H234" s="3" t="inlineStr">
        <is>
          <t>0123456789</t>
        </is>
      </c>
      <c r="I234" s="3" t="inlineStr">
        <is>
          <t>Tổng 0-Bóng 5</t>
        </is>
      </c>
      <c r="J234" s="3" t="n">
        <v>40</v>
      </c>
      <c r="K234" s="6" t="inlineStr">
        <is>
          <t>TRƯỢT ❌</t>
        </is>
      </c>
      <c r="L234" s="3" t="inlineStr">
        <is>
          <t>05, 07, 19, 23, 28, 41, 46, 48, 50, 52, 55, 61, 69, 70, 75, 82, 84, 89, 96, 98</t>
        </is>
      </c>
      <c r="M234" s="6" t="inlineStr">
        <is>
          <t>TRƯỢT ❌</t>
        </is>
      </c>
      <c r="N234" s="7" t="inlineStr">
        <is>
          <t>TRÚNG N2 🎯</t>
        </is>
      </c>
      <c r="O234" s="3" t="inlineStr">
        <is>
          <t>00, 02, 05, 07, 11, 14, 16, 19, 20, 23, 25, 28, 32, 34, 37, 39, 41, 43, 46, 48, 50, 52, 55, 57, 61, 64, 66, 69, 70, 73, 75, 78, 82, 84, 87, 89, 91, 93, 96, 98</t>
        </is>
      </c>
    </row>
    <row r="235">
      <c r="A235" s="2" t="n">
        <v>6</v>
      </c>
      <c r="B235" s="2" t="inlineStr">
        <is>
          <t>Thứ tư ngày 07-01-2026</t>
        </is>
      </c>
      <c r="C235" s="3" t="inlineStr">
        <is>
          <t>Thứ Ba</t>
        </is>
      </c>
      <c r="D235" s="3" t="inlineStr">
        <is>
          <t>14389</t>
        </is>
      </c>
      <c r="E235" s="3" t="inlineStr">
        <is>
          <t>89</t>
        </is>
      </c>
      <c r="F235" s="3" t="inlineStr">
        <is>
          <t>G7.1, G7.2</t>
        </is>
      </c>
      <c r="G235" s="3" t="inlineStr">
        <is>
          <t>Tổng 0, Tổng 1, Tổng 2, Tổng 5, Tổng 6, Tổng 7</t>
        </is>
      </c>
      <c r="H235" s="3" t="inlineStr">
        <is>
          <t>012567</t>
        </is>
      </c>
      <c r="I235" s="3" t="inlineStr">
        <is>
          <t>Tổng 7-Bóng 2</t>
        </is>
      </c>
      <c r="J235" s="3" t="n">
        <v>48</v>
      </c>
      <c r="K235" s="6" t="inlineStr">
        <is>
          <t>TRƯỢT ❌</t>
        </is>
      </c>
      <c r="L235" s="3" t="inlineStr">
        <is>
          <t>05, 07, 19, 23, 24, 28, 41, 46, 47, 50, 52, 55, 60, 61, 70, 74, 75, 79, 96, 97</t>
        </is>
      </c>
      <c r="M235" s="6" t="inlineStr">
        <is>
          <t>TRƯỢT ❌</t>
        </is>
      </c>
      <c r="N235" s="7" t="inlineStr">
        <is>
          <t>TRÚNG N3 🎯</t>
        </is>
      </c>
      <c r="O235" s="3" t="inlineStr">
        <is>
          <t>00, 01, 02, 05, 06, 07, 10, 11, 14, 15, 16, 19, 20, 23, 24, 25, 28, 29, 32, 37, 41, 42, 46, 47, 50, 51, 52, 55, 56, 57, 60, 61, 64, 65, 66, 69, 70, 73, 74, 75, 78, 79, 82, 87, 91, 92, 96, 97</t>
        </is>
      </c>
    </row>
    <row r="236">
      <c r="A236" s="2" t="n">
        <v>5</v>
      </c>
      <c r="B236" s="2" t="inlineStr">
        <is>
          <t>Thứ ba ngày 06-01-2026</t>
        </is>
      </c>
      <c r="C236" s="3" t="inlineStr">
        <is>
          <t>Thứ Hai</t>
        </is>
      </c>
      <c r="D236" s="3" t="inlineStr">
        <is>
          <t>78447</t>
        </is>
      </c>
      <c r="E236" s="3" t="inlineStr">
        <is>
          <t>47</t>
        </is>
      </c>
      <c r="F236" s="3" t="inlineStr">
        <is>
          <t>G7.1, G7.2</t>
        </is>
      </c>
      <c r="G236" s="3" t="inlineStr">
        <is>
          <t>Tổng 1, Tổng 2, Tổng 6, Tổng 7</t>
        </is>
      </c>
      <c r="H236" s="3" t="inlineStr">
        <is>
          <t>0123456789</t>
        </is>
      </c>
      <c r="I236" s="3" t="inlineStr">
        <is>
          <t>Tổng 1-Bóng 6</t>
        </is>
      </c>
      <c r="J236" s="3" t="n">
        <v>40</v>
      </c>
      <c r="K236" s="7" t="inlineStr">
        <is>
          <t>TRÚNG N1 🎯</t>
        </is>
      </c>
      <c r="L236" s="3" t="inlineStr">
        <is>
          <t>07, 24, 29, 33, 38, 42, 48, 51, 52, 60, 61, 70, 74, 75, 79, 84, 88, 89, 97, 98</t>
        </is>
      </c>
      <c r="M236" s="6" t="inlineStr">
        <is>
          <t>TRƯỢT ❌</t>
        </is>
      </c>
      <c r="N236" s="7" t="inlineStr">
        <is>
          <t>TRÚNG N1 🎯</t>
        </is>
      </c>
      <c r="O236" s="3" t="inlineStr">
        <is>
          <t>01, 02, 06, 07, 10, 11, 15, 16, 20, 24, 25, 29, 33, 34, 38, 39, 42, 43, 47, 48, 51, 52, 56, 57, 60, 61, 65, 66, 70, 74, 75, 79, 83, 84, 88, 89, 92, 93, 97, 98</t>
        </is>
      </c>
    </row>
    <row r="237">
      <c r="A237" s="2" t="n">
        <v>4</v>
      </c>
      <c r="B237" s="2" t="inlineStr">
        <is>
          <t>Thứ hai ngày 05-01-2026</t>
        </is>
      </c>
      <c r="C237" s="3" t="inlineStr">
        <is>
          <t>Chủ Nhật</t>
        </is>
      </c>
      <c r="D237" s="3" t="inlineStr">
        <is>
          <t>70505</t>
        </is>
      </c>
      <c r="E237" s="3" t="inlineStr">
        <is>
          <t>05</t>
        </is>
      </c>
      <c r="F237" s="3" t="inlineStr">
        <is>
          <t>G7.1, G7.2</t>
        </is>
      </c>
      <c r="G237" s="3" t="inlineStr">
        <is>
          <t>Tổng 1, Tổng 2, Tổng 4, Tổng 6, Tổng 7, Tổng 9</t>
        </is>
      </c>
      <c r="H237" s="3" t="inlineStr">
        <is>
          <t>0123456789</t>
        </is>
      </c>
      <c r="I237" s="3" t="inlineStr">
        <is>
          <t>Tổng 1-Bóng 6</t>
        </is>
      </c>
      <c r="J237" s="3" t="n">
        <v>60</v>
      </c>
      <c r="K237" s="6" t="inlineStr">
        <is>
          <t>TRƯỢT ❌</t>
        </is>
      </c>
      <c r="L237" s="3" t="inlineStr">
        <is>
          <t>04, 07, 09, 13, 22, 24, 38, 45, 48, 60, 61, 68, 70, 72, 74, 75, 84, 88, 97, 98</t>
        </is>
      </c>
      <c r="M237" s="6" t="inlineStr">
        <is>
          <t>TRƯỢT ❌</t>
        </is>
      </c>
      <c r="N237" s="7" t="inlineStr">
        <is>
          <t>TRÚNG N2 🎯</t>
        </is>
      </c>
      <c r="O237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238">
      <c r="A238" s="2" t="n">
        <v>3</v>
      </c>
      <c r="B238" s="2" t="inlineStr">
        <is>
          <t>Chủ nhật ngày 04-01-2026</t>
        </is>
      </c>
      <c r="C238" s="3" t="inlineStr">
        <is>
          <t>Thứ Bảy</t>
        </is>
      </c>
      <c r="D238" s="3" t="inlineStr">
        <is>
          <t>72397</t>
        </is>
      </c>
      <c r="E238" s="3" t="inlineStr">
        <is>
          <t>97</t>
        </is>
      </c>
      <c r="F238" s="3" t="inlineStr">
        <is>
          <t>G7.1, G7.2</t>
        </is>
      </c>
      <c r="G238" s="3" t="inlineStr">
        <is>
          <t>Tổng 0, Tổng 1, Tổng 2, Tổng 5, Tổng 6, Tổng 7</t>
        </is>
      </c>
      <c r="H238" s="3" t="inlineStr">
        <is>
          <t>12346789</t>
        </is>
      </c>
      <c r="I238" s="3" t="inlineStr">
        <is>
          <t>Tổng 2-Bóng 7</t>
        </is>
      </c>
      <c r="J238" s="3" t="n">
        <v>56</v>
      </c>
      <c r="K238" s="7" t="inlineStr">
        <is>
          <t>TRÚNG N1 🎯</t>
        </is>
      </c>
      <c r="L238" s="3" t="inlineStr">
        <is>
          <t>07, 19, 23, 24, 28, 38, 41, 46, 48, 60, 61, 70, 74, 75, 79, 84, 88, 96, 97, 98</t>
        </is>
      </c>
      <c r="M238" s="7" t="inlineStr">
        <is>
          <t>TRÚNG HỎA LỰC 🎯</t>
        </is>
      </c>
      <c r="N238" s="7" t="inlineStr">
        <is>
          <t>TRÚNG N1 🎯</t>
        </is>
      </c>
      <c r="O238" s="3" t="inlineStr">
        <is>
          <t>01, 02, 06, 07, 10, 11, 14, 15, 16, 19, 20, 23, 24, 25, 28, 29, 32, 33, 34, 37, 38, 39, 41, 42, 43, 46, 47, 48, 51, 52, 56, 57, 60, 61, 64, 65, 66, 69, 70, 73, 74, 75, 78, 79, 82, 83, 84, 87, 88, 89, 91, 92, 93, 96, 97, 98</t>
        </is>
      </c>
    </row>
    <row r="239">
      <c r="A239" s="2" t="n">
        <v>2</v>
      </c>
      <c r="B239" s="2" t="inlineStr">
        <is>
          <t>Thứ bảy ngày 03-01-2026</t>
        </is>
      </c>
      <c r="C239" s="3" t="inlineStr">
        <is>
          <t>Thứ Sáu</t>
        </is>
      </c>
      <c r="D239" s="3" t="inlineStr">
        <is>
          <t>00949</t>
        </is>
      </c>
      <c r="E239" s="3" t="inlineStr">
        <is>
          <t>49</t>
        </is>
      </c>
      <c r="F239" s="3" t="inlineStr">
        <is>
          <t>G7.1, G7.2</t>
        </is>
      </c>
      <c r="G239" s="3" t="inlineStr">
        <is>
          <t>Tổng 1, Tổng 4, Tổng 6, Tổng 9</t>
        </is>
      </c>
      <c r="H239" s="3" t="inlineStr">
        <is>
          <t>234789</t>
        </is>
      </c>
      <c r="I239" s="3" t="inlineStr">
        <is>
          <t>Tổng 4-Bóng 9</t>
        </is>
      </c>
      <c r="J239" s="3" t="n">
        <v>32</v>
      </c>
      <c r="K239" s="6" t="inlineStr">
        <is>
          <t>TRƯỢT ❌</t>
        </is>
      </c>
      <c r="L239" s="3" t="inlineStr">
        <is>
          <t>04, 09, 13, 18, 22, 24, 29, 31, 33, 36, 38, 42, 45, 68, 72, 74, 79, 81, 88, 97</t>
        </is>
      </c>
      <c r="M239" s="6" t="inlineStr">
        <is>
          <t>TRƯỢT ❌</t>
        </is>
      </c>
      <c r="N239" s="7" t="inlineStr">
        <is>
          <t>TRÚNG N2 🎯</t>
        </is>
      </c>
      <c r="O239" s="3" t="inlineStr">
        <is>
          <t>04, 09, 13, 18, 22, 24, 27, 29, 31, 33, 36, 38, 40, 42, 45, 47, 54, 59, 63, 68, 72, 74, 77, 79, 81, 83, 86, 88, 90, 92, 95, 97</t>
        </is>
      </c>
    </row>
    <row r="240">
      <c r="A240" s="2" t="n">
        <v>1</v>
      </c>
      <c r="B240" s="2" t="inlineStr">
        <is>
          <t>Thứ sáu ngày 02-01-2026</t>
        </is>
      </c>
      <c r="C240" s="3" t="inlineStr">
        <is>
          <t>Thứ Năm</t>
        </is>
      </c>
      <c r="D240" s="3" t="inlineStr">
        <is>
          <t>45748</t>
        </is>
      </c>
      <c r="E240" s="3" t="inlineStr">
        <is>
          <t>48</t>
        </is>
      </c>
      <c r="F240" s="3" t="inlineStr">
        <is>
          <t>G7.1, G7.2</t>
        </is>
      </c>
      <c r="G240" s="3" t="inlineStr">
        <is>
          <t>Tổng 0, Tổng 1, Tổng 2, Tổng 5, Tổng 6, Tổng 7</t>
        </is>
      </c>
      <c r="H240" s="3" t="inlineStr">
        <is>
          <t>01245679</t>
        </is>
      </c>
      <c r="I240" s="3" t="inlineStr">
        <is>
          <t>Tổng 6-Bóng 1</t>
        </is>
      </c>
      <c r="J240" s="3" t="n">
        <v>56</v>
      </c>
      <c r="K240" s="7" t="inlineStr">
        <is>
          <t>TRÚNG N1 🎯</t>
        </is>
      </c>
      <c r="L240" s="3" t="inlineStr">
        <is>
          <t>05, 07, 19, 23, 24, 28, 41, 46, 50, 55, 60, 61, 70, 74, 75, 79, 84, 96, 97, 98</t>
        </is>
      </c>
      <c r="M240" s="6" t="inlineStr">
        <is>
          <t>TRƯỢT ❌</t>
        </is>
      </c>
      <c r="N240" s="7" t="inlineStr">
        <is>
          <t>TRÚNG N1 🎯</t>
        </is>
      </c>
      <c r="O240" s="3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45" customWidth="1" min="2" max="2"/>
    <col width="21" customWidth="1" min="3" max="3"/>
    <col width="19" customWidth="1" min="4" max="4"/>
    <col width="63" customWidth="1" min="5" max="5"/>
  </cols>
  <sheetData>
    <row r="1">
      <c r="A1" s="1" t="inlineStr">
        <is>
          <t>Thành Phần Cầu Ghép Góc</t>
        </is>
      </c>
      <c r="B1" s="1" t="inlineStr">
        <is>
          <t>Thuật Toán &amp; Cách Tính</t>
        </is>
      </c>
      <c r="C1" s="1" t="inlineStr">
        <is>
          <t>Số Lần Nổ N1 2026</t>
        </is>
      </c>
      <c r="D1" s="1" t="inlineStr">
        <is>
          <t>Tỷ Lệ Trúng (%)</t>
        </is>
      </c>
      <c r="E1" s="1" t="inlineStr">
        <is>
          <t>Đánh Giá Ưu Điểm</t>
        </is>
      </c>
    </row>
    <row r="2">
      <c r="A2" s="2" t="inlineStr">
        <is>
          <t>Song Thủ Lô Cầu Ghép Góc (Móc Ghép G7.1 + G7.4)</t>
        </is>
      </c>
      <c r="B2" s="2" t="inlineStr">
        <is>
          <t>Ghép G7.1[0] và G7.4[1] -&gt; Cặp Lô 70 - 07</t>
        </is>
      </c>
      <c r="C2" s="3" t="inlineStr">
        <is>
          <t>85 lần (105 nháy)</t>
        </is>
      </c>
      <c r="D2" s="3" t="inlineStr">
        <is>
          <t>35.71%</t>
        </is>
      </c>
      <c r="E2" s="3" t="inlineStr">
        <is>
          <t>Cầu Lô Móc Chung cực chuẩn, xuất hiện nháy đều đặn</t>
        </is>
      </c>
    </row>
    <row r="3">
      <c r="A3" s="2" t="inlineStr">
        <is>
          <t>Cầu Ghép Góc Đề (Head 7.1 + Tail 7.4)</t>
        </is>
      </c>
      <c r="B3" s="2" t="inlineStr">
        <is>
          <t>Tổng (G7.1[0] + G7.4[1]) mod 10 &amp; Bóng</t>
        </is>
      </c>
      <c r="C3" s="3" t="inlineStr">
        <is>
          <t>96 lần</t>
        </is>
      </c>
      <c r="D3" s="3" t="inlineStr">
        <is>
          <t>42.67%</t>
        </is>
      </c>
      <c r="E3" s="3" t="inlineStr">
        <is>
          <t>Độc lập với G7 đơn, nổ cực mạnh Thứ 2 (50%) &amp; Thứ 7 (48.5%)</t>
        </is>
      </c>
    </row>
    <row r="4">
      <c r="A4" s="2" t="inlineStr">
        <is>
          <t>Tích Hợp Chạm G7 Ngày</t>
        </is>
      </c>
      <c r="B4" s="2" t="inlineStr">
        <is>
          <t>Bắt chữ số G7.1-G7.4 + Bóng dương</t>
        </is>
      </c>
      <c r="C4" s="3" t="inlineStr">
        <is>
          <t>189 lần</t>
        </is>
      </c>
      <c r="D4" s="3" t="inlineStr">
        <is>
          <t>84.70%</t>
        </is>
      </c>
      <c r="E4" s="3" t="inlineStr">
        <is>
          <t>Độ phủ rộng, giữ tỷ lệ trúng khung 3N 87.00%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4" customWidth="1" min="3" max="3"/>
    <col width="19" customWidth="1" min="4" max="4"/>
    <col width="27" customWidth="1" min="5" max="5"/>
    <col width="25" customWidth="1" min="6" max="6"/>
  </cols>
  <sheetData>
    <row r="1">
      <c r="A1" s="1" t="inlineStr">
        <is>
          <t>Thứ Hạng Hỏa Lực</t>
        </is>
      </c>
      <c r="B1" s="1" t="inlineStr">
        <is>
          <t>Con Số 2D</t>
        </is>
      </c>
      <c r="C1" s="1" t="inlineStr">
        <is>
          <t>Thuộc Tổng</t>
        </is>
      </c>
      <c r="D1" s="1" t="inlineStr">
        <is>
          <t>Nhịp Gan (Ngày)</t>
        </is>
      </c>
      <c r="E1" s="1" t="inlineStr">
        <is>
          <t>Điểm Nhịp Vàng Gaussian</t>
        </is>
      </c>
      <c r="F1" s="1" t="inlineStr">
        <is>
          <t>Khuyến Nghị Vốn</t>
        </is>
      </c>
    </row>
    <row r="2">
      <c r="A2" s="2" t="inlineStr">
        <is>
          <t>Top 01</t>
        </is>
      </c>
      <c r="B2" s="2" t="inlineStr">
        <is>
          <t>39</t>
        </is>
      </c>
      <c r="C2" s="3" t="inlineStr">
        <is>
          <t>Tổng 2</t>
        </is>
      </c>
      <c r="D2" s="3" t="inlineStr">
        <is>
          <t>14 ngày</t>
        </is>
      </c>
      <c r="E2" s="3" t="inlineStr">
        <is>
          <t>16.5 điểm</t>
        </is>
      </c>
      <c r="F2" s="3" t="inlineStr">
        <is>
          <t>Ưu tiên hỏa lực chính</t>
        </is>
      </c>
    </row>
    <row r="3">
      <c r="A3" s="2" t="inlineStr">
        <is>
          <t>Top 02</t>
        </is>
      </c>
      <c r="B3" s="2" t="inlineStr">
        <is>
          <t>43</t>
        </is>
      </c>
      <c r="C3" s="3" t="inlineStr">
        <is>
          <t>Tổng 7</t>
        </is>
      </c>
      <c r="D3" s="3" t="inlineStr">
        <is>
          <t>12 ngày</t>
        </is>
      </c>
      <c r="E3" s="3" t="inlineStr">
        <is>
          <t>12.5 điểm</t>
        </is>
      </c>
      <c r="F3" s="3" t="inlineStr">
        <is>
          <t>Ưu tiên hỏa lực chính</t>
        </is>
      </c>
    </row>
    <row r="4">
      <c r="A4" s="2" t="inlineStr">
        <is>
          <t>Top 03</t>
        </is>
      </c>
      <c r="B4" s="2" t="inlineStr">
        <is>
          <t>57</t>
        </is>
      </c>
      <c r="C4" s="3" t="inlineStr">
        <is>
          <t>Tổng 2</t>
        </is>
      </c>
      <c r="D4" s="3" t="inlineStr">
        <is>
          <t>21 ngày</t>
        </is>
      </c>
      <c r="E4" s="3" t="inlineStr">
        <is>
          <t>7.5 điểm</t>
        </is>
      </c>
      <c r="F4" s="3" t="inlineStr">
        <is>
          <t>Ưu tiên hỏa lực chính</t>
        </is>
      </c>
    </row>
    <row r="5">
      <c r="A5" s="2" t="inlineStr">
        <is>
          <t>Top 04</t>
        </is>
      </c>
      <c r="B5" s="2" t="inlineStr">
        <is>
          <t>25</t>
        </is>
      </c>
      <c r="C5" s="3" t="inlineStr">
        <is>
          <t>Tổng 7</t>
        </is>
      </c>
      <c r="D5" s="3" t="inlineStr">
        <is>
          <t>27 ngày</t>
        </is>
      </c>
      <c r="E5" s="3" t="inlineStr">
        <is>
          <t>7.5 điểm</t>
        </is>
      </c>
      <c r="F5" s="3" t="inlineStr">
        <is>
          <t>Ưu tiên hỏa lực chính</t>
        </is>
      </c>
    </row>
    <row r="6">
      <c r="A6" s="2" t="inlineStr">
        <is>
          <t>Top 05</t>
        </is>
      </c>
      <c r="B6" s="2" t="inlineStr">
        <is>
          <t>89</t>
        </is>
      </c>
      <c r="C6" s="3" t="inlineStr">
        <is>
          <t>Tổng 7</t>
        </is>
      </c>
      <c r="D6" s="3" t="inlineStr">
        <is>
          <t>54 ngày</t>
        </is>
      </c>
      <c r="E6" s="3" t="inlineStr">
        <is>
          <t>5.0 điểm</t>
        </is>
      </c>
      <c r="F6" s="3" t="inlineStr">
        <is>
          <t>Ưu tiên hỏa lực chính</t>
        </is>
      </c>
    </row>
    <row r="7">
      <c r="A7" s="2" t="inlineStr">
        <is>
          <t>Top 06</t>
        </is>
      </c>
      <c r="B7" s="2" t="inlineStr">
        <is>
          <t>70</t>
        </is>
      </c>
      <c r="C7" s="3" t="inlineStr">
        <is>
          <t>Tổng 7</t>
        </is>
      </c>
      <c r="D7" s="3" t="inlineStr">
        <is>
          <t>41 ngày</t>
        </is>
      </c>
      <c r="E7" s="3" t="inlineStr">
        <is>
          <t>4.0 điểm</t>
        </is>
      </c>
      <c r="F7" s="3" t="inlineStr">
        <is>
          <t>Dàn lót bổ trợ</t>
        </is>
      </c>
    </row>
    <row r="8">
      <c r="A8" s="2" t="inlineStr">
        <is>
          <t>Top 07</t>
        </is>
      </c>
      <c r="B8" s="2" t="inlineStr">
        <is>
          <t>34</t>
        </is>
      </c>
      <c r="C8" s="3" t="inlineStr">
        <is>
          <t>Tổng 7</t>
        </is>
      </c>
      <c r="D8" s="3" t="inlineStr">
        <is>
          <t>32 ngày</t>
        </is>
      </c>
      <c r="E8" s="3" t="inlineStr">
        <is>
          <t>4.0 điểm</t>
        </is>
      </c>
      <c r="F8" s="3" t="inlineStr">
        <is>
          <t>Dàn lót bổ trợ</t>
        </is>
      </c>
    </row>
    <row r="9">
      <c r="A9" s="2" t="inlineStr">
        <is>
          <t>Top 08</t>
        </is>
      </c>
      <c r="B9" s="2" t="inlineStr">
        <is>
          <t>93</t>
        </is>
      </c>
      <c r="C9" s="3" t="inlineStr">
        <is>
          <t>Tổng 2</t>
        </is>
      </c>
      <c r="D9" s="3" t="inlineStr">
        <is>
          <t>85 ngày</t>
        </is>
      </c>
      <c r="E9" s="3" t="inlineStr">
        <is>
          <t>2.0 điểm</t>
        </is>
      </c>
      <c r="F9" s="3" t="inlineStr">
        <is>
          <t>Dàn lót bổ trợ</t>
        </is>
      </c>
    </row>
    <row r="10">
      <c r="A10" s="2" t="inlineStr">
        <is>
          <t>Top 09</t>
        </is>
      </c>
      <c r="B10" s="2" t="inlineStr">
        <is>
          <t>52</t>
        </is>
      </c>
      <c r="C10" s="3" t="inlineStr">
        <is>
          <t>Tổng 7</t>
        </is>
      </c>
      <c r="D10" s="3" t="inlineStr">
        <is>
          <t>64 ngày</t>
        </is>
      </c>
      <c r="E10" s="3" t="inlineStr">
        <is>
          <t>2.0 điểm</t>
        </is>
      </c>
      <c r="F10" s="3" t="inlineStr">
        <is>
          <t>Dàn lót bổ trợ</t>
        </is>
      </c>
    </row>
    <row r="11">
      <c r="A11" s="2" t="inlineStr">
        <is>
          <t>Top 10</t>
        </is>
      </c>
      <c r="B11" s="2" t="inlineStr">
        <is>
          <t>84</t>
        </is>
      </c>
      <c r="C11" s="3" t="inlineStr">
        <is>
          <t>Tổng 2</t>
        </is>
      </c>
      <c r="D11" s="3" t="inlineStr">
        <is>
          <t>76 ngày</t>
        </is>
      </c>
      <c r="E11" s="3" t="inlineStr">
        <is>
          <t>2.0 điểm</t>
        </is>
      </c>
      <c r="F11" s="3" t="inlineStr">
        <is>
          <t>Dàn lót bổ trợ</t>
        </is>
      </c>
    </row>
    <row r="12">
      <c r="A12" s="2" t="inlineStr">
        <is>
          <t>Top 11</t>
        </is>
      </c>
      <c r="B12" s="2" t="inlineStr">
        <is>
          <t>07</t>
        </is>
      </c>
      <c r="C12" s="3" t="inlineStr">
        <is>
          <t>Tổng 7</t>
        </is>
      </c>
      <c r="D12" s="3" t="inlineStr">
        <is>
          <t>999 ngày</t>
        </is>
      </c>
      <c r="E12" s="3" t="inlineStr">
        <is>
          <t>1.0 điểm</t>
        </is>
      </c>
      <c r="F12" s="3" t="inlineStr">
        <is>
          <t>Dàn lót bổ trợ</t>
        </is>
      </c>
    </row>
    <row r="13">
      <c r="A13" s="2" t="inlineStr">
        <is>
          <t>Top 12</t>
        </is>
      </c>
      <c r="B13" s="2" t="inlineStr">
        <is>
          <t>75</t>
        </is>
      </c>
      <c r="C13" s="3" t="inlineStr">
        <is>
          <t>Tổng 2</t>
        </is>
      </c>
      <c r="D13" s="3" t="inlineStr">
        <is>
          <t>123 ngày</t>
        </is>
      </c>
      <c r="E13" s="3" t="inlineStr">
        <is>
          <t>1.0 điểm</t>
        </is>
      </c>
      <c r="F13" s="3" t="inlineStr">
        <is>
          <t>Dàn lót bổ trợ</t>
        </is>
      </c>
    </row>
    <row r="14">
      <c r="A14" s="2" t="inlineStr">
        <is>
          <t>Top 13</t>
        </is>
      </c>
      <c r="B14" s="2" t="inlineStr">
        <is>
          <t>02</t>
        </is>
      </c>
      <c r="C14" s="3" t="inlineStr">
        <is>
          <t>Tổng 2</t>
        </is>
      </c>
      <c r="D14" s="3" t="inlineStr">
        <is>
          <t>999 ngày</t>
        </is>
      </c>
      <c r="E14" s="3" t="inlineStr">
        <is>
          <t>1.0 điểm</t>
        </is>
      </c>
      <c r="F14" s="3" t="inlineStr">
        <is>
          <t>Dàn lót bổ trợ</t>
        </is>
      </c>
    </row>
    <row r="15">
      <c r="A15" s="2" t="inlineStr">
        <is>
          <t>Top 14</t>
        </is>
      </c>
      <c r="B15" s="2" t="inlineStr">
        <is>
          <t>20</t>
        </is>
      </c>
      <c r="C15" s="3" t="inlineStr">
        <is>
          <t>Tổng 2</t>
        </is>
      </c>
      <c r="D15" s="3" t="inlineStr">
        <is>
          <t>143 ngày</t>
        </is>
      </c>
      <c r="E15" s="3" t="inlineStr">
        <is>
          <t>1.0 điểm</t>
        </is>
      </c>
      <c r="F15" s="3" t="inlineStr">
        <is>
          <t>Dàn lót bổ trợ</t>
        </is>
      </c>
    </row>
    <row r="16">
      <c r="A16" s="2" t="inlineStr">
        <is>
          <t>Top 15</t>
        </is>
      </c>
      <c r="B16" s="2" t="inlineStr">
        <is>
          <t>98</t>
        </is>
      </c>
      <c r="C16" s="3" t="inlineStr">
        <is>
          <t>Tổng 7</t>
        </is>
      </c>
      <c r="D16" s="3" t="inlineStr">
        <is>
          <t>999 ngày</t>
        </is>
      </c>
      <c r="E16" s="3" t="inlineStr">
        <is>
          <t>1.0 điểm</t>
        </is>
      </c>
      <c r="F16" s="3" t="inlineStr">
        <is>
          <t>Dàn lót bổ trợ</t>
        </is>
      </c>
    </row>
    <row r="17">
      <c r="A17" s="2" t="inlineStr">
        <is>
          <t>Top 16</t>
        </is>
      </c>
      <c r="B17" s="2" t="inlineStr">
        <is>
          <t>48</t>
        </is>
      </c>
      <c r="C17" s="3" t="inlineStr">
        <is>
          <t>Tổng 2</t>
        </is>
      </c>
      <c r="D17" s="3" t="inlineStr">
        <is>
          <t>131 ngày</t>
        </is>
      </c>
      <c r="E17" s="3" t="inlineStr">
        <is>
          <t>1.0 điểm</t>
        </is>
      </c>
      <c r="F17" s="3" t="inlineStr">
        <is>
          <t>Dàn lót bổ trợ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4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13" customWidth="1" min="3" max="3"/>
    <col width="12" customWidth="1" min="4" max="4"/>
    <col width="12" customWidth="1" min="5" max="5"/>
    <col width="12" customWidth="1" min="6" max="6"/>
    <col width="41" customWidth="1" min="7" max="7"/>
    <col width="34" customWidth="1" min="8" max="8"/>
    <col width="26" customWidth="1" min="9" max="9"/>
    <col width="65" customWidth="1" min="10" max="10"/>
    <col width="17" customWidth="1" min="11" max="11"/>
    <col width="19" customWidth="1" min="12" max="12"/>
    <col width="24" customWidth="1" min="13" max="13"/>
    <col width="25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G7.1</t>
        </is>
      </c>
      <c r="D1" s="1" t="inlineStr">
        <is>
          <t>G7.2</t>
        </is>
      </c>
      <c r="E1" s="1" t="inlineStr">
        <is>
          <t>G7.3</t>
        </is>
      </c>
      <c r="F1" s="1" t="inlineStr">
        <is>
          <t>G7.4</t>
        </is>
      </c>
      <c r="G1" s="1" t="inlineStr">
        <is>
          <t>Tập Chạm G7</t>
        </is>
      </c>
      <c r="H1" s="1" t="inlineStr">
        <is>
          <t>Tổng/Bóng G7</t>
        </is>
      </c>
      <c r="I1" s="1" t="inlineStr">
        <is>
          <t>Tổng/Bóng Cầu Ghép Góc</t>
        </is>
      </c>
      <c r="J1" s="1" t="inlineStr">
        <is>
          <t>Dàn Giao Thoa (Chạm x Tổng)</t>
        </is>
      </c>
      <c r="K1" s="1" t="inlineStr">
        <is>
          <t>Số Đề Hôm Sau</t>
        </is>
      </c>
      <c r="L1" s="1" t="inlineStr">
        <is>
          <t>Kết Quả Chạm G7</t>
        </is>
      </c>
      <c r="M1" s="1" t="inlineStr">
        <is>
          <t>Kết Quả Cầu Ghép Góc</t>
        </is>
      </c>
      <c r="N1" s="1" t="inlineStr">
        <is>
          <t>Kết Quả Dàn Giao Thoa</t>
        </is>
      </c>
      <c r="O1" s="1" t="n"/>
      <c r="P1" s="1" t="n"/>
      <c r="Q1" s="1" t="n"/>
    </row>
    <row r="2">
      <c r="A2" s="4" t="inlineStr">
        <is>
          <t>BẢNG 1</t>
        </is>
      </c>
      <c r="B2" s="4" t="inlineStr">
        <is>
          <t>TỔNG QUAN 4 THUẬT TOÁN G7 NÂNG CAO 2026</t>
        </is>
      </c>
      <c r="C2" s="5" t="inlineStr">
        <is>
          <t>---</t>
        </is>
      </c>
      <c r="D2" s="5" t="inlineStr">
        <is>
          <t>---</t>
        </is>
      </c>
      <c r="E2" s="5" t="inlineStr">
        <is>
          <t>---</t>
        </is>
      </c>
      <c r="F2" s="5" t="inlineStr">
        <is>
          <t>---</t>
        </is>
      </c>
      <c r="G2" s="5" t="inlineStr">
        <is>
          <t>Mô Tả &amp; Kích Thước Dàn</t>
        </is>
      </c>
      <c r="H2" s="5" t="inlineStr">
        <is>
          <t>Số Lần Trúng</t>
        </is>
      </c>
      <c r="I2" s="5" t="inlineStr">
        <is>
          <t>Tỷ Lệ Trúng (%)</t>
        </is>
      </c>
      <c r="J2" s="5" t="inlineStr">
        <is>
          <t>Đánh Giá Khuyên Dùng</t>
        </is>
      </c>
      <c r="K2" s="5" t="inlineStr">
        <is>
          <t>---</t>
        </is>
      </c>
      <c r="L2" s="5" t="inlineStr">
        <is>
          <t>---</t>
        </is>
      </c>
      <c r="M2" s="5" t="inlineStr">
        <is>
          <t>---</t>
        </is>
      </c>
      <c r="N2" s="5" t="inlineStr">
        <is>
          <t>---</t>
        </is>
      </c>
      <c r="O2" s="5" t="n"/>
      <c r="P2" s="5" t="n"/>
      <c r="Q2" s="5" t="n"/>
    </row>
    <row r="3">
      <c r="A3" s="2" t="inlineStr">
        <is>
          <t>TT 1</t>
        </is>
      </c>
      <c r="B3" s="2" t="inlineStr">
        <is>
          <t>Thuật toán 1: Tổng Trực diện vs Tổng Bóng G7</t>
        </is>
      </c>
      <c r="C3" s="3" t="inlineStr">
        <is>
          <t>G7.1-G7.4</t>
        </is>
      </c>
      <c r="D3" s="3" t="inlineStr">
        <is>
          <t>---</t>
        </is>
      </c>
      <c r="E3" s="3" t="inlineStr">
        <is>
          <t>---</t>
        </is>
      </c>
      <c r="F3" s="3" t="inlineStr">
        <is>
          <t>---</t>
        </is>
      </c>
      <c r="G3" s="3" t="inlineStr">
        <is>
          <t>20 con / vị trí G7 (G7.3 Top 1)</t>
        </is>
      </c>
      <c r="H3" s="3" t="inlineStr">
        <is>
          <t>45 / 222 lần (G7.3)</t>
        </is>
      </c>
      <c r="I3" s="3" t="inlineStr">
        <is>
          <t>20.3%</t>
        </is>
      </c>
      <c r="J3" s="3" t="inlineStr">
        <is>
          <t>Bóng (42.3%) áp đảo Trực diện (26.1%). Ưu tiên G7.3 &amp; G7.2</t>
        </is>
      </c>
      <c r="K3" s="3" t="inlineStr">
        <is>
          <t>---</t>
        </is>
      </c>
      <c r="L3" s="3" t="inlineStr">
        <is>
          <t>---</t>
        </is>
      </c>
      <c r="M3" s="3" t="inlineStr">
        <is>
          <t>---</t>
        </is>
      </c>
      <c r="N3" s="3" t="inlineStr">
        <is>
          <t>---</t>
        </is>
      </c>
      <c r="O3" s="3" t="n"/>
      <c r="P3" s="3" t="n"/>
      <c r="Q3" s="3" t="n"/>
    </row>
    <row r="4">
      <c r="A4" s="2" t="inlineStr">
        <is>
          <t>TT 2</t>
        </is>
      </c>
      <c r="B4" s="2" t="inlineStr">
        <is>
          <t>Thuật toán 2: Màng Lọc Chạm G7 (Độ Phủ Cao)</t>
        </is>
      </c>
      <c r="C4" s="3" t="inlineStr">
        <is>
          <t>G7.1-G7.4</t>
        </is>
      </c>
      <c r="D4" s="3" t="inlineStr">
        <is>
          <t>---</t>
        </is>
      </c>
      <c r="E4" s="3" t="inlineStr">
        <is>
          <t>---</t>
        </is>
      </c>
      <c r="F4" s="3" t="inlineStr">
        <is>
          <t>---</t>
        </is>
      </c>
      <c r="G4" s="3" t="inlineStr">
        <is>
          <t>~50-60 con (6-7 chữ số chạm)</t>
        </is>
      </c>
      <c r="H4" s="3" t="inlineStr">
        <is>
          <t>202 / 238 ngày</t>
        </is>
      </c>
      <c r="I4" s="3" t="inlineStr">
        <is>
          <t>84.9%</t>
        </is>
      </c>
      <c r="J4" s="3" t="inlineStr">
        <is>
          <t>Độ phủ 84.7%. Màng lọc bắt buộc để hạ dàn nguyên liệu</t>
        </is>
      </c>
      <c r="K4" s="3" t="inlineStr">
        <is>
          <t>---</t>
        </is>
      </c>
      <c r="L4" s="3" t="inlineStr">
        <is>
          <t>---</t>
        </is>
      </c>
      <c r="M4" s="3" t="inlineStr">
        <is>
          <t>---</t>
        </is>
      </c>
      <c r="N4" s="3" t="inlineStr">
        <is>
          <t>---</t>
        </is>
      </c>
      <c r="O4" s="3" t="n"/>
      <c r="P4" s="3" t="n"/>
      <c r="Q4" s="3" t="n"/>
    </row>
    <row r="5">
      <c r="A5" s="2" t="inlineStr">
        <is>
          <t>TT 3</t>
        </is>
      </c>
      <c r="B5" s="2" t="inlineStr">
        <is>
          <t>Thuật toán 3: Cầu Ghép Góc (Đầu G7.1 + Đuôi G7.4)</t>
        </is>
      </c>
      <c r="C5" s="3" t="inlineStr">
        <is>
          <t>G7.1[0]</t>
        </is>
      </c>
      <c r="D5" s="3" t="inlineStr">
        <is>
          <t>---</t>
        </is>
      </c>
      <c r="E5" s="3" t="inlineStr">
        <is>
          <t>---</t>
        </is>
      </c>
      <c r="F5" s="3" t="inlineStr">
        <is>
          <t>G7.4[1]</t>
        </is>
      </c>
      <c r="G5" s="3" t="inlineStr">
        <is>
          <t>20 con (2 bộ Tổng/Bóng)</t>
        </is>
      </c>
      <c r="H5" s="3" t="inlineStr">
        <is>
          <t>50 / 238 ngày</t>
        </is>
      </c>
      <c r="I5" s="3" t="inlineStr">
        <is>
          <t>21.0%</t>
        </is>
      </c>
      <c r="J5" s="3" t="inlineStr">
        <is>
          <t>Cầu độc lập hiệu quả cao, nổ mạnh Thứ Hai &amp; Thứ Bảy (~29%)</t>
        </is>
      </c>
      <c r="K5" s="3" t="inlineStr">
        <is>
          <t>---</t>
        </is>
      </c>
      <c r="L5" s="3" t="inlineStr">
        <is>
          <t>---</t>
        </is>
      </c>
      <c r="M5" s="3" t="inlineStr">
        <is>
          <t>---</t>
        </is>
      </c>
      <c r="N5" s="3" t="inlineStr">
        <is>
          <t>---</t>
        </is>
      </c>
      <c r="O5" s="3" t="n"/>
      <c r="P5" s="3" t="n"/>
      <c r="Q5" s="3" t="n"/>
    </row>
    <row r="6">
      <c r="A6" s="2" t="inlineStr">
        <is>
          <t>TT 4</t>
        </is>
      </c>
      <c r="B6" s="2" t="inlineStr">
        <is>
          <t>Thuật toán 4: Dàn Giao Thoa Ép Cầu [Chạm x Tổng]</t>
        </is>
      </c>
      <c r="C6" s="3" t="inlineStr">
        <is>
          <t>G7.1-G7.4</t>
        </is>
      </c>
      <c r="D6" s="3" t="inlineStr">
        <is>
          <t>---</t>
        </is>
      </c>
      <c r="E6" s="3" t="inlineStr">
        <is>
          <t>---</t>
        </is>
      </c>
      <c r="F6" s="3" t="inlineStr">
        <is>
          <t>---</t>
        </is>
      </c>
      <c r="G6" s="3" t="inlineStr">
        <is>
          <t>~48 con (Giao giữa Chạm G7 &amp; Tổng G7)</t>
        </is>
      </c>
      <c r="H6" s="3" t="inlineStr">
        <is>
          <t>105 / 238 ngày</t>
        </is>
      </c>
      <c r="I6" s="3" t="inlineStr">
        <is>
          <t>44.1%</t>
        </is>
      </c>
      <c r="J6" s="3" t="inlineStr">
        <is>
          <t>Ép dàn cực đỉnh (~48 con) giữ tỷ lệ ăn 42.8%, nổ 56.2% Thứ Năm</t>
        </is>
      </c>
      <c r="K6" s="3" t="inlineStr">
        <is>
          <t>---</t>
        </is>
      </c>
      <c r="L6" s="3" t="inlineStr">
        <is>
          <t>---</t>
        </is>
      </c>
      <c r="M6" s="3" t="inlineStr">
        <is>
          <t>---</t>
        </is>
      </c>
      <c r="N6" s="3" t="inlineStr">
        <is>
          <t>---</t>
        </is>
      </c>
      <c r="O6" s="3" t="n"/>
      <c r="P6" s="3" t="n"/>
      <c r="Q6" s="3" t="n"/>
    </row>
    <row r="7">
      <c r="A7" s="4" t="inlineStr">
        <is>
          <t>BẢNG 2</t>
        </is>
      </c>
      <c r="B7" s="4" t="inlineStr">
        <is>
          <t>NHẬT KÝ KIỂM CHỨNG TỰ ĐỘNG THỰC TẾ 2026</t>
        </is>
      </c>
      <c r="C7" s="5" t="inlineStr">
        <is>
          <t>---</t>
        </is>
      </c>
      <c r="D7" s="5" t="inlineStr">
        <is>
          <t>---</t>
        </is>
      </c>
      <c r="E7" s="5" t="inlineStr">
        <is>
          <t>---</t>
        </is>
      </c>
      <c r="F7" s="5" t="inlineStr">
        <is>
          <t>---</t>
        </is>
      </c>
      <c r="G7" s="5" t="inlineStr">
        <is>
          <t>---</t>
        </is>
      </c>
      <c r="H7" s="5" t="inlineStr">
        <is>
          <t>---</t>
        </is>
      </c>
      <c r="I7" s="5" t="inlineStr">
        <is>
          <t>---</t>
        </is>
      </c>
      <c r="J7" s="5" t="inlineStr">
        <is>
          <t>---</t>
        </is>
      </c>
      <c r="K7" s="5" t="inlineStr">
        <is>
          <t>---</t>
        </is>
      </c>
      <c r="L7" s="5" t="inlineStr">
        <is>
          <t>---</t>
        </is>
      </c>
      <c r="M7" s="5" t="inlineStr">
        <is>
          <t>---</t>
        </is>
      </c>
      <c r="N7" s="5" t="inlineStr">
        <is>
          <t>---</t>
        </is>
      </c>
      <c r="O7" s="5" t="inlineStr">
        <is>
          <t>---</t>
        </is>
      </c>
      <c r="P7" s="5" t="inlineStr">
        <is>
          <t>---</t>
        </is>
      </c>
      <c r="Q7" s="5" t="inlineStr">
        <is>
          <t>---</t>
        </is>
      </c>
    </row>
    <row r="8">
      <c r="A8" s="2" t="n">
        <v>1</v>
      </c>
      <c r="B8" s="2" t="inlineStr">
        <is>
          <t>Thứ năm ngày 01-01-2026 (Thứ Năm)</t>
        </is>
      </c>
      <c r="C8" s="3" t="inlineStr">
        <is>
          <t>91</t>
        </is>
      </c>
      <c r="D8" s="3" t="inlineStr">
        <is>
          <t>25</t>
        </is>
      </c>
      <c r="E8" s="3" t="inlineStr">
        <is>
          <t>69</t>
        </is>
      </c>
      <c r="F8" s="3" t="inlineStr">
        <is>
          <t>67</t>
        </is>
      </c>
      <c r="G8" s="3" t="inlineStr">
        <is>
          <t>125679</t>
        </is>
      </c>
      <c r="H8" s="3" t="inlineStr">
        <is>
          <t>T0, T2, T3, T5, T7, T8</t>
        </is>
      </c>
      <c r="I8" s="3" t="inlineStr">
        <is>
          <t>T6-B1</t>
        </is>
      </c>
      <c r="J8" s="3" t="inlineStr">
        <is>
          <t>50 con</t>
        </is>
      </c>
      <c r="K8" s="3" t="inlineStr">
        <is>
          <t>48</t>
        </is>
      </c>
      <c r="L8" s="6" t="inlineStr">
        <is>
          <t>KHÔNG</t>
        </is>
      </c>
      <c r="M8" s="6" t="inlineStr">
        <is>
          <t>KHÔNG</t>
        </is>
      </c>
      <c r="N8" s="6" t="inlineStr">
        <is>
          <t>KHÔNG</t>
        </is>
      </c>
      <c r="O8" s="3" t="inlineStr">
        <is>
          <t>97 - 79</t>
        </is>
      </c>
      <c r="P8" s="3" t="inlineStr">
        <is>
          <t>0 nháy</t>
        </is>
      </c>
      <c r="Q8" s="3" t="inlineStr">
        <is>
          <t>10 nháy</t>
        </is>
      </c>
    </row>
    <row r="9">
      <c r="A9" s="2" t="n">
        <v>2</v>
      </c>
      <c r="B9" s="2" t="inlineStr">
        <is>
          <t>Thứ sáu ngày 02-01-2026 (Thứ Sáu)</t>
        </is>
      </c>
      <c r="C9" s="3" t="inlineStr">
        <is>
          <t>29</t>
        </is>
      </c>
      <c r="D9" s="3" t="inlineStr">
        <is>
          <t>24</t>
        </is>
      </c>
      <c r="E9" s="3" t="inlineStr">
        <is>
          <t>38</t>
        </is>
      </c>
      <c r="F9" s="3" t="inlineStr">
        <is>
          <t>22</t>
        </is>
      </c>
      <c r="G9" s="3" t="inlineStr">
        <is>
          <t>23489</t>
        </is>
      </c>
      <c r="H9" s="3" t="inlineStr">
        <is>
          <t>T1, T4, T6, T9</t>
        </is>
      </c>
      <c r="I9" s="3" t="inlineStr">
        <is>
          <t>T4-B9</t>
        </is>
      </c>
      <c r="J9" s="3" t="inlineStr">
        <is>
          <t>31 con</t>
        </is>
      </c>
      <c r="K9" s="3" t="inlineStr">
        <is>
          <t>49</t>
        </is>
      </c>
      <c r="L9" s="7" t="inlineStr">
        <is>
          <t>TRÚNG</t>
        </is>
      </c>
      <c r="M9" s="6" t="inlineStr">
        <is>
          <t>KHÔNG</t>
        </is>
      </c>
      <c r="N9" s="6" t="inlineStr">
        <is>
          <t>KHÔNG</t>
        </is>
      </c>
      <c r="O9" s="3" t="inlineStr">
        <is>
          <t>22</t>
        </is>
      </c>
      <c r="P9" s="3" t="inlineStr">
        <is>
          <t>0 nháy</t>
        </is>
      </c>
      <c r="Q9" s="3" t="inlineStr">
        <is>
          <t>8 nháy</t>
        </is>
      </c>
    </row>
    <row r="10">
      <c r="A10" s="2" t="n">
        <v>3</v>
      </c>
      <c r="B10" s="2" t="inlineStr">
        <is>
          <t>Thứ bảy ngày 03-01-2026 (Thứ Bảy)</t>
        </is>
      </c>
      <c r="C10" s="3" t="inlineStr">
        <is>
          <t>46</t>
        </is>
      </c>
      <c r="D10" s="3" t="inlineStr">
        <is>
          <t>33</t>
        </is>
      </c>
      <c r="E10" s="3" t="inlineStr">
        <is>
          <t>92</t>
        </is>
      </c>
      <c r="F10" s="3" t="inlineStr">
        <is>
          <t>48</t>
        </is>
      </c>
      <c r="G10" s="3" t="inlineStr">
        <is>
          <t>234689</t>
        </is>
      </c>
      <c r="H10" s="3" t="inlineStr">
        <is>
          <t>T0, T1, T2, T5, T6, T7</t>
        </is>
      </c>
      <c r="I10" s="3" t="inlineStr">
        <is>
          <t>T2-B7</t>
        </is>
      </c>
      <c r="J10" s="3" t="inlineStr">
        <is>
          <t>47 con</t>
        </is>
      </c>
      <c r="K10" s="3" t="inlineStr">
        <is>
          <t>97</t>
        </is>
      </c>
      <c r="L10" s="7" t="inlineStr">
        <is>
          <t>TRÚNG</t>
        </is>
      </c>
      <c r="M10" s="6" t="inlineStr">
        <is>
          <t>KHÔNG</t>
        </is>
      </c>
      <c r="N10" s="7" t="inlineStr">
        <is>
          <t>TRÚNG</t>
        </is>
      </c>
      <c r="O10" s="3" t="inlineStr">
        <is>
          <t>48 - 84</t>
        </is>
      </c>
      <c r="P10" s="3" t="inlineStr">
        <is>
          <t>2 nháy 🎯</t>
        </is>
      </c>
      <c r="Q10" s="3" t="inlineStr">
        <is>
          <t>13 nháy</t>
        </is>
      </c>
    </row>
    <row r="11">
      <c r="A11" s="2" t="n">
        <v>4</v>
      </c>
      <c r="B11" s="2" t="inlineStr">
        <is>
          <t>Chủ nhật ngày 04-01-2026 (Chủ Nhật)</t>
        </is>
      </c>
      <c r="C11" s="3" t="inlineStr">
        <is>
          <t>68</t>
        </is>
      </c>
      <c r="D11" s="3" t="inlineStr">
        <is>
          <t>34</t>
        </is>
      </c>
      <c r="E11" s="3" t="inlineStr">
        <is>
          <t>77</t>
        </is>
      </c>
      <c r="F11" s="3" t="inlineStr">
        <is>
          <t>25</t>
        </is>
      </c>
      <c r="G11" s="3" t="inlineStr">
        <is>
          <t>2345678</t>
        </is>
      </c>
      <c r="H11" s="3" t="inlineStr">
        <is>
          <t>T2, T4, T7, T9</t>
        </is>
      </c>
      <c r="I11" s="3" t="inlineStr">
        <is>
          <t>T1-B6</t>
        </is>
      </c>
      <c r="J11" s="3" t="inlineStr">
        <is>
          <t>37 con</t>
        </is>
      </c>
      <c r="K11" s="3" t="inlineStr">
        <is>
          <t>05</t>
        </is>
      </c>
      <c r="L11" s="7" t="inlineStr">
        <is>
          <t>TRÚNG</t>
        </is>
      </c>
      <c r="M11" s="6" t="inlineStr">
        <is>
          <t>KHÔNG</t>
        </is>
      </c>
      <c r="N11" s="6" t="inlineStr">
        <is>
          <t>KHÔNG</t>
        </is>
      </c>
      <c r="O11" s="3" t="inlineStr">
        <is>
          <t>65 - 56</t>
        </is>
      </c>
      <c r="P11" s="3" t="inlineStr">
        <is>
          <t>1 nháy 🎯</t>
        </is>
      </c>
      <c r="Q11" s="3" t="inlineStr">
        <is>
          <t>11 nháy</t>
        </is>
      </c>
    </row>
    <row r="12">
      <c r="A12" s="2" t="n">
        <v>5</v>
      </c>
      <c r="B12" s="2" t="inlineStr">
        <is>
          <t>Thứ hai ngày 05-01-2026 (Thứ Hai)</t>
        </is>
      </c>
      <c r="C12" s="3" t="inlineStr">
        <is>
          <t>47</t>
        </is>
      </c>
      <c r="D12" s="3" t="inlineStr">
        <is>
          <t>43</t>
        </is>
      </c>
      <c r="E12" s="3" t="inlineStr">
        <is>
          <t>65</t>
        </is>
      </c>
      <c r="F12" s="3" t="inlineStr">
        <is>
          <t>27</t>
        </is>
      </c>
      <c r="G12" s="3" t="inlineStr">
        <is>
          <t>234567</t>
        </is>
      </c>
      <c r="H12" s="3" t="inlineStr">
        <is>
          <t>T1, T2, T4, T6, T7, T9</t>
        </is>
      </c>
      <c r="I12" s="3" t="inlineStr">
        <is>
          <t>T1-B6</t>
        </is>
      </c>
      <c r="J12" s="3" t="inlineStr">
        <is>
          <t>50 con</t>
        </is>
      </c>
      <c r="K12" s="3" t="inlineStr">
        <is>
          <t>47</t>
        </is>
      </c>
      <c r="L12" s="7" t="inlineStr">
        <is>
          <t>TRÚNG</t>
        </is>
      </c>
      <c r="M12" s="7" t="inlineStr">
        <is>
          <t>TRÚNG</t>
        </is>
      </c>
      <c r="N12" s="7" t="inlineStr">
        <is>
          <t>TRÚNG</t>
        </is>
      </c>
      <c r="O12" s="3" t="inlineStr">
        <is>
          <t>47 - 74</t>
        </is>
      </c>
      <c r="P12" s="3" t="inlineStr">
        <is>
          <t>1 nháy 🎯</t>
        </is>
      </c>
      <c r="Q12" s="3" t="inlineStr">
        <is>
          <t>13 nháy</t>
        </is>
      </c>
    </row>
    <row r="13">
      <c r="A13" s="2" t="n">
        <v>6</v>
      </c>
      <c r="B13" s="2" t="inlineStr">
        <is>
          <t>Thứ ba ngày 06-01-2026 (Thứ Ba)</t>
        </is>
      </c>
      <c r="C13" s="3" t="inlineStr">
        <is>
          <t>50</t>
        </is>
      </c>
      <c r="D13" s="3" t="inlineStr">
        <is>
          <t>10</t>
        </is>
      </c>
      <c r="E13" s="3" t="inlineStr">
        <is>
          <t>65</t>
        </is>
      </c>
      <c r="F13" s="3" t="inlineStr">
        <is>
          <t>12</t>
        </is>
      </c>
      <c r="G13" s="3" t="inlineStr">
        <is>
          <t>01256</t>
        </is>
      </c>
      <c r="H13" s="3" t="inlineStr">
        <is>
          <t>T0, T1, T3, T5, T6, T8</t>
        </is>
      </c>
      <c r="I13" s="3" t="inlineStr">
        <is>
          <t>T7-B2</t>
        </is>
      </c>
      <c r="J13" s="3" t="inlineStr">
        <is>
          <t>44 con</t>
        </is>
      </c>
      <c r="K13" s="3" t="inlineStr">
        <is>
          <t>89</t>
        </is>
      </c>
      <c r="L13" s="6" t="inlineStr">
        <is>
          <t>KHÔNG</t>
        </is>
      </c>
      <c r="M13" s="7" t="inlineStr">
        <is>
          <t>TRÚNG</t>
        </is>
      </c>
      <c r="N13" s="6" t="inlineStr">
        <is>
          <t>KHÔNG</t>
        </is>
      </c>
      <c r="O13" s="3" t="inlineStr">
        <is>
          <t>52 - 25</t>
        </is>
      </c>
      <c r="P13" s="3" t="inlineStr">
        <is>
          <t>0 nháy</t>
        </is>
      </c>
      <c r="Q13" s="3" t="inlineStr">
        <is>
          <t>11 nháy</t>
        </is>
      </c>
    </row>
    <row r="14">
      <c r="A14" s="2" t="n">
        <v>7</v>
      </c>
      <c r="B14" s="2" t="inlineStr">
        <is>
          <t>Thứ tư ngày 07-01-2026 (Thứ Tư)</t>
        </is>
      </c>
      <c r="C14" s="3" t="inlineStr">
        <is>
          <t>39</t>
        </is>
      </c>
      <c r="D14" s="3" t="inlineStr">
        <is>
          <t>64</t>
        </is>
      </c>
      <c r="E14" s="3" t="inlineStr">
        <is>
          <t>24</t>
        </is>
      </c>
      <c r="F14" s="3" t="inlineStr">
        <is>
          <t>57</t>
        </is>
      </c>
      <c r="G14" s="3" t="inlineStr">
        <is>
          <t>2345679</t>
        </is>
      </c>
      <c r="H14" s="3" t="inlineStr">
        <is>
          <t>T0, T1, T2, T5, T6, T7</t>
        </is>
      </c>
      <c r="I14" s="3" t="inlineStr">
        <is>
          <t>T0-B5</t>
        </is>
      </c>
      <c r="J14" s="3" t="inlineStr">
        <is>
          <t>55 con</t>
        </is>
      </c>
      <c r="K14" s="3" t="inlineStr">
        <is>
          <t>62</t>
        </is>
      </c>
      <c r="L14" s="7" t="inlineStr">
        <is>
          <t>TRÚNG</t>
        </is>
      </c>
      <c r="M14" s="6" t="inlineStr">
        <is>
          <t>KHÔNG</t>
        </is>
      </c>
      <c r="N14" s="6" t="inlineStr">
        <is>
          <t>KHÔNG</t>
        </is>
      </c>
      <c r="O14" s="3" t="inlineStr">
        <is>
          <t>37 - 73</t>
        </is>
      </c>
      <c r="P14" s="3" t="inlineStr">
        <is>
          <t>1 nháy 🎯</t>
        </is>
      </c>
      <c r="Q14" s="3" t="inlineStr">
        <is>
          <t>11 nháy</t>
        </is>
      </c>
    </row>
    <row r="15">
      <c r="A15" s="2" t="n">
        <v>8</v>
      </c>
      <c r="B15" s="2" t="inlineStr">
        <is>
          <t>Thứ năm ngày 08-01-2026 (Thứ Năm)</t>
        </is>
      </c>
      <c r="C15" s="3" t="inlineStr">
        <is>
          <t>54</t>
        </is>
      </c>
      <c r="D15" s="3" t="inlineStr">
        <is>
          <t>88</t>
        </is>
      </c>
      <c r="E15" s="3" t="inlineStr">
        <is>
          <t>82</t>
        </is>
      </c>
      <c r="F15" s="3" t="inlineStr">
        <is>
          <t>13</t>
        </is>
      </c>
      <c r="G15" s="3" t="inlineStr">
        <is>
          <t>123458</t>
        </is>
      </c>
      <c r="H15" s="3" t="inlineStr">
        <is>
          <t>T0, T1, T4, T5, T6, T9</t>
        </is>
      </c>
      <c r="I15" s="3" t="inlineStr">
        <is>
          <t>T8-B3</t>
        </is>
      </c>
      <c r="J15" s="3" t="inlineStr">
        <is>
          <t>50 con</t>
        </is>
      </c>
      <c r="K15" s="3" t="inlineStr">
        <is>
          <t>23</t>
        </is>
      </c>
      <c r="L15" s="7" t="inlineStr">
        <is>
          <t>TRÚNG</t>
        </is>
      </c>
      <c r="M15" s="6" t="inlineStr">
        <is>
          <t>KHÔNG</t>
        </is>
      </c>
      <c r="N15" s="7" t="inlineStr">
        <is>
          <t>TRÚNG</t>
        </is>
      </c>
      <c r="O15" s="3" t="inlineStr">
        <is>
          <t>53 - 35</t>
        </is>
      </c>
      <c r="P15" s="3" t="inlineStr">
        <is>
          <t>0 nháy</t>
        </is>
      </c>
      <c r="Q15" s="3" t="inlineStr">
        <is>
          <t>14 nháy</t>
        </is>
      </c>
    </row>
    <row r="16">
      <c r="A16" s="2" t="n">
        <v>9</v>
      </c>
      <c r="B16" s="2" t="inlineStr">
        <is>
          <t>Thứ sáu ngày 09-01-2026 (Thứ Sáu)</t>
        </is>
      </c>
      <c r="C16" s="3" t="inlineStr">
        <is>
          <t>47</t>
        </is>
      </c>
      <c r="D16" s="3" t="inlineStr">
        <is>
          <t>87</t>
        </is>
      </c>
      <c r="E16" s="3" t="inlineStr">
        <is>
          <t>52</t>
        </is>
      </c>
      <c r="F16" s="3" t="inlineStr">
        <is>
          <t>46</t>
        </is>
      </c>
      <c r="G16" s="3" t="inlineStr">
        <is>
          <t>245678</t>
        </is>
      </c>
      <c r="H16" s="3" t="inlineStr">
        <is>
          <t>T0, T1, T2, T5, T6, T7</t>
        </is>
      </c>
      <c r="I16" s="3" t="inlineStr">
        <is>
          <t>T0-B5</t>
        </is>
      </c>
      <c r="J16" s="3" t="inlineStr">
        <is>
          <t>51 con</t>
        </is>
      </c>
      <c r="K16" s="3" t="inlineStr">
        <is>
          <t>93</t>
        </is>
      </c>
      <c r="L16" s="6" t="inlineStr">
        <is>
          <t>KHÔNG</t>
        </is>
      </c>
      <c r="M16" s="6" t="inlineStr">
        <is>
          <t>KHÔNG</t>
        </is>
      </c>
      <c r="N16" s="6" t="inlineStr">
        <is>
          <t>KHÔNG</t>
        </is>
      </c>
      <c r="O16" s="3" t="inlineStr">
        <is>
          <t>46 - 64</t>
        </is>
      </c>
      <c r="P16" s="3" t="inlineStr">
        <is>
          <t>0 nháy</t>
        </is>
      </c>
      <c r="Q16" s="3" t="inlineStr">
        <is>
          <t>11 nháy</t>
        </is>
      </c>
    </row>
    <row r="17">
      <c r="A17" s="2" t="n">
        <v>10</v>
      </c>
      <c r="B17" s="2" t="inlineStr">
        <is>
          <t>Thứ bảy ngày 10-01-2026 (Thứ Bảy)</t>
        </is>
      </c>
      <c r="C17" s="3" t="inlineStr">
        <is>
          <t>70</t>
        </is>
      </c>
      <c r="D17" s="3" t="inlineStr">
        <is>
          <t>45</t>
        </is>
      </c>
      <c r="E17" s="3" t="inlineStr">
        <is>
          <t>14</t>
        </is>
      </c>
      <c r="F17" s="3" t="inlineStr">
        <is>
          <t>13</t>
        </is>
      </c>
      <c r="G17" s="3" t="inlineStr">
        <is>
          <t>013457</t>
        </is>
      </c>
      <c r="H17" s="3" t="inlineStr">
        <is>
          <t>T0, T2, T4, T5, T7, T9</t>
        </is>
      </c>
      <c r="I17" s="3" t="inlineStr">
        <is>
          <t>T0-B5</t>
        </is>
      </c>
      <c r="J17" s="3" t="inlineStr">
        <is>
          <t>50 con</t>
        </is>
      </c>
      <c r="K17" s="3" t="inlineStr">
        <is>
          <t>38</t>
        </is>
      </c>
      <c r="L17" s="7" t="inlineStr">
        <is>
          <t>TRÚNG</t>
        </is>
      </c>
      <c r="M17" s="6" t="inlineStr">
        <is>
          <t>KHÔNG</t>
        </is>
      </c>
      <c r="N17" s="6" t="inlineStr">
        <is>
          <t>KHÔNG</t>
        </is>
      </c>
      <c r="O17" s="3" t="inlineStr">
        <is>
          <t>73 - 37</t>
        </is>
      </c>
      <c r="P17" s="3" t="inlineStr">
        <is>
          <t>1 nháy 🎯</t>
        </is>
      </c>
      <c r="Q17" s="3" t="inlineStr">
        <is>
          <t>14 nháy</t>
        </is>
      </c>
    </row>
    <row r="18">
      <c r="A18" s="2" t="n">
        <v>11</v>
      </c>
      <c r="B18" s="2" t="inlineStr">
        <is>
          <t>Chủ nhật ngày 11-01-2026 (Chủ Nhật)</t>
        </is>
      </c>
      <c r="C18" s="3" t="inlineStr">
        <is>
          <t>70</t>
        </is>
      </c>
      <c r="D18" s="3" t="inlineStr">
        <is>
          <t>95</t>
        </is>
      </c>
      <c r="E18" s="3" t="inlineStr">
        <is>
          <t>10</t>
        </is>
      </c>
      <c r="F18" s="3" t="inlineStr">
        <is>
          <t>43</t>
        </is>
      </c>
      <c r="G18" s="3" t="inlineStr">
        <is>
          <t>0134579</t>
        </is>
      </c>
      <c r="H18" s="3" t="inlineStr">
        <is>
          <t>T1, T2, T4, T6, T7, T9</t>
        </is>
      </c>
      <c r="I18" s="3" t="inlineStr">
        <is>
          <t>T0-B5</t>
        </is>
      </c>
      <c r="J18" s="3" t="inlineStr">
        <is>
          <t>55 con</t>
        </is>
      </c>
      <c r="K18" s="3" t="inlineStr">
        <is>
          <t>94</t>
        </is>
      </c>
      <c r="L18" s="7" t="inlineStr">
        <is>
          <t>TRÚNG</t>
        </is>
      </c>
      <c r="M18" s="6" t="inlineStr">
        <is>
          <t>KHÔNG</t>
        </is>
      </c>
      <c r="N18" s="6" t="inlineStr">
        <is>
          <t>KHÔNG</t>
        </is>
      </c>
      <c r="O18" s="3" t="inlineStr">
        <is>
          <t>73 - 37</t>
        </is>
      </c>
      <c r="P18" s="3" t="inlineStr">
        <is>
          <t>1 nháy 🎯</t>
        </is>
      </c>
      <c r="Q18" s="3" t="inlineStr">
        <is>
          <t>18 nháy</t>
        </is>
      </c>
    </row>
    <row r="19">
      <c r="A19" s="2" t="n">
        <v>12</v>
      </c>
      <c r="B19" s="2" t="inlineStr">
        <is>
          <t>Thứ hai ngày 12-01-2026 (Thứ Hai)</t>
        </is>
      </c>
      <c r="C19" s="3" t="inlineStr">
        <is>
          <t>31</t>
        </is>
      </c>
      <c r="D19" s="3" t="inlineStr">
        <is>
          <t>34</t>
        </is>
      </c>
      <c r="E19" s="3" t="inlineStr">
        <is>
          <t>20</t>
        </is>
      </c>
      <c r="F19" s="3" t="inlineStr">
        <is>
          <t>42</t>
        </is>
      </c>
      <c r="G19" s="3" t="inlineStr">
        <is>
          <t>01234</t>
        </is>
      </c>
      <c r="H19" s="3" t="inlineStr">
        <is>
          <t>T1, T2, T4, T6, T7, T9</t>
        </is>
      </c>
      <c r="I19" s="3" t="inlineStr">
        <is>
          <t>T5-B0</t>
        </is>
      </c>
      <c r="J19" s="3" t="inlineStr">
        <is>
          <t>45 con</t>
        </is>
      </c>
      <c r="K19" s="3" t="inlineStr">
        <is>
          <t>27</t>
        </is>
      </c>
      <c r="L19" s="7" t="inlineStr">
        <is>
          <t>TRÚNG</t>
        </is>
      </c>
      <c r="M19" s="6" t="inlineStr">
        <is>
          <t>KHÔNG</t>
        </is>
      </c>
      <c r="N19" s="7" t="inlineStr">
        <is>
          <t>TRÚNG</t>
        </is>
      </c>
      <c r="O19" s="3" t="inlineStr">
        <is>
          <t>32 - 23</t>
        </is>
      </c>
      <c r="P19" s="3" t="inlineStr">
        <is>
          <t>0 nháy</t>
        </is>
      </c>
      <c r="Q19" s="3" t="inlineStr">
        <is>
          <t>12 nháy</t>
        </is>
      </c>
    </row>
    <row r="20">
      <c r="A20" s="2" t="n">
        <v>13</v>
      </c>
      <c r="B20" s="2" t="inlineStr">
        <is>
          <t>Thứ ba ngày 13-01-2026 (Thứ Ba)</t>
        </is>
      </c>
      <c r="C20" s="3" t="inlineStr">
        <is>
          <t>82</t>
        </is>
      </c>
      <c r="D20" s="3" t="inlineStr">
        <is>
          <t>24</t>
        </is>
      </c>
      <c r="E20" s="3" t="inlineStr">
        <is>
          <t>25</t>
        </is>
      </c>
      <c r="F20" s="3" t="inlineStr">
        <is>
          <t>16</t>
        </is>
      </c>
      <c r="G20" s="3" t="inlineStr">
        <is>
          <t>124568</t>
        </is>
      </c>
      <c r="H20" s="3" t="inlineStr">
        <is>
          <t>T0, T1, T2, T5, T6, T7</t>
        </is>
      </c>
      <c r="I20" s="3" t="inlineStr">
        <is>
          <t>T4-B9</t>
        </is>
      </c>
      <c r="J20" s="3" t="inlineStr">
        <is>
          <t>50 con</t>
        </is>
      </c>
      <c r="K20" s="3" t="inlineStr">
        <is>
          <t>17</t>
        </is>
      </c>
      <c r="L20" s="7" t="inlineStr">
        <is>
          <t>TRÚNG</t>
        </is>
      </c>
      <c r="M20" s="6" t="inlineStr">
        <is>
          <t>KHÔNG</t>
        </is>
      </c>
      <c r="N20" s="6" t="inlineStr">
        <is>
          <t>KHÔNG</t>
        </is>
      </c>
      <c r="O20" s="3" t="inlineStr">
        <is>
          <t>86 - 68</t>
        </is>
      </c>
      <c r="P20" s="3" t="inlineStr">
        <is>
          <t>0 nháy</t>
        </is>
      </c>
      <c r="Q20" s="3" t="inlineStr">
        <is>
          <t>14 nháy</t>
        </is>
      </c>
    </row>
    <row r="21">
      <c r="A21" s="2" t="n">
        <v>14</v>
      </c>
      <c r="B21" s="2" t="inlineStr">
        <is>
          <t>Thứ tư ngày 14-01-2026 (Thứ Tư)</t>
        </is>
      </c>
      <c r="C21" s="3" t="inlineStr">
        <is>
          <t>15</t>
        </is>
      </c>
      <c r="D21" s="3" t="inlineStr">
        <is>
          <t>99</t>
        </is>
      </c>
      <c r="E21" s="3" t="inlineStr">
        <is>
          <t>52</t>
        </is>
      </c>
      <c r="F21" s="3" t="inlineStr">
        <is>
          <t>55</t>
        </is>
      </c>
      <c r="G21" s="3" t="inlineStr">
        <is>
          <t>1259</t>
        </is>
      </c>
      <c r="H21" s="3" t="inlineStr">
        <is>
          <t>T0, T1, T2, T3, T5, T6, T7, T8</t>
        </is>
      </c>
      <c r="I21" s="3" t="inlineStr">
        <is>
          <t>T6-B1</t>
        </is>
      </c>
      <c r="J21" s="3" t="inlineStr">
        <is>
          <t>51 con</t>
        </is>
      </c>
      <c r="K21" s="3" t="inlineStr">
        <is>
          <t>22</t>
        </is>
      </c>
      <c r="L21" s="7" t="inlineStr">
        <is>
          <t>TRÚNG</t>
        </is>
      </c>
      <c r="M21" s="6" t="inlineStr">
        <is>
          <t>KHÔNG</t>
        </is>
      </c>
      <c r="N21" s="6" t="inlineStr">
        <is>
          <t>KHÔNG</t>
        </is>
      </c>
      <c r="O21" s="3" t="inlineStr">
        <is>
          <t>15 - 51</t>
        </is>
      </c>
      <c r="P21" s="3" t="inlineStr">
        <is>
          <t>0 nháy</t>
        </is>
      </c>
      <c r="Q21" s="3" t="inlineStr">
        <is>
          <t>17 nháy</t>
        </is>
      </c>
    </row>
    <row r="22">
      <c r="A22" s="2" t="n">
        <v>15</v>
      </c>
      <c r="B22" s="2" t="inlineStr">
        <is>
          <t>Thứ năm ngày 15-01-2026 (Thứ Năm)</t>
        </is>
      </c>
      <c r="C22" s="3" t="inlineStr">
        <is>
          <t>21</t>
        </is>
      </c>
      <c r="D22" s="3" t="inlineStr">
        <is>
          <t>00</t>
        </is>
      </c>
      <c r="E22" s="3" t="inlineStr">
        <is>
          <t>14</t>
        </is>
      </c>
      <c r="F22" s="3" t="inlineStr">
        <is>
          <t>71</t>
        </is>
      </c>
      <c r="G22" s="3" t="inlineStr">
        <is>
          <t>01247</t>
        </is>
      </c>
      <c r="H22" s="3" t="inlineStr">
        <is>
          <t>T0, T3, T5, T8</t>
        </is>
      </c>
      <c r="I22" s="3" t="inlineStr">
        <is>
          <t>T3-B8</t>
        </is>
      </c>
      <c r="J22" s="3" t="inlineStr">
        <is>
          <t>32 con</t>
        </is>
      </c>
      <c r="K22" s="3" t="inlineStr">
        <is>
          <t>28</t>
        </is>
      </c>
      <c r="L22" s="7" t="inlineStr">
        <is>
          <t>TRÚNG</t>
        </is>
      </c>
      <c r="M22" s="6" t="inlineStr">
        <is>
          <t>KHÔNG</t>
        </is>
      </c>
      <c r="N22" s="7" t="inlineStr">
        <is>
          <t>TRÚNG</t>
        </is>
      </c>
      <c r="O22" s="3" t="inlineStr">
        <is>
          <t>21 - 12</t>
        </is>
      </c>
      <c r="P22" s="3" t="inlineStr">
        <is>
          <t>0 nháy</t>
        </is>
      </c>
      <c r="Q22" s="3" t="inlineStr">
        <is>
          <t>12 nháy</t>
        </is>
      </c>
    </row>
    <row r="23">
      <c r="A23" s="2" t="n">
        <v>16</v>
      </c>
      <c r="B23" s="2" t="inlineStr">
        <is>
          <t>Thứ sáu ngày 16-01-2026 (Thứ Sáu)</t>
        </is>
      </c>
      <c r="C23" s="3" t="inlineStr">
        <is>
          <t>94</t>
        </is>
      </c>
      <c r="D23" s="3" t="inlineStr">
        <is>
          <t>79</t>
        </is>
      </c>
      <c r="E23" s="3" t="inlineStr">
        <is>
          <t>33</t>
        </is>
      </c>
      <c r="F23" s="3" t="inlineStr">
        <is>
          <t>40</t>
        </is>
      </c>
      <c r="G23" s="3" t="inlineStr">
        <is>
          <t>03479</t>
        </is>
      </c>
      <c r="H23" s="3" t="inlineStr">
        <is>
          <t>T1, T3, T4, T6, T8, T9</t>
        </is>
      </c>
      <c r="I23" s="3" t="inlineStr">
        <is>
          <t>T9-B4</t>
        </is>
      </c>
      <c r="J23" s="3" t="inlineStr">
        <is>
          <t>44 con</t>
        </is>
      </c>
      <c r="K23" s="3" t="inlineStr">
        <is>
          <t>24</t>
        </is>
      </c>
      <c r="L23" s="7" t="inlineStr">
        <is>
          <t>TRÚNG</t>
        </is>
      </c>
      <c r="M23" s="6" t="inlineStr">
        <is>
          <t>KHÔNG</t>
        </is>
      </c>
      <c r="N23" s="7" t="inlineStr">
        <is>
          <t>TRÚNG</t>
        </is>
      </c>
      <c r="O23" s="3" t="inlineStr">
        <is>
          <t>90 - 09</t>
        </is>
      </c>
      <c r="P23" s="3" t="inlineStr">
        <is>
          <t>0 nháy</t>
        </is>
      </c>
      <c r="Q23" s="3" t="inlineStr">
        <is>
          <t>8 nháy</t>
        </is>
      </c>
    </row>
    <row r="24">
      <c r="A24" s="2" t="n">
        <v>17</v>
      </c>
      <c r="B24" s="2" t="inlineStr">
        <is>
          <t>Thứ bảy ngày 17-01-2026 (Thứ Bảy)</t>
        </is>
      </c>
      <c r="C24" s="3" t="inlineStr">
        <is>
          <t>54</t>
        </is>
      </c>
      <c r="D24" s="3" t="inlineStr">
        <is>
          <t>43</t>
        </is>
      </c>
      <c r="E24" s="3" t="inlineStr">
        <is>
          <t>74</t>
        </is>
      </c>
      <c r="F24" s="3" t="inlineStr">
        <is>
          <t>64</t>
        </is>
      </c>
      <c r="G24" s="3" t="inlineStr">
        <is>
          <t>34567</t>
        </is>
      </c>
      <c r="H24" s="3" t="inlineStr">
        <is>
          <t>T0, T1, T2, T4, T5, T6, T7, T9</t>
        </is>
      </c>
      <c r="I24" s="3" t="inlineStr">
        <is>
          <t>T9-B4</t>
        </is>
      </c>
      <c r="J24" s="3" t="inlineStr">
        <is>
          <t>60 con</t>
        </is>
      </c>
      <c r="K24" s="3" t="inlineStr">
        <is>
          <t>51</t>
        </is>
      </c>
      <c r="L24" s="7" t="inlineStr">
        <is>
          <t>TRÚNG</t>
        </is>
      </c>
      <c r="M24" s="6" t="inlineStr">
        <is>
          <t>KHÔNG</t>
        </is>
      </c>
      <c r="N24" s="7" t="inlineStr">
        <is>
          <t>TRÚNG</t>
        </is>
      </c>
      <c r="O24" s="3" t="inlineStr">
        <is>
          <t>54 - 45</t>
        </is>
      </c>
      <c r="P24" s="3" t="inlineStr">
        <is>
          <t>0 nháy</t>
        </is>
      </c>
      <c r="Q24" s="3" t="inlineStr">
        <is>
          <t>14 nháy</t>
        </is>
      </c>
    </row>
    <row r="25">
      <c r="A25" s="2" t="n">
        <v>18</v>
      </c>
      <c r="B25" s="2" t="inlineStr">
        <is>
          <t>Chủ nhật ngày 18-01-2026 (Chủ Nhật)</t>
        </is>
      </c>
      <c r="C25" s="3" t="inlineStr">
        <is>
          <t>94</t>
        </is>
      </c>
      <c r="D25" s="3" t="inlineStr">
        <is>
          <t>16</t>
        </is>
      </c>
      <c r="E25" s="3" t="inlineStr">
        <is>
          <t>52</t>
        </is>
      </c>
      <c r="F25" s="3" t="inlineStr">
        <is>
          <t>25</t>
        </is>
      </c>
      <c r="G25" s="3" t="inlineStr">
        <is>
          <t>124569</t>
        </is>
      </c>
      <c r="H25" s="3" t="inlineStr">
        <is>
          <t>T2, T3, T7, T8</t>
        </is>
      </c>
      <c r="I25" s="3" t="inlineStr">
        <is>
          <t>T4-B9</t>
        </is>
      </c>
      <c r="J25" s="3" t="inlineStr">
        <is>
          <t>34 con</t>
        </is>
      </c>
      <c r="K25" s="3" t="inlineStr">
        <is>
          <t>86</t>
        </is>
      </c>
      <c r="L25" s="7" t="inlineStr">
        <is>
          <t>TRÚNG</t>
        </is>
      </c>
      <c r="M25" s="7" t="inlineStr">
        <is>
          <t>TRÚNG</t>
        </is>
      </c>
      <c r="N25" s="6" t="inlineStr">
        <is>
          <t>KHÔNG</t>
        </is>
      </c>
      <c r="O25" s="3" t="inlineStr">
        <is>
          <t>95 - 59</t>
        </is>
      </c>
      <c r="P25" s="3" t="inlineStr">
        <is>
          <t>1 nháy 🎯</t>
        </is>
      </c>
      <c r="Q25" s="3" t="inlineStr">
        <is>
          <t>7 nháy</t>
        </is>
      </c>
    </row>
    <row r="26">
      <c r="A26" s="2" t="n">
        <v>19</v>
      </c>
      <c r="B26" s="2" t="inlineStr">
        <is>
          <t>Thứ hai ngày 19-01-2026 (Thứ Hai)</t>
        </is>
      </c>
      <c r="C26" s="3" t="inlineStr">
        <is>
          <t>23</t>
        </is>
      </c>
      <c r="D26" s="3" t="inlineStr">
        <is>
          <t>29</t>
        </is>
      </c>
      <c r="E26" s="3" t="inlineStr">
        <is>
          <t>24</t>
        </is>
      </c>
      <c r="F26" s="3" t="inlineStr">
        <is>
          <t>53</t>
        </is>
      </c>
      <c r="G26" s="3" t="inlineStr">
        <is>
          <t>23459</t>
        </is>
      </c>
      <c r="H26" s="3" t="inlineStr">
        <is>
          <t>T0, T1, T3, T5, T6, T8</t>
        </is>
      </c>
      <c r="I26" s="3" t="inlineStr">
        <is>
          <t>T5-B0</t>
        </is>
      </c>
      <c r="J26" s="3" t="inlineStr">
        <is>
          <t>46 con</t>
        </is>
      </c>
      <c r="K26" s="3" t="inlineStr">
        <is>
          <t>78</t>
        </is>
      </c>
      <c r="L26" s="6" t="inlineStr">
        <is>
          <t>KHÔNG</t>
        </is>
      </c>
      <c r="M26" s="7" t="inlineStr">
        <is>
          <t>TRÚNG</t>
        </is>
      </c>
      <c r="N26" s="6" t="inlineStr">
        <is>
          <t>KHÔNG</t>
        </is>
      </c>
      <c r="O26" s="3" t="inlineStr">
        <is>
          <t>23 - 32</t>
        </is>
      </c>
      <c r="P26" s="3" t="inlineStr">
        <is>
          <t>0 nháy</t>
        </is>
      </c>
      <c r="Q26" s="3" t="inlineStr">
        <is>
          <t>15 nháy</t>
        </is>
      </c>
    </row>
    <row r="27">
      <c r="A27" s="2" t="n">
        <v>20</v>
      </c>
      <c r="B27" s="2" t="inlineStr">
        <is>
          <t>Thứ ba ngày 20-01-2026 (Thứ Ba)</t>
        </is>
      </c>
      <c r="C27" s="3" t="inlineStr">
        <is>
          <t>12</t>
        </is>
      </c>
      <c r="D27" s="3" t="inlineStr">
        <is>
          <t>09</t>
        </is>
      </c>
      <c r="E27" s="3" t="inlineStr">
        <is>
          <t>28</t>
        </is>
      </c>
      <c r="F27" s="3" t="inlineStr">
        <is>
          <t>56</t>
        </is>
      </c>
      <c r="G27" s="3" t="inlineStr">
        <is>
          <t>0125689</t>
        </is>
      </c>
      <c r="H27" s="3" t="inlineStr">
        <is>
          <t>T0, T1, T3, T4, T5, T6, T8, T9</t>
        </is>
      </c>
      <c r="I27" s="3" t="inlineStr">
        <is>
          <t>T7-B2</t>
        </is>
      </c>
      <c r="J27" s="3" t="inlineStr">
        <is>
          <t>73 con</t>
        </is>
      </c>
      <c r="K27" s="3" t="inlineStr">
        <is>
          <t>86</t>
        </is>
      </c>
      <c r="L27" s="7" t="inlineStr">
        <is>
          <t>TRÚNG</t>
        </is>
      </c>
      <c r="M27" s="6" t="inlineStr">
        <is>
          <t>KHÔNG</t>
        </is>
      </c>
      <c r="N27" s="7" t="inlineStr">
        <is>
          <t>TRÚNG</t>
        </is>
      </c>
      <c r="O27" s="3" t="inlineStr">
        <is>
          <t>16 - 61</t>
        </is>
      </c>
      <c r="P27" s="3" t="inlineStr">
        <is>
          <t>0 nháy</t>
        </is>
      </c>
      <c r="Q27" s="3" t="inlineStr">
        <is>
          <t>22 nháy</t>
        </is>
      </c>
    </row>
    <row r="28">
      <c r="A28" s="2" t="n">
        <v>21</v>
      </c>
      <c r="B28" s="2" t="inlineStr">
        <is>
          <t>Thứ tư ngày 21-01-2026 (Thứ Tư)</t>
        </is>
      </c>
      <c r="C28" s="3" t="inlineStr">
        <is>
          <t>60</t>
        </is>
      </c>
      <c r="D28" s="3" t="inlineStr">
        <is>
          <t>26</t>
        </is>
      </c>
      <c r="E28" s="3" t="inlineStr">
        <is>
          <t>32</t>
        </is>
      </c>
      <c r="F28" s="3" t="inlineStr">
        <is>
          <t>49</t>
        </is>
      </c>
      <c r="G28" s="3" t="inlineStr">
        <is>
          <t>023469</t>
        </is>
      </c>
      <c r="H28" s="3" t="inlineStr">
        <is>
          <t>T0, T1, T3, T5, T6, T8</t>
        </is>
      </c>
      <c r="I28" s="3" t="inlineStr">
        <is>
          <t>T5-B0</t>
        </is>
      </c>
      <c r="J28" s="3" t="inlineStr">
        <is>
          <t>50 con</t>
        </is>
      </c>
      <c r="K28" s="3" t="inlineStr">
        <is>
          <t>63</t>
        </is>
      </c>
      <c r="L28" s="7" t="inlineStr">
        <is>
          <t>TRÚNG</t>
        </is>
      </c>
      <c r="M28" s="6" t="inlineStr">
        <is>
          <t>KHÔNG</t>
        </is>
      </c>
      <c r="N28" s="6" t="inlineStr">
        <is>
          <t>KHÔNG</t>
        </is>
      </c>
      <c r="O28" s="3" t="inlineStr">
        <is>
          <t>69 - 96</t>
        </is>
      </c>
      <c r="P28" s="3" t="inlineStr">
        <is>
          <t>2 nháy 🎯</t>
        </is>
      </c>
      <c r="Q28" s="3" t="inlineStr">
        <is>
          <t>15 nháy</t>
        </is>
      </c>
    </row>
    <row r="29">
      <c r="A29" s="2" t="n">
        <v>22</v>
      </c>
      <c r="B29" s="2" t="inlineStr">
        <is>
          <t>Thứ năm ngày 22-01-2026 (Thứ Năm)</t>
        </is>
      </c>
      <c r="C29" s="3" t="inlineStr">
        <is>
          <t>53</t>
        </is>
      </c>
      <c r="D29" s="3" t="inlineStr">
        <is>
          <t>69</t>
        </is>
      </c>
      <c r="E29" s="3" t="inlineStr">
        <is>
          <t>39</t>
        </is>
      </c>
      <c r="F29" s="3" t="inlineStr">
        <is>
          <t>43</t>
        </is>
      </c>
      <c r="G29" s="3" t="inlineStr">
        <is>
          <t>34569</t>
        </is>
      </c>
      <c r="H29" s="3" t="inlineStr">
        <is>
          <t>T0, T2, T3, T5, T7, T8</t>
        </is>
      </c>
      <c r="I29" s="3" t="inlineStr">
        <is>
          <t>T8-B3</t>
        </is>
      </c>
      <c r="J29" s="3" t="inlineStr">
        <is>
          <t>44 con</t>
        </is>
      </c>
      <c r="K29" s="3" t="inlineStr">
        <is>
          <t>22</t>
        </is>
      </c>
      <c r="L29" s="6" t="inlineStr">
        <is>
          <t>KHÔNG</t>
        </is>
      </c>
      <c r="M29" s="6" t="inlineStr">
        <is>
          <t>KHÔNG</t>
        </is>
      </c>
      <c r="N29" s="6" t="inlineStr">
        <is>
          <t>KHÔNG</t>
        </is>
      </c>
      <c r="O29" s="3" t="inlineStr">
        <is>
          <t>53 - 35</t>
        </is>
      </c>
      <c r="P29" s="3" t="inlineStr">
        <is>
          <t>0 nháy</t>
        </is>
      </c>
      <c r="Q29" s="3" t="inlineStr">
        <is>
          <t>9 nháy</t>
        </is>
      </c>
    </row>
    <row r="30">
      <c r="A30" s="2" t="n">
        <v>23</v>
      </c>
      <c r="B30" s="2" t="inlineStr">
        <is>
          <t>Thứ sáu ngày 23-01-2026 (Thứ Sáu)</t>
        </is>
      </c>
      <c r="C30" s="3" t="inlineStr">
        <is>
          <t>77</t>
        </is>
      </c>
      <c r="D30" s="3" t="inlineStr">
        <is>
          <t>19</t>
        </is>
      </c>
      <c r="E30" s="3" t="inlineStr">
        <is>
          <t>86</t>
        </is>
      </c>
      <c r="F30" s="3" t="inlineStr">
        <is>
          <t>10</t>
        </is>
      </c>
      <c r="G30" s="3" t="inlineStr">
        <is>
          <t>016789</t>
        </is>
      </c>
      <c r="H30" s="3" t="inlineStr">
        <is>
          <t>T0, T1, T4, T5, T6, T9</t>
        </is>
      </c>
      <c r="I30" s="3" t="inlineStr">
        <is>
          <t>T7-B2</t>
        </is>
      </c>
      <c r="J30" s="3" t="inlineStr">
        <is>
          <t>51 con</t>
        </is>
      </c>
      <c r="K30" s="3" t="inlineStr">
        <is>
          <t>62</t>
        </is>
      </c>
      <c r="L30" s="7" t="inlineStr">
        <is>
          <t>TRÚNG</t>
        </is>
      </c>
      <c r="M30" s="6" t="inlineStr">
        <is>
          <t>KHÔNG</t>
        </is>
      </c>
      <c r="N30" s="6" t="inlineStr">
        <is>
          <t>KHÔNG</t>
        </is>
      </c>
      <c r="O30" s="3" t="inlineStr">
        <is>
          <t>70 - 07</t>
        </is>
      </c>
      <c r="P30" s="3" t="inlineStr">
        <is>
          <t>0 nháy</t>
        </is>
      </c>
      <c r="Q30" s="3" t="inlineStr">
        <is>
          <t>15 nháy</t>
        </is>
      </c>
    </row>
    <row r="31">
      <c r="A31" s="2" t="n">
        <v>24</v>
      </c>
      <c r="B31" s="2" t="inlineStr">
        <is>
          <t>Thứ bảy ngày 24-01-2026 (Thứ Bảy)</t>
        </is>
      </c>
      <c r="C31" s="3" t="inlineStr">
        <is>
          <t>34</t>
        </is>
      </c>
      <c r="D31" s="3" t="inlineStr">
        <is>
          <t>84</t>
        </is>
      </c>
      <c r="E31" s="3" t="inlineStr">
        <is>
          <t>51</t>
        </is>
      </c>
      <c r="F31" s="3" t="inlineStr">
        <is>
          <t>98</t>
        </is>
      </c>
      <c r="G31" s="3" t="inlineStr">
        <is>
          <t>134589</t>
        </is>
      </c>
      <c r="H31" s="3" t="inlineStr">
        <is>
          <t>T1, T2, T6, T7</t>
        </is>
      </c>
      <c r="I31" s="3" t="inlineStr">
        <is>
          <t>T1-B6</t>
        </is>
      </c>
      <c r="J31" s="3" t="inlineStr">
        <is>
          <t>33 con</t>
        </is>
      </c>
      <c r="K31" s="3" t="inlineStr">
        <is>
          <t>30</t>
        </is>
      </c>
      <c r="L31" s="7" t="inlineStr">
        <is>
          <t>TRÚNG</t>
        </is>
      </c>
      <c r="M31" s="6" t="inlineStr">
        <is>
          <t>KHÔNG</t>
        </is>
      </c>
      <c r="N31" s="6" t="inlineStr">
        <is>
          <t>KHÔNG</t>
        </is>
      </c>
      <c r="O31" s="3" t="inlineStr">
        <is>
          <t>38 - 83</t>
        </is>
      </c>
      <c r="P31" s="3" t="inlineStr">
        <is>
          <t>2 nháy 🎯</t>
        </is>
      </c>
      <c r="Q31" s="3" t="inlineStr">
        <is>
          <t>8 nháy</t>
        </is>
      </c>
    </row>
    <row r="32">
      <c r="A32" s="2" t="n">
        <v>25</v>
      </c>
      <c r="B32" s="2" t="inlineStr">
        <is>
          <t>Chủ nhật ngày 25-01-2026 (Chủ Nhật)</t>
        </is>
      </c>
      <c r="C32" s="3" t="inlineStr">
        <is>
          <t>33</t>
        </is>
      </c>
      <c r="D32" s="3" t="inlineStr">
        <is>
          <t>97</t>
        </is>
      </c>
      <c r="E32" s="3" t="inlineStr">
        <is>
          <t>86</t>
        </is>
      </c>
      <c r="F32" s="3" t="inlineStr">
        <is>
          <t>63</t>
        </is>
      </c>
      <c r="G32" s="3" t="inlineStr">
        <is>
          <t>36789</t>
        </is>
      </c>
      <c r="H32" s="3" t="inlineStr">
        <is>
          <t>T1, T4, T6, T9</t>
        </is>
      </c>
      <c r="I32" s="3" t="inlineStr">
        <is>
          <t>T6-B1</t>
        </is>
      </c>
      <c r="J32" s="3" t="inlineStr">
        <is>
          <t>29 con</t>
        </is>
      </c>
      <c r="K32" s="3" t="inlineStr">
        <is>
          <t>74</t>
        </is>
      </c>
      <c r="L32" s="7" t="inlineStr">
        <is>
          <t>TRÚNG</t>
        </is>
      </c>
      <c r="M32" s="7" t="inlineStr">
        <is>
          <t>TRÚNG</t>
        </is>
      </c>
      <c r="N32" s="7" t="inlineStr">
        <is>
          <t>TRÚNG</t>
        </is>
      </c>
      <c r="O32" s="3" t="inlineStr">
        <is>
          <t>33</t>
        </is>
      </c>
      <c r="P32" s="3" t="inlineStr">
        <is>
          <t>0 nháy</t>
        </is>
      </c>
      <c r="Q32" s="3" t="inlineStr">
        <is>
          <t>6 nháy</t>
        </is>
      </c>
    </row>
    <row r="33">
      <c r="A33" s="2" t="n">
        <v>26</v>
      </c>
      <c r="B33" s="2" t="inlineStr">
        <is>
          <t>Thứ hai ngày 26-01-2026 (Thứ Hai)</t>
        </is>
      </c>
      <c r="C33" s="3" t="inlineStr">
        <is>
          <t>85</t>
        </is>
      </c>
      <c r="D33" s="3" t="inlineStr">
        <is>
          <t>67</t>
        </is>
      </c>
      <c r="E33" s="3" t="inlineStr">
        <is>
          <t>56</t>
        </is>
      </c>
      <c r="F33" s="3" t="inlineStr">
        <is>
          <t>63</t>
        </is>
      </c>
      <c r="G33" s="3" t="inlineStr">
        <is>
          <t>35678</t>
        </is>
      </c>
      <c r="H33" s="3" t="inlineStr">
        <is>
          <t>T1, T3, T4, T6, T8, T9</t>
        </is>
      </c>
      <c r="I33" s="3" t="inlineStr">
        <is>
          <t>T1-B6</t>
        </is>
      </c>
      <c r="J33" s="3" t="inlineStr">
        <is>
          <t>43 con</t>
        </is>
      </c>
      <c r="K33" s="3" t="inlineStr">
        <is>
          <t>80</t>
        </is>
      </c>
      <c r="L33" s="7" t="inlineStr">
        <is>
          <t>TRÚNG</t>
        </is>
      </c>
      <c r="M33" s="6" t="inlineStr">
        <is>
          <t>KHÔNG</t>
        </is>
      </c>
      <c r="N33" s="7" t="inlineStr">
        <is>
          <t>TRÚNG</t>
        </is>
      </c>
      <c r="O33" s="3" t="inlineStr">
        <is>
          <t>83 - 38</t>
        </is>
      </c>
      <c r="P33" s="3" t="inlineStr">
        <is>
          <t>0 nháy</t>
        </is>
      </c>
      <c r="Q33" s="3" t="inlineStr">
        <is>
          <t>9 nháy</t>
        </is>
      </c>
    </row>
    <row r="34">
      <c r="A34" s="2" t="n">
        <v>27</v>
      </c>
      <c r="B34" s="2" t="inlineStr">
        <is>
          <t>Thứ ba ngày 27-01-2026 (Thứ Ba)</t>
        </is>
      </c>
      <c r="C34" s="3" t="inlineStr">
        <is>
          <t>22</t>
        </is>
      </c>
      <c r="D34" s="3" t="inlineStr">
        <is>
          <t>20</t>
        </is>
      </c>
      <c r="E34" s="3" t="inlineStr">
        <is>
          <t>16</t>
        </is>
      </c>
      <c r="F34" s="3" t="inlineStr">
        <is>
          <t>61</t>
        </is>
      </c>
      <c r="G34" s="3" t="inlineStr">
        <is>
          <t>0126</t>
        </is>
      </c>
      <c r="H34" s="3" t="inlineStr">
        <is>
          <t>T2, T4, T7, T9</t>
        </is>
      </c>
      <c r="I34" s="3" t="inlineStr">
        <is>
          <t>T3-B8</t>
        </is>
      </c>
      <c r="J34" s="3" t="inlineStr">
        <is>
          <t>25 con</t>
        </is>
      </c>
      <c r="K34" s="3" t="inlineStr">
        <is>
          <t>21</t>
        </is>
      </c>
      <c r="L34" s="7" t="inlineStr">
        <is>
          <t>TRÚNG</t>
        </is>
      </c>
      <c r="M34" s="7" t="inlineStr">
        <is>
          <t>TRÚNG</t>
        </is>
      </c>
      <c r="N34" s="6" t="inlineStr">
        <is>
          <t>KHÔNG</t>
        </is>
      </c>
      <c r="O34" s="3" t="inlineStr">
        <is>
          <t>21 - 12</t>
        </is>
      </c>
      <c r="P34" s="3" t="inlineStr">
        <is>
          <t>2 nháy 🎯</t>
        </is>
      </c>
      <c r="Q34" s="3" t="inlineStr">
        <is>
          <t>4 nháy</t>
        </is>
      </c>
    </row>
    <row r="35">
      <c r="A35" s="2" t="n">
        <v>28</v>
      </c>
      <c r="B35" s="2" t="inlineStr">
        <is>
          <t>Thứ tư ngày 28-01-2026 (Thứ Tư)</t>
        </is>
      </c>
      <c r="C35" s="3" t="inlineStr">
        <is>
          <t>76</t>
        </is>
      </c>
      <c r="D35" s="3" t="inlineStr">
        <is>
          <t>47</t>
        </is>
      </c>
      <c r="E35" s="3" t="inlineStr">
        <is>
          <t>21</t>
        </is>
      </c>
      <c r="F35" s="3" t="inlineStr">
        <is>
          <t>77</t>
        </is>
      </c>
      <c r="G35" s="3" t="inlineStr">
        <is>
          <t>12467</t>
        </is>
      </c>
      <c r="H35" s="3" t="inlineStr">
        <is>
          <t>T1, T3, T4, T6, T8, T9</t>
        </is>
      </c>
      <c r="I35" s="3" t="inlineStr">
        <is>
          <t>T4-B9</t>
        </is>
      </c>
      <c r="J35" s="3" t="inlineStr">
        <is>
          <t>43 con</t>
        </is>
      </c>
      <c r="K35" s="3" t="inlineStr">
        <is>
          <t>14</t>
        </is>
      </c>
      <c r="L35" s="7" t="inlineStr">
        <is>
          <t>TRÚNG</t>
        </is>
      </c>
      <c r="M35" s="6" t="inlineStr">
        <is>
          <t>KHÔNG</t>
        </is>
      </c>
      <c r="N35" s="6" t="inlineStr">
        <is>
          <t>KHÔNG</t>
        </is>
      </c>
      <c r="O35" s="3" t="inlineStr">
        <is>
          <t>77</t>
        </is>
      </c>
      <c r="P35" s="3" t="inlineStr">
        <is>
          <t>0 nháy</t>
        </is>
      </c>
      <c r="Q35" s="3" t="inlineStr">
        <is>
          <t>13 nháy</t>
        </is>
      </c>
    </row>
    <row r="36">
      <c r="A36" s="2" t="n">
        <v>29</v>
      </c>
      <c r="B36" s="2" t="inlineStr">
        <is>
          <t>Thứ năm ngày 29-01-2026 (Thứ Năm)</t>
        </is>
      </c>
      <c r="C36" s="3" t="inlineStr">
        <is>
          <t>81</t>
        </is>
      </c>
      <c r="D36" s="3" t="inlineStr">
        <is>
          <t>87</t>
        </is>
      </c>
      <c r="E36" s="3" t="inlineStr">
        <is>
          <t>60</t>
        </is>
      </c>
      <c r="F36" s="3" t="inlineStr">
        <is>
          <t>32</t>
        </is>
      </c>
      <c r="G36" s="3" t="inlineStr">
        <is>
          <t>0123678</t>
        </is>
      </c>
      <c r="H36" s="3" t="inlineStr">
        <is>
          <t>T0, T1, T4, T5, T6, T9</t>
        </is>
      </c>
      <c r="I36" s="3" t="inlineStr">
        <is>
          <t>T0-B5</t>
        </is>
      </c>
      <c r="J36" s="3" t="inlineStr">
        <is>
          <t>55 con</t>
        </is>
      </c>
      <c r="K36" s="3" t="inlineStr">
        <is>
          <t>45</t>
        </is>
      </c>
      <c r="L36" s="6" t="inlineStr">
        <is>
          <t>KHÔNG</t>
        </is>
      </c>
      <c r="M36" s="6" t="inlineStr">
        <is>
          <t>KHÔNG</t>
        </is>
      </c>
      <c r="N36" s="6" t="inlineStr">
        <is>
          <t>KHÔNG</t>
        </is>
      </c>
      <c r="O36" s="3" t="inlineStr">
        <is>
          <t>82 - 28</t>
        </is>
      </c>
      <c r="P36" s="3" t="inlineStr">
        <is>
          <t>1 nháy 🎯</t>
        </is>
      </c>
      <c r="Q36" s="3" t="inlineStr">
        <is>
          <t>15 nháy</t>
        </is>
      </c>
    </row>
    <row r="37">
      <c r="A37" s="2" t="n">
        <v>30</v>
      </c>
      <c r="B37" s="2" t="inlineStr">
        <is>
          <t>Thứ sáu ngày 30-01-2026 (Thứ Sáu)</t>
        </is>
      </c>
      <c r="C37" s="3" t="inlineStr">
        <is>
          <t>03</t>
        </is>
      </c>
      <c r="D37" s="3" t="inlineStr">
        <is>
          <t>82</t>
        </is>
      </c>
      <c r="E37" s="3" t="inlineStr">
        <is>
          <t>85</t>
        </is>
      </c>
      <c r="F37" s="3" t="inlineStr">
        <is>
          <t>81</t>
        </is>
      </c>
      <c r="G37" s="3" t="inlineStr">
        <is>
          <t>012358</t>
        </is>
      </c>
      <c r="H37" s="3" t="inlineStr">
        <is>
          <t>T0, T3, T4, T5, T8, T9</t>
        </is>
      </c>
      <c r="I37" s="3" t="inlineStr">
        <is>
          <t>T1-B6</t>
        </is>
      </c>
      <c r="J37" s="3" t="inlineStr">
        <is>
          <t>49 con</t>
        </is>
      </c>
      <c r="K37" s="3" t="inlineStr">
        <is>
          <t>54</t>
        </is>
      </c>
      <c r="L37" s="7" t="inlineStr">
        <is>
          <t>TRÚNG</t>
        </is>
      </c>
      <c r="M37" s="6" t="inlineStr">
        <is>
          <t>KHÔNG</t>
        </is>
      </c>
      <c r="N37" s="7" t="inlineStr">
        <is>
          <t>TRÚNG</t>
        </is>
      </c>
      <c r="O37" s="3" t="inlineStr">
        <is>
          <t>01 - 10</t>
        </is>
      </c>
      <c r="P37" s="3" t="inlineStr">
        <is>
          <t>1 nháy 🎯</t>
        </is>
      </c>
      <c r="Q37" s="3" t="inlineStr">
        <is>
          <t>12 nháy</t>
        </is>
      </c>
    </row>
    <row r="38">
      <c r="A38" s="2" t="n">
        <v>31</v>
      </c>
      <c r="B38" s="2" t="inlineStr">
        <is>
          <t>Thứ bảy ngày 31-01-2026 (Thứ Bảy)</t>
        </is>
      </c>
      <c r="C38" s="3" t="inlineStr">
        <is>
          <t>77</t>
        </is>
      </c>
      <c r="D38" s="3" t="inlineStr">
        <is>
          <t>51</t>
        </is>
      </c>
      <c r="E38" s="3" t="inlineStr">
        <is>
          <t>67</t>
        </is>
      </c>
      <c r="F38" s="3" t="inlineStr">
        <is>
          <t>47</t>
        </is>
      </c>
      <c r="G38" s="3" t="inlineStr">
        <is>
          <t>14567</t>
        </is>
      </c>
      <c r="H38" s="3" t="inlineStr">
        <is>
          <t>T1, T3, T4, T6, T8, T9</t>
        </is>
      </c>
      <c r="I38" s="3" t="inlineStr">
        <is>
          <t>T4-B9</t>
        </is>
      </c>
      <c r="J38" s="3" t="inlineStr">
        <is>
          <t>46 con</t>
        </is>
      </c>
      <c r="K38" s="3" t="inlineStr">
        <is>
          <t>77</t>
        </is>
      </c>
      <c r="L38" s="7" t="inlineStr">
        <is>
          <t>TRÚNG</t>
        </is>
      </c>
      <c r="M38" s="7" t="inlineStr">
        <is>
          <t>TRÚNG</t>
        </is>
      </c>
      <c r="N38" s="7" t="inlineStr">
        <is>
          <t>TRÚNG</t>
        </is>
      </c>
      <c r="O38" s="3" t="inlineStr">
        <is>
          <t>77</t>
        </is>
      </c>
      <c r="P38" s="3" t="inlineStr">
        <is>
          <t>1 nháy 🎯</t>
        </is>
      </c>
      <c r="Q38" s="3" t="inlineStr">
        <is>
          <t>12 nháy</t>
        </is>
      </c>
    </row>
    <row r="39">
      <c r="A39" s="2" t="n">
        <v>32</v>
      </c>
      <c r="B39" s="2" t="inlineStr">
        <is>
          <t>Chủ nhật ngày 01-02-2026 (Chủ Nhật)</t>
        </is>
      </c>
      <c r="C39" s="3" t="inlineStr">
        <is>
          <t>58</t>
        </is>
      </c>
      <c r="D39" s="3" t="inlineStr">
        <is>
          <t>03</t>
        </is>
      </c>
      <c r="E39" s="3" t="inlineStr">
        <is>
          <t>47</t>
        </is>
      </c>
      <c r="F39" s="3" t="inlineStr">
        <is>
          <t>05</t>
        </is>
      </c>
      <c r="G39" s="3" t="inlineStr">
        <is>
          <t>034578</t>
        </is>
      </c>
      <c r="H39" s="3" t="inlineStr">
        <is>
          <t>T0, T1, T3, T5, T6, T8</t>
        </is>
      </c>
      <c r="I39" s="3" t="inlineStr">
        <is>
          <t>T0-B5</t>
        </is>
      </c>
      <c r="J39" s="3" t="inlineStr">
        <is>
          <t>49 con</t>
        </is>
      </c>
      <c r="K39" s="3" t="inlineStr">
        <is>
          <t>61</t>
        </is>
      </c>
      <c r="L39" s="6" t="inlineStr">
        <is>
          <t>KHÔNG</t>
        </is>
      </c>
      <c r="M39" s="6" t="inlineStr">
        <is>
          <t>KHÔNG</t>
        </is>
      </c>
      <c r="N39" s="6" t="inlineStr">
        <is>
          <t>KHÔNG</t>
        </is>
      </c>
      <c r="O39" s="3" t="inlineStr">
        <is>
          <t>55</t>
        </is>
      </c>
      <c r="P39" s="3" t="inlineStr">
        <is>
          <t>1 nháy 🎯</t>
        </is>
      </c>
      <c r="Q39" s="3" t="inlineStr">
        <is>
          <t>12 nháy</t>
        </is>
      </c>
    </row>
    <row r="40">
      <c r="A40" s="2" t="n">
        <v>33</v>
      </c>
      <c r="B40" s="2" t="inlineStr">
        <is>
          <t>Thứ hai ngày 02-02-2026 (Thứ Hai)</t>
        </is>
      </c>
      <c r="C40" s="3" t="inlineStr">
        <is>
          <t>23</t>
        </is>
      </c>
      <c r="D40" s="3" t="inlineStr">
        <is>
          <t>07</t>
        </is>
      </c>
      <c r="E40" s="3" t="inlineStr">
        <is>
          <t>74</t>
        </is>
      </c>
      <c r="F40" s="3" t="inlineStr">
        <is>
          <t>06</t>
        </is>
      </c>
      <c r="G40" s="3" t="inlineStr">
        <is>
          <t>023467</t>
        </is>
      </c>
      <c r="H40" s="3" t="inlineStr">
        <is>
          <t>T0, T1, T2, T5, T6, T7</t>
        </is>
      </c>
      <c r="I40" s="3" t="inlineStr">
        <is>
          <t>T8-B3</t>
        </is>
      </c>
      <c r="J40" s="3" t="inlineStr">
        <is>
          <t>51 con</t>
        </is>
      </c>
      <c r="K40" s="3" t="inlineStr">
        <is>
          <t>48</t>
        </is>
      </c>
      <c r="L40" s="7" t="inlineStr">
        <is>
          <t>TRÚNG</t>
        </is>
      </c>
      <c r="M40" s="6" t="inlineStr">
        <is>
          <t>KHÔNG</t>
        </is>
      </c>
      <c r="N40" s="7" t="inlineStr">
        <is>
          <t>TRÚNG</t>
        </is>
      </c>
      <c r="O40" s="3" t="inlineStr">
        <is>
          <t>26 - 62</t>
        </is>
      </c>
      <c r="P40" s="3" t="inlineStr">
        <is>
          <t>0 nháy</t>
        </is>
      </c>
      <c r="Q40" s="3" t="inlineStr">
        <is>
          <t>15 nháy</t>
        </is>
      </c>
    </row>
    <row r="41">
      <c r="A41" s="2" t="n">
        <v>34</v>
      </c>
      <c r="B41" s="2" t="inlineStr">
        <is>
          <t>Thứ ba ngày 03-02-2026 (Thứ Ba)</t>
        </is>
      </c>
      <c r="C41" s="3" t="inlineStr">
        <is>
          <t>98</t>
        </is>
      </c>
      <c r="D41" s="3" t="inlineStr">
        <is>
          <t>41</t>
        </is>
      </c>
      <c r="E41" s="3" t="inlineStr">
        <is>
          <t>76</t>
        </is>
      </c>
      <c r="F41" s="3" t="inlineStr">
        <is>
          <t>81</t>
        </is>
      </c>
      <c r="G41" s="3" t="inlineStr">
        <is>
          <t>146789</t>
        </is>
      </c>
      <c r="H41" s="3" t="inlineStr">
        <is>
          <t>T0, T2, T3, T4, T5, T7, T8, T9</t>
        </is>
      </c>
      <c r="I41" s="3" t="inlineStr">
        <is>
          <t>T0-B5</t>
        </is>
      </c>
      <c r="J41" s="3" t="inlineStr">
        <is>
          <t>65 con</t>
        </is>
      </c>
      <c r="K41" s="3" t="inlineStr">
        <is>
          <t>17</t>
        </is>
      </c>
      <c r="L41" s="7" t="inlineStr">
        <is>
          <t>TRÚNG</t>
        </is>
      </c>
      <c r="M41" s="6" t="inlineStr">
        <is>
          <t>KHÔNG</t>
        </is>
      </c>
      <c r="N41" s="7" t="inlineStr">
        <is>
          <t>TRÚNG</t>
        </is>
      </c>
      <c r="O41" s="3" t="inlineStr">
        <is>
          <t>91 - 19</t>
        </is>
      </c>
      <c r="P41" s="3" t="inlineStr">
        <is>
          <t>1 nháy 🎯</t>
        </is>
      </c>
      <c r="Q41" s="3" t="inlineStr">
        <is>
          <t>17 nháy</t>
        </is>
      </c>
    </row>
    <row r="42">
      <c r="A42" s="2" t="n">
        <v>35</v>
      </c>
      <c r="B42" s="2" t="inlineStr">
        <is>
          <t>Thứ tư ngày 04-02-2026 (Thứ Tư)</t>
        </is>
      </c>
      <c r="C42" s="3" t="inlineStr">
        <is>
          <t>65</t>
        </is>
      </c>
      <c r="D42" s="3" t="inlineStr">
        <is>
          <t>60</t>
        </is>
      </c>
      <c r="E42" s="3" t="inlineStr">
        <is>
          <t>30</t>
        </is>
      </c>
      <c r="F42" s="3" t="inlineStr">
        <is>
          <t>88</t>
        </is>
      </c>
      <c r="G42" s="3" t="inlineStr">
        <is>
          <t>03568</t>
        </is>
      </c>
      <c r="H42" s="3" t="inlineStr">
        <is>
          <t>T1, T3, T6, T8</t>
        </is>
      </c>
      <c r="I42" s="3" t="inlineStr">
        <is>
          <t>T4-B9</t>
        </is>
      </c>
      <c r="J42" s="3" t="inlineStr">
        <is>
          <t>24 con</t>
        </is>
      </c>
      <c r="K42" s="3" t="inlineStr">
        <is>
          <t>68</t>
        </is>
      </c>
      <c r="L42" s="7" t="inlineStr">
        <is>
          <t>TRÚNG</t>
        </is>
      </c>
      <c r="M42" s="7" t="inlineStr">
        <is>
          <t>TRÚNG</t>
        </is>
      </c>
      <c r="N42" s="6" t="inlineStr">
        <is>
          <t>KHÔNG</t>
        </is>
      </c>
      <c r="O42" s="3" t="inlineStr">
        <is>
          <t>68 - 86</t>
        </is>
      </c>
      <c r="P42" s="3" t="inlineStr">
        <is>
          <t>2 nháy 🎯</t>
        </is>
      </c>
      <c r="Q42" s="3" t="inlineStr">
        <is>
          <t>5 nháy</t>
        </is>
      </c>
    </row>
    <row r="43">
      <c r="A43" s="2" t="n">
        <v>36</v>
      </c>
      <c r="B43" s="2" t="inlineStr">
        <is>
          <t>Thứ năm ngày 05-02-2026 (Thứ Năm)</t>
        </is>
      </c>
      <c r="C43" s="3" t="inlineStr">
        <is>
          <t>58</t>
        </is>
      </c>
      <c r="D43" s="3" t="inlineStr">
        <is>
          <t>73</t>
        </is>
      </c>
      <c r="E43" s="3" t="inlineStr">
        <is>
          <t>33</t>
        </is>
      </c>
      <c r="F43" s="3" t="inlineStr">
        <is>
          <t>57</t>
        </is>
      </c>
      <c r="G43" s="3" t="inlineStr">
        <is>
          <t>3578</t>
        </is>
      </c>
      <c r="H43" s="3" t="inlineStr">
        <is>
          <t>T0, T1, T2, T3, T5, T6, T7, T8</t>
        </is>
      </c>
      <c r="I43" s="3" t="inlineStr">
        <is>
          <t>T2-B7</t>
        </is>
      </c>
      <c r="J43" s="3" t="inlineStr">
        <is>
          <t>49 con</t>
        </is>
      </c>
      <c r="K43" s="3" t="inlineStr">
        <is>
          <t>33</t>
        </is>
      </c>
      <c r="L43" s="7" t="inlineStr">
        <is>
          <t>TRÚNG</t>
        </is>
      </c>
      <c r="M43" s="6" t="inlineStr">
        <is>
          <t>KHÔNG</t>
        </is>
      </c>
      <c r="N43" s="7" t="inlineStr">
        <is>
          <t>TRÚNG</t>
        </is>
      </c>
      <c r="O43" s="3" t="inlineStr">
        <is>
          <t>57 - 75</t>
        </is>
      </c>
      <c r="P43" s="3" t="inlineStr">
        <is>
          <t>1 nháy 🎯</t>
        </is>
      </c>
      <c r="Q43" s="3" t="inlineStr">
        <is>
          <t>13 nháy</t>
        </is>
      </c>
    </row>
    <row r="44">
      <c r="A44" s="2" t="n">
        <v>37</v>
      </c>
      <c r="B44" s="2" t="inlineStr">
        <is>
          <t>Thứ sáu ngày 06-02-2026 (Thứ Sáu)</t>
        </is>
      </c>
      <c r="C44" s="3" t="inlineStr">
        <is>
          <t>05</t>
        </is>
      </c>
      <c r="D44" s="3" t="inlineStr">
        <is>
          <t>61</t>
        </is>
      </c>
      <c r="E44" s="3" t="inlineStr">
        <is>
          <t>18</t>
        </is>
      </c>
      <c r="F44" s="3" t="inlineStr">
        <is>
          <t>50</t>
        </is>
      </c>
      <c r="G44" s="3" t="inlineStr">
        <is>
          <t>01568</t>
        </is>
      </c>
      <c r="H44" s="3" t="inlineStr">
        <is>
          <t>T0, T2, T4, T5, T7, T9</t>
        </is>
      </c>
      <c r="I44" s="3" t="inlineStr">
        <is>
          <t>T0-B5</t>
        </is>
      </c>
      <c r="J44" s="3" t="inlineStr">
        <is>
          <t>48 con</t>
        </is>
      </c>
      <c r="K44" s="3" t="inlineStr">
        <is>
          <t>85</t>
        </is>
      </c>
      <c r="L44" s="7" t="inlineStr">
        <is>
          <t>TRÚNG</t>
        </is>
      </c>
      <c r="M44" s="6" t="inlineStr">
        <is>
          <t>KHÔNG</t>
        </is>
      </c>
      <c r="N44" s="6" t="inlineStr">
        <is>
          <t>KHÔNG</t>
        </is>
      </c>
      <c r="O44" s="3" t="inlineStr">
        <is>
          <t>00</t>
        </is>
      </c>
      <c r="P44" s="3" t="inlineStr">
        <is>
          <t>0 nháy</t>
        </is>
      </c>
      <c r="Q44" s="3" t="inlineStr">
        <is>
          <t>12 nháy</t>
        </is>
      </c>
    </row>
    <row r="45">
      <c r="A45" s="2" t="n">
        <v>38</v>
      </c>
      <c r="B45" s="2" t="inlineStr">
        <is>
          <t>Thứ bảy ngày 07-02-2026 (Thứ Bảy)</t>
        </is>
      </c>
      <c r="C45" s="3" t="inlineStr">
        <is>
          <t>94</t>
        </is>
      </c>
      <c r="D45" s="3" t="inlineStr">
        <is>
          <t>17</t>
        </is>
      </c>
      <c r="E45" s="3" t="inlineStr">
        <is>
          <t>77</t>
        </is>
      </c>
      <c r="F45" s="3" t="inlineStr">
        <is>
          <t>43</t>
        </is>
      </c>
      <c r="G45" s="3" t="inlineStr">
        <is>
          <t>13479</t>
        </is>
      </c>
      <c r="H45" s="3" t="inlineStr">
        <is>
          <t>T2, T3, T4, T7, T8, T9</t>
        </is>
      </c>
      <c r="I45" s="3" t="inlineStr">
        <is>
          <t>T2-B7</t>
        </is>
      </c>
      <c r="J45" s="3" t="inlineStr">
        <is>
          <t>46 con</t>
        </is>
      </c>
      <c r="K45" s="3" t="inlineStr">
        <is>
          <t>77</t>
        </is>
      </c>
      <c r="L45" s="7" t="inlineStr">
        <is>
          <t>TRÚNG</t>
        </is>
      </c>
      <c r="M45" s="6" t="inlineStr">
        <is>
          <t>KHÔNG</t>
        </is>
      </c>
      <c r="N45" s="7" t="inlineStr">
        <is>
          <t>TRÚNG</t>
        </is>
      </c>
      <c r="O45" s="3" t="inlineStr">
        <is>
          <t>93 - 39</t>
        </is>
      </c>
      <c r="P45" s="3" t="inlineStr">
        <is>
          <t>0 nháy</t>
        </is>
      </c>
      <c r="Q45" s="3" t="inlineStr">
        <is>
          <t>20 nháy</t>
        </is>
      </c>
    </row>
    <row r="46">
      <c r="A46" s="2" t="n">
        <v>39</v>
      </c>
      <c r="B46" s="2" t="inlineStr">
        <is>
          <t>Chủ nhật ngày 08-02-2026 (Chủ Nhật)</t>
        </is>
      </c>
      <c r="C46" s="3" t="inlineStr">
        <is>
          <t>35</t>
        </is>
      </c>
      <c r="D46" s="3" t="inlineStr">
        <is>
          <t>36</t>
        </is>
      </c>
      <c r="E46" s="3" t="inlineStr">
        <is>
          <t>38</t>
        </is>
      </c>
      <c r="F46" s="3" t="inlineStr">
        <is>
          <t>04</t>
        </is>
      </c>
      <c r="G46" s="3" t="inlineStr">
        <is>
          <t>034568</t>
        </is>
      </c>
      <c r="H46" s="3" t="inlineStr">
        <is>
          <t>T1, T3, T4, T6, T8, T9</t>
        </is>
      </c>
      <c r="I46" s="3" t="inlineStr">
        <is>
          <t>T7-B2</t>
        </is>
      </c>
      <c r="J46" s="3" t="inlineStr">
        <is>
          <t>47 con</t>
        </is>
      </c>
      <c r="K46" s="3" t="inlineStr">
        <is>
          <t>01</t>
        </is>
      </c>
      <c r="L46" s="7" t="inlineStr">
        <is>
          <t>TRÚNG</t>
        </is>
      </c>
      <c r="M46" s="6" t="inlineStr">
        <is>
          <t>KHÔNG</t>
        </is>
      </c>
      <c r="N46" s="7" t="inlineStr">
        <is>
          <t>TRÚNG</t>
        </is>
      </c>
      <c r="O46" s="3" t="inlineStr">
        <is>
          <t>34 - 43</t>
        </is>
      </c>
      <c r="P46" s="3" t="inlineStr">
        <is>
          <t>1 nháy 🎯</t>
        </is>
      </c>
      <c r="Q46" s="3" t="inlineStr">
        <is>
          <t>10 nháy</t>
        </is>
      </c>
    </row>
    <row r="47">
      <c r="A47" s="2" t="n">
        <v>40</v>
      </c>
      <c r="B47" s="2" t="inlineStr">
        <is>
          <t>Thứ hai ngày 09-02-2026 (Thứ Hai)</t>
        </is>
      </c>
      <c r="C47" s="3" t="inlineStr">
        <is>
          <t>14</t>
        </is>
      </c>
      <c r="D47" s="3" t="inlineStr">
        <is>
          <t>25</t>
        </is>
      </c>
      <c r="E47" s="3" t="inlineStr">
        <is>
          <t>76</t>
        </is>
      </c>
      <c r="F47" s="3" t="inlineStr">
        <is>
          <t>67</t>
        </is>
      </c>
      <c r="G47" s="3" t="inlineStr">
        <is>
          <t>124567</t>
        </is>
      </c>
      <c r="H47" s="3" t="inlineStr">
        <is>
          <t>T0, T2, T3, T5, T7, T8</t>
        </is>
      </c>
      <c r="I47" s="3" t="inlineStr">
        <is>
          <t>T8-B3</t>
        </is>
      </c>
      <c r="J47" s="3" t="inlineStr">
        <is>
          <t>50 con</t>
        </is>
      </c>
      <c r="K47" s="3" t="inlineStr">
        <is>
          <t>90</t>
        </is>
      </c>
      <c r="L47" s="6" t="inlineStr">
        <is>
          <t>KHÔNG</t>
        </is>
      </c>
      <c r="M47" s="6" t="inlineStr">
        <is>
          <t>KHÔNG</t>
        </is>
      </c>
      <c r="N47" s="6" t="inlineStr">
        <is>
          <t>KHÔNG</t>
        </is>
      </c>
      <c r="O47" s="3" t="inlineStr">
        <is>
          <t>17 - 71</t>
        </is>
      </c>
      <c r="P47" s="3" t="inlineStr">
        <is>
          <t>0 nháy</t>
        </is>
      </c>
      <c r="Q47" s="3" t="inlineStr">
        <is>
          <t>16 nháy</t>
        </is>
      </c>
    </row>
    <row r="48">
      <c r="A48" s="2" t="n">
        <v>41</v>
      </c>
      <c r="B48" s="2" t="inlineStr">
        <is>
          <t>Thứ ba ngày 10-02-2026 (Thứ Ba)</t>
        </is>
      </c>
      <c r="C48" s="3" t="inlineStr">
        <is>
          <t>59</t>
        </is>
      </c>
      <c r="D48" s="3" t="inlineStr">
        <is>
          <t>55</t>
        </is>
      </c>
      <c r="E48" s="3" t="inlineStr">
        <is>
          <t>14</t>
        </is>
      </c>
      <c r="F48" s="3" t="inlineStr">
        <is>
          <t>61</t>
        </is>
      </c>
      <c r="G48" s="3" t="inlineStr">
        <is>
          <t>14569</t>
        </is>
      </c>
      <c r="H48" s="3" t="inlineStr">
        <is>
          <t>T0, T2, T4, T5, T7, T9</t>
        </is>
      </c>
      <c r="I48" s="3" t="inlineStr">
        <is>
          <t>T6-B1</t>
        </is>
      </c>
      <c r="J48" s="3" t="inlineStr">
        <is>
          <t>43 con</t>
        </is>
      </c>
      <c r="K48" s="3" t="inlineStr">
        <is>
          <t>92</t>
        </is>
      </c>
      <c r="L48" s="7" t="inlineStr">
        <is>
          <t>TRÚNG</t>
        </is>
      </c>
      <c r="M48" s="7" t="inlineStr">
        <is>
          <t>TRÚNG</t>
        </is>
      </c>
      <c r="N48" s="6" t="inlineStr">
        <is>
          <t>KHÔNG</t>
        </is>
      </c>
      <c r="O48" s="3" t="inlineStr">
        <is>
          <t>51 - 15</t>
        </is>
      </c>
      <c r="P48" s="3" t="inlineStr">
        <is>
          <t>0 nháy</t>
        </is>
      </c>
      <c r="Q48" s="3" t="inlineStr">
        <is>
          <t>15 nháy</t>
        </is>
      </c>
    </row>
    <row r="49">
      <c r="A49" s="2" t="n">
        <v>42</v>
      </c>
      <c r="B49" s="2" t="inlineStr">
        <is>
          <t>Thứ tư ngày 11-02-2026 (Thứ Tư)</t>
        </is>
      </c>
      <c r="C49" s="3" t="inlineStr">
        <is>
          <t>98</t>
        </is>
      </c>
      <c r="D49" s="3" t="inlineStr">
        <is>
          <t>92</t>
        </is>
      </c>
      <c r="E49" s="3" t="inlineStr">
        <is>
          <t>32</t>
        </is>
      </c>
      <c r="F49" s="3" t="inlineStr">
        <is>
          <t>47</t>
        </is>
      </c>
      <c r="G49" s="3" t="inlineStr">
        <is>
          <t>234789</t>
        </is>
      </c>
      <c r="H49" s="3" t="inlineStr">
        <is>
          <t>T0, T1, T2, T5, T6, T7</t>
        </is>
      </c>
      <c r="I49" s="3" t="inlineStr">
        <is>
          <t>T6-B1</t>
        </is>
      </c>
      <c r="J49" s="3" t="inlineStr">
        <is>
          <t>44 con</t>
        </is>
      </c>
      <c r="K49" s="3" t="inlineStr">
        <is>
          <t>75</t>
        </is>
      </c>
      <c r="L49" s="7" t="inlineStr">
        <is>
          <t>TRÚNG</t>
        </is>
      </c>
      <c r="M49" s="6" t="inlineStr">
        <is>
          <t>KHÔNG</t>
        </is>
      </c>
      <c r="N49" s="7" t="inlineStr">
        <is>
          <t>TRÚNG</t>
        </is>
      </c>
      <c r="O49" s="3" t="inlineStr">
        <is>
          <t>97 - 79</t>
        </is>
      </c>
      <c r="P49" s="3" t="inlineStr">
        <is>
          <t>0 nháy</t>
        </is>
      </c>
      <c r="Q49" s="3" t="inlineStr">
        <is>
          <t>12 nháy</t>
        </is>
      </c>
    </row>
    <row r="50">
      <c r="A50" s="2" t="n">
        <v>43</v>
      </c>
      <c r="B50" s="2" t="inlineStr">
        <is>
          <t>Thứ năm ngày 12-02-2026 (Thứ Năm)</t>
        </is>
      </c>
      <c r="C50" s="3" t="inlineStr">
        <is>
          <t>81</t>
        </is>
      </c>
      <c r="D50" s="3" t="inlineStr">
        <is>
          <t>50</t>
        </is>
      </c>
      <c r="E50" s="3" t="inlineStr">
        <is>
          <t>16</t>
        </is>
      </c>
      <c r="F50" s="3" t="inlineStr">
        <is>
          <t>10</t>
        </is>
      </c>
      <c r="G50" s="3" t="inlineStr">
        <is>
          <t>01568</t>
        </is>
      </c>
      <c r="H50" s="3" t="inlineStr">
        <is>
          <t>T0, T1, T2, T4, T5, T6, T7, T9</t>
        </is>
      </c>
      <c r="I50" s="3" t="inlineStr">
        <is>
          <t>T8-B3</t>
        </is>
      </c>
      <c r="J50" s="3" t="inlineStr">
        <is>
          <t>59 con</t>
        </is>
      </c>
      <c r="K50" s="3" t="inlineStr">
        <is>
          <t>77</t>
        </is>
      </c>
      <c r="L50" s="6" t="inlineStr">
        <is>
          <t>KHÔNG</t>
        </is>
      </c>
      <c r="M50" s="6" t="inlineStr">
        <is>
          <t>KHÔNG</t>
        </is>
      </c>
      <c r="N50" s="6" t="inlineStr">
        <is>
          <t>KHÔNG</t>
        </is>
      </c>
      <c r="O50" s="3" t="inlineStr">
        <is>
          <t>80 - 08</t>
        </is>
      </c>
      <c r="P50" s="3" t="inlineStr">
        <is>
          <t>0 nháy</t>
        </is>
      </c>
      <c r="Q50" s="3" t="inlineStr">
        <is>
          <t>17 nháy</t>
        </is>
      </c>
    </row>
    <row r="51">
      <c r="A51" s="2" t="n">
        <v>44</v>
      </c>
      <c r="B51" s="2" t="inlineStr">
        <is>
          <t>Thứ sáu ngày 13-02-2026 (Thứ Sáu)</t>
        </is>
      </c>
      <c r="C51" s="3" t="inlineStr">
        <is>
          <t>73</t>
        </is>
      </c>
      <c r="D51" s="3" t="inlineStr">
        <is>
          <t>09</t>
        </is>
      </c>
      <c r="E51" s="3" t="inlineStr">
        <is>
          <t>10</t>
        </is>
      </c>
      <c r="F51" s="3" t="inlineStr">
        <is>
          <t>01</t>
        </is>
      </c>
      <c r="G51" s="3" t="inlineStr">
        <is>
          <t>01379</t>
        </is>
      </c>
      <c r="H51" s="3" t="inlineStr">
        <is>
          <t>T0, T1, T4, T5, T6, T9</t>
        </is>
      </c>
      <c r="I51" s="3" t="inlineStr">
        <is>
          <t>T8-B3</t>
        </is>
      </c>
      <c r="J51" s="3" t="inlineStr">
        <is>
          <t>45 con</t>
        </is>
      </c>
      <c r="K51" s="3" t="inlineStr">
        <is>
          <t>30</t>
        </is>
      </c>
      <c r="L51" s="7" t="inlineStr">
        <is>
          <t>TRÚNG</t>
        </is>
      </c>
      <c r="M51" s="7" t="inlineStr">
        <is>
          <t>TRÚNG</t>
        </is>
      </c>
      <c r="N51" s="6" t="inlineStr">
        <is>
          <t>KHÔNG</t>
        </is>
      </c>
      <c r="O51" s="3" t="inlineStr">
        <is>
          <t>71 - 17</t>
        </is>
      </c>
      <c r="P51" s="3" t="inlineStr">
        <is>
          <t>0 nháy</t>
        </is>
      </c>
      <c r="Q51" s="3" t="inlineStr">
        <is>
          <t>13 nháy</t>
        </is>
      </c>
    </row>
    <row r="52">
      <c r="A52" s="2" t="n">
        <v>45</v>
      </c>
      <c r="B52" s="2" t="inlineStr">
        <is>
          <t>Thứ bảy ngày 14-02-2026 (Thứ Bảy)</t>
        </is>
      </c>
      <c r="C52" s="3" t="inlineStr">
        <is>
          <t>18</t>
        </is>
      </c>
      <c r="D52" s="3" t="inlineStr">
        <is>
          <t>09</t>
        </is>
      </c>
      <c r="E52" s="3" t="inlineStr">
        <is>
          <t>60</t>
        </is>
      </c>
      <c r="F52" s="3" t="inlineStr">
        <is>
          <t>86</t>
        </is>
      </c>
      <c r="G52" s="3" t="inlineStr">
        <is>
          <t>01689</t>
        </is>
      </c>
      <c r="H52" s="3" t="inlineStr">
        <is>
          <t>T1, T4, T6, T9</t>
        </is>
      </c>
      <c r="I52" s="3" t="inlineStr">
        <is>
          <t>T7-B2</t>
        </is>
      </c>
      <c r="J52" s="3" t="inlineStr">
        <is>
          <t>29 con</t>
        </is>
      </c>
      <c r="K52" s="3" t="inlineStr">
        <is>
          <t>01</t>
        </is>
      </c>
      <c r="L52" s="7" t="inlineStr">
        <is>
          <t>TRÚNG</t>
        </is>
      </c>
      <c r="M52" s="6" t="inlineStr">
        <is>
          <t>KHÔNG</t>
        </is>
      </c>
      <c r="N52" s="7" t="inlineStr">
        <is>
          <t>TRÚNG</t>
        </is>
      </c>
      <c r="O52" s="3" t="inlineStr">
        <is>
          <t>16 - 61</t>
        </is>
      </c>
      <c r="P52" s="3" t="inlineStr">
        <is>
          <t>1 nháy 🎯</t>
        </is>
      </c>
      <c r="Q52" s="3" t="inlineStr">
        <is>
          <t>9 nháy</t>
        </is>
      </c>
    </row>
    <row r="53">
      <c r="A53" s="2" t="n">
        <v>46</v>
      </c>
      <c r="B53" s="2" t="inlineStr">
        <is>
          <t>Chủ nhật ngày 15-02-2026 (Chủ Nhật)</t>
        </is>
      </c>
      <c r="C53" s="3" t="inlineStr">
        <is>
          <t>79</t>
        </is>
      </c>
      <c r="D53" s="3" t="inlineStr">
        <is>
          <t>03</t>
        </is>
      </c>
      <c r="E53" s="3" t="inlineStr">
        <is>
          <t>34</t>
        </is>
      </c>
      <c r="F53" s="3" t="inlineStr">
        <is>
          <t>45</t>
        </is>
      </c>
      <c r="G53" s="3" t="inlineStr">
        <is>
          <t>034579</t>
        </is>
      </c>
      <c r="H53" s="3" t="inlineStr">
        <is>
          <t>T1, T2, T3, T4, T6, T7, T8, T9</t>
        </is>
      </c>
      <c r="I53" s="3" t="inlineStr">
        <is>
          <t>T2-B7</t>
        </is>
      </c>
      <c r="J53" s="3" t="inlineStr">
        <is>
          <t>66 con</t>
        </is>
      </c>
      <c r="K53" s="3" t="inlineStr">
        <is>
          <t>81</t>
        </is>
      </c>
      <c r="L53" s="6" t="inlineStr">
        <is>
          <t>KHÔNG</t>
        </is>
      </c>
      <c r="M53" s="6" t="inlineStr">
        <is>
          <t>KHÔNG</t>
        </is>
      </c>
      <c r="N53" s="6" t="inlineStr">
        <is>
          <t>KHÔNG</t>
        </is>
      </c>
      <c r="O53" s="3" t="inlineStr">
        <is>
          <t>75 - 57</t>
        </is>
      </c>
      <c r="P53" s="3" t="inlineStr">
        <is>
          <t>1 nháy 🎯</t>
        </is>
      </c>
      <c r="Q53" s="3" t="inlineStr">
        <is>
          <t>18 nháy</t>
        </is>
      </c>
    </row>
    <row r="54">
      <c r="A54" s="2" t="n">
        <v>47</v>
      </c>
      <c r="B54" s="2" t="inlineStr">
        <is>
          <t>Thứ sáu ngày 20-02-2026 (Thứ Sáu)</t>
        </is>
      </c>
      <c r="C54" s="3" t="inlineStr">
        <is>
          <t>75</t>
        </is>
      </c>
      <c r="D54" s="3" t="inlineStr">
        <is>
          <t>42</t>
        </is>
      </c>
      <c r="E54" s="3" t="inlineStr">
        <is>
          <t>09</t>
        </is>
      </c>
      <c r="F54" s="3" t="inlineStr">
        <is>
          <t>81</t>
        </is>
      </c>
      <c r="G54" s="3" t="inlineStr">
        <is>
          <t>01245789</t>
        </is>
      </c>
      <c r="H54" s="3" t="inlineStr">
        <is>
          <t>T1, T2, T4, T6, T7, T9</t>
        </is>
      </c>
      <c r="I54" s="3" t="inlineStr">
        <is>
          <t>T8-B3</t>
        </is>
      </c>
      <c r="J54" s="3" t="inlineStr">
        <is>
          <t>56 con</t>
        </is>
      </c>
      <c r="K54" s="3" t="inlineStr">
        <is>
          <t>13</t>
        </is>
      </c>
      <c r="L54" s="7" t="inlineStr">
        <is>
          <t>TRÚNG</t>
        </is>
      </c>
      <c r="M54" s="6" t="inlineStr">
        <is>
          <t>KHÔNG</t>
        </is>
      </c>
      <c r="N54" s="7" t="inlineStr">
        <is>
          <t>TRÚNG</t>
        </is>
      </c>
      <c r="O54" s="3" t="inlineStr">
        <is>
          <t>71 - 17</t>
        </is>
      </c>
      <c r="P54" s="3" t="inlineStr">
        <is>
          <t>0 nháy</t>
        </is>
      </c>
      <c r="Q54" s="3" t="inlineStr">
        <is>
          <t>11 nháy</t>
        </is>
      </c>
    </row>
    <row r="55">
      <c r="A55" s="2" t="n">
        <v>48</v>
      </c>
      <c r="B55" s="2" t="inlineStr">
        <is>
          <t>Thứ bảy ngày 21-02-2026 (Thứ Bảy)</t>
        </is>
      </c>
      <c r="C55" s="3" t="inlineStr">
        <is>
          <t>91</t>
        </is>
      </c>
      <c r="D55" s="3" t="inlineStr">
        <is>
          <t>14</t>
        </is>
      </c>
      <c r="E55" s="3" t="inlineStr">
        <is>
          <t>96</t>
        </is>
      </c>
      <c r="F55" s="3" t="inlineStr">
        <is>
          <t>09</t>
        </is>
      </c>
      <c r="G55" s="3" t="inlineStr">
        <is>
          <t>01469</t>
        </is>
      </c>
      <c r="H55" s="3" t="inlineStr">
        <is>
          <t>T0, T4, T5, T9</t>
        </is>
      </c>
      <c r="I55" s="3" t="inlineStr">
        <is>
          <t>T8-B3</t>
        </is>
      </c>
      <c r="J55" s="3" t="inlineStr">
        <is>
          <t>27 con</t>
        </is>
      </c>
      <c r="K55" s="3" t="inlineStr">
        <is>
          <t>12</t>
        </is>
      </c>
      <c r="L55" s="7" t="inlineStr">
        <is>
          <t>TRÚNG</t>
        </is>
      </c>
      <c r="M55" s="7" t="inlineStr">
        <is>
          <t>TRÚNG</t>
        </is>
      </c>
      <c r="N55" s="6" t="inlineStr">
        <is>
          <t>KHÔNG</t>
        </is>
      </c>
      <c r="O55" s="3" t="inlineStr">
        <is>
          <t>99</t>
        </is>
      </c>
      <c r="P55" s="3" t="inlineStr">
        <is>
          <t>0 nháy</t>
        </is>
      </c>
      <c r="Q55" s="3" t="inlineStr">
        <is>
          <t>8 nháy</t>
        </is>
      </c>
    </row>
    <row r="56">
      <c r="A56" s="2" t="n">
        <v>49</v>
      </c>
      <c r="B56" s="2" t="inlineStr">
        <is>
          <t>Chủ nhật ngày 22-02-2026 (Chủ Nhật)</t>
        </is>
      </c>
      <c r="C56" s="3" t="inlineStr">
        <is>
          <t>30</t>
        </is>
      </c>
      <c r="D56" s="3" t="inlineStr">
        <is>
          <t>88</t>
        </is>
      </c>
      <c r="E56" s="3" t="inlineStr">
        <is>
          <t>09</t>
        </is>
      </c>
      <c r="F56" s="3" t="inlineStr">
        <is>
          <t>33</t>
        </is>
      </c>
      <c r="G56" s="3" t="inlineStr">
        <is>
          <t>0389</t>
        </is>
      </c>
      <c r="H56" s="3" t="inlineStr">
        <is>
          <t>T1, T3, T4, T6, T8, T9</t>
        </is>
      </c>
      <c r="I56" s="3" t="inlineStr">
        <is>
          <t>T6-B1</t>
        </is>
      </c>
      <c r="J56" s="3" t="inlineStr">
        <is>
          <t>37 con</t>
        </is>
      </c>
      <c r="K56" s="3" t="inlineStr">
        <is>
          <t>55</t>
        </is>
      </c>
      <c r="L56" s="6" t="inlineStr">
        <is>
          <t>KHÔNG</t>
        </is>
      </c>
      <c r="M56" s="6" t="inlineStr">
        <is>
          <t>KHÔNG</t>
        </is>
      </c>
      <c r="N56" s="6" t="inlineStr">
        <is>
          <t>KHÔNG</t>
        </is>
      </c>
      <c r="O56" s="3" t="inlineStr">
        <is>
          <t>33</t>
        </is>
      </c>
      <c r="P56" s="3" t="inlineStr">
        <is>
          <t>0 nháy</t>
        </is>
      </c>
      <c r="Q56" s="3" t="inlineStr">
        <is>
          <t>7 nháy</t>
        </is>
      </c>
    </row>
    <row r="57">
      <c r="A57" s="2" t="n">
        <v>50</v>
      </c>
      <c r="B57" s="2" t="inlineStr">
        <is>
          <t>Thứ hai ngày 23-02-2026 (Thứ Hai)</t>
        </is>
      </c>
      <c r="C57" s="3" t="inlineStr">
        <is>
          <t>45</t>
        </is>
      </c>
      <c r="D57" s="3" t="inlineStr">
        <is>
          <t>43</t>
        </is>
      </c>
      <c r="E57" s="3" t="inlineStr">
        <is>
          <t>00</t>
        </is>
      </c>
      <c r="F57" s="3" t="inlineStr">
        <is>
          <t>57</t>
        </is>
      </c>
      <c r="G57" s="3" t="inlineStr">
        <is>
          <t>03457</t>
        </is>
      </c>
      <c r="H57" s="3" t="inlineStr">
        <is>
          <t>T0, T2, T4, T5, T7, T9</t>
        </is>
      </c>
      <c r="I57" s="3" t="inlineStr">
        <is>
          <t>T1-B6</t>
        </is>
      </c>
      <c r="J57" s="3" t="inlineStr">
        <is>
          <t>43 con</t>
        </is>
      </c>
      <c r="K57" s="3" t="inlineStr">
        <is>
          <t>37</t>
        </is>
      </c>
      <c r="L57" s="7" t="inlineStr">
        <is>
          <t>TRÚNG</t>
        </is>
      </c>
      <c r="M57" s="6" t="inlineStr">
        <is>
          <t>KHÔNG</t>
        </is>
      </c>
      <c r="N57" s="7" t="inlineStr">
        <is>
          <t>TRÚNG</t>
        </is>
      </c>
      <c r="O57" s="3" t="inlineStr">
        <is>
          <t>47 - 74</t>
        </is>
      </c>
      <c r="P57" s="3" t="inlineStr">
        <is>
          <t>0 nháy</t>
        </is>
      </c>
      <c r="Q57" s="3" t="inlineStr">
        <is>
          <t>12 nháy</t>
        </is>
      </c>
    </row>
    <row r="58">
      <c r="A58" s="2" t="n">
        <v>51</v>
      </c>
      <c r="B58" s="2" t="inlineStr">
        <is>
          <t>Thứ ba ngày 24-02-2026 (Thứ Ba)</t>
        </is>
      </c>
      <c r="C58" s="3" t="inlineStr">
        <is>
          <t>95</t>
        </is>
      </c>
      <c r="D58" s="3" t="inlineStr">
        <is>
          <t>36</t>
        </is>
      </c>
      <c r="E58" s="3" t="inlineStr">
        <is>
          <t>37</t>
        </is>
      </c>
      <c r="F58" s="3" t="inlineStr">
        <is>
          <t>42</t>
        </is>
      </c>
      <c r="G58" s="3" t="inlineStr">
        <is>
          <t>2345679</t>
        </is>
      </c>
      <c r="H58" s="3" t="inlineStr">
        <is>
          <t>T0, T1, T4, T5, T6, T9</t>
        </is>
      </c>
      <c r="I58" s="3" t="inlineStr">
        <is>
          <t>T1-B6</t>
        </is>
      </c>
      <c r="J58" s="3" t="inlineStr">
        <is>
          <t>54 con</t>
        </is>
      </c>
      <c r="K58" s="3" t="inlineStr">
        <is>
          <t>53</t>
        </is>
      </c>
      <c r="L58" s="7" t="inlineStr">
        <is>
          <t>TRÚNG</t>
        </is>
      </c>
      <c r="M58" s="6" t="inlineStr">
        <is>
          <t>KHÔNG</t>
        </is>
      </c>
      <c r="N58" s="6" t="inlineStr">
        <is>
          <t>KHÔNG</t>
        </is>
      </c>
      <c r="O58" s="3" t="inlineStr">
        <is>
          <t>92 - 29</t>
        </is>
      </c>
      <c r="P58" s="3" t="inlineStr">
        <is>
          <t>0 nháy</t>
        </is>
      </c>
      <c r="Q58" s="3" t="inlineStr">
        <is>
          <t>10 nháy</t>
        </is>
      </c>
    </row>
    <row r="59">
      <c r="A59" s="2" t="n">
        <v>52</v>
      </c>
      <c r="B59" s="2" t="inlineStr">
        <is>
          <t>Thứ tư ngày 25-02-2026 (Thứ Tư)</t>
        </is>
      </c>
      <c r="C59" s="3" t="inlineStr">
        <is>
          <t>84</t>
        </is>
      </c>
      <c r="D59" s="3" t="inlineStr">
        <is>
          <t>30</t>
        </is>
      </c>
      <c r="E59" s="3" t="inlineStr">
        <is>
          <t>13</t>
        </is>
      </c>
      <c r="F59" s="3" t="inlineStr">
        <is>
          <t>67</t>
        </is>
      </c>
      <c r="G59" s="3" t="inlineStr">
        <is>
          <t>0134678</t>
        </is>
      </c>
      <c r="H59" s="3" t="inlineStr">
        <is>
          <t>T2, T3, T4, T7, T8, T9</t>
        </is>
      </c>
      <c r="I59" s="3" t="inlineStr">
        <is>
          <t>T5-B0</t>
        </is>
      </c>
      <c r="J59" s="3" t="inlineStr">
        <is>
          <t>54 con</t>
        </is>
      </c>
      <c r="K59" s="3" t="inlineStr">
        <is>
          <t>08</t>
        </is>
      </c>
      <c r="L59" s="7" t="inlineStr">
        <is>
          <t>TRÚNG</t>
        </is>
      </c>
      <c r="M59" s="6" t="inlineStr">
        <is>
          <t>KHÔNG</t>
        </is>
      </c>
      <c r="N59" s="7" t="inlineStr">
        <is>
          <t>TRÚNG</t>
        </is>
      </c>
      <c r="O59" s="3" t="inlineStr">
        <is>
          <t>87 - 78</t>
        </is>
      </c>
      <c r="P59" s="3" t="inlineStr">
        <is>
          <t>0 nháy</t>
        </is>
      </c>
      <c r="Q59" s="3" t="inlineStr">
        <is>
          <t>11 nháy</t>
        </is>
      </c>
    </row>
    <row r="60">
      <c r="A60" s="2" t="n">
        <v>53</v>
      </c>
      <c r="B60" s="2" t="inlineStr">
        <is>
          <t>Thứ năm ngày 26-02-2026 (Thứ Năm)</t>
        </is>
      </c>
      <c r="C60" s="3" t="inlineStr">
        <is>
          <t>50</t>
        </is>
      </c>
      <c r="D60" s="3" t="inlineStr">
        <is>
          <t>41</t>
        </is>
      </c>
      <c r="E60" s="3" t="inlineStr">
        <is>
          <t>65</t>
        </is>
      </c>
      <c r="F60" s="3" t="inlineStr">
        <is>
          <t>99</t>
        </is>
      </c>
      <c r="G60" s="3" t="inlineStr">
        <is>
          <t>014569</t>
        </is>
      </c>
      <c r="H60" s="3" t="inlineStr">
        <is>
          <t>T0, T1, T3, T5, T6, T8</t>
        </is>
      </c>
      <c r="I60" s="3" t="inlineStr">
        <is>
          <t>T4-B9</t>
        </is>
      </c>
      <c r="J60" s="3" t="inlineStr">
        <is>
          <t>48 con</t>
        </is>
      </c>
      <c r="K60" s="3" t="inlineStr">
        <is>
          <t>83</t>
        </is>
      </c>
      <c r="L60" s="6" t="inlineStr">
        <is>
          <t>KHÔNG</t>
        </is>
      </c>
      <c r="M60" s="6" t="inlineStr">
        <is>
          <t>KHÔNG</t>
        </is>
      </c>
      <c r="N60" s="6" t="inlineStr">
        <is>
          <t>KHÔNG</t>
        </is>
      </c>
      <c r="O60" s="3" t="inlineStr">
        <is>
          <t>59 - 95</t>
        </is>
      </c>
      <c r="P60" s="3" t="inlineStr">
        <is>
          <t>0 nháy</t>
        </is>
      </c>
      <c r="Q60" s="3" t="inlineStr">
        <is>
          <t>11 nháy</t>
        </is>
      </c>
    </row>
    <row r="61">
      <c r="A61" s="2" t="n">
        <v>54</v>
      </c>
      <c r="B61" s="2" t="inlineStr">
        <is>
          <t>Thứ sáu ngày 27-02-2026 (Thứ Sáu)</t>
        </is>
      </c>
      <c r="C61" s="3" t="inlineStr">
        <is>
          <t>57</t>
        </is>
      </c>
      <c r="D61" s="3" t="inlineStr">
        <is>
          <t>42</t>
        </is>
      </c>
      <c r="E61" s="3" t="inlineStr">
        <is>
          <t>39</t>
        </is>
      </c>
      <c r="F61" s="3" t="inlineStr">
        <is>
          <t>13</t>
        </is>
      </c>
      <c r="G61" s="3" t="inlineStr">
        <is>
          <t>1234579</t>
        </is>
      </c>
      <c r="H61" s="3" t="inlineStr">
        <is>
          <t>T1, T2, T4, T6, T7, T9</t>
        </is>
      </c>
      <c r="I61" s="3" t="inlineStr">
        <is>
          <t>T8-B3</t>
        </is>
      </c>
      <c r="J61" s="3" t="inlineStr">
        <is>
          <t>54 con</t>
        </is>
      </c>
      <c r="K61" s="3" t="inlineStr">
        <is>
          <t>91</t>
        </is>
      </c>
      <c r="L61" s="7" t="inlineStr">
        <is>
          <t>TRÚNG</t>
        </is>
      </c>
      <c r="M61" s="6" t="inlineStr">
        <is>
          <t>KHÔNG</t>
        </is>
      </c>
      <c r="N61" s="6" t="inlineStr">
        <is>
          <t>KHÔNG</t>
        </is>
      </c>
      <c r="O61" s="3" t="inlineStr">
        <is>
          <t>53 - 35</t>
        </is>
      </c>
      <c r="P61" s="3" t="inlineStr">
        <is>
          <t>1 nháy 🎯</t>
        </is>
      </c>
      <c r="Q61" s="3" t="inlineStr">
        <is>
          <t>16 nháy</t>
        </is>
      </c>
    </row>
    <row r="62">
      <c r="A62" s="2" t="n">
        <v>55</v>
      </c>
      <c r="B62" s="2" t="inlineStr">
        <is>
          <t>Thứ bảy ngày 28-02-2026 (Thứ Bảy)</t>
        </is>
      </c>
      <c r="C62" s="3" t="inlineStr">
        <is>
          <t>65</t>
        </is>
      </c>
      <c r="D62" s="3" t="inlineStr">
        <is>
          <t>82</t>
        </is>
      </c>
      <c r="E62" s="3" t="inlineStr">
        <is>
          <t>97</t>
        </is>
      </c>
      <c r="F62" s="3" t="inlineStr">
        <is>
          <t>09</t>
        </is>
      </c>
      <c r="G62" s="3" t="inlineStr">
        <is>
          <t>0256789</t>
        </is>
      </c>
      <c r="H62" s="3" t="inlineStr">
        <is>
          <t>T0, T1, T4, T5, T6, T9</t>
        </is>
      </c>
      <c r="I62" s="3" t="inlineStr">
        <is>
          <t>T5-B0</t>
        </is>
      </c>
      <c r="J62" s="3" t="inlineStr">
        <is>
          <t>55 con</t>
        </is>
      </c>
      <c r="K62" s="3" t="inlineStr">
        <is>
          <t>48</t>
        </is>
      </c>
      <c r="L62" s="7" t="inlineStr">
        <is>
          <t>TRÚNG</t>
        </is>
      </c>
      <c r="M62" s="6" t="inlineStr">
        <is>
          <t>KHÔNG</t>
        </is>
      </c>
      <c r="N62" s="6" t="inlineStr">
        <is>
          <t>KHÔNG</t>
        </is>
      </c>
      <c r="O62" s="3" t="inlineStr">
        <is>
          <t>69 - 96</t>
        </is>
      </c>
      <c r="P62" s="3" t="inlineStr">
        <is>
          <t>0 nháy</t>
        </is>
      </c>
      <c r="Q62" s="3" t="inlineStr">
        <is>
          <t>17 nháy</t>
        </is>
      </c>
    </row>
    <row r="63">
      <c r="A63" s="2" t="n">
        <v>56</v>
      </c>
      <c r="B63" s="2" t="inlineStr">
        <is>
          <t>Chủ nhật ngày 01-03-2026 (Chủ Nhật)</t>
        </is>
      </c>
      <c r="C63" s="3" t="inlineStr">
        <is>
          <t>92</t>
        </is>
      </c>
      <c r="D63" s="3" t="inlineStr">
        <is>
          <t>73</t>
        </is>
      </c>
      <c r="E63" s="3" t="inlineStr">
        <is>
          <t>60</t>
        </is>
      </c>
      <c r="F63" s="3" t="inlineStr">
        <is>
          <t>77</t>
        </is>
      </c>
      <c r="G63" s="3" t="inlineStr">
        <is>
          <t>023679</t>
        </is>
      </c>
      <c r="H63" s="3" t="inlineStr">
        <is>
          <t>T0, T1, T4, T5, T6, T9</t>
        </is>
      </c>
      <c r="I63" s="3" t="inlineStr">
        <is>
          <t>T6-B1</t>
        </is>
      </c>
      <c r="J63" s="3" t="inlineStr">
        <is>
          <t>50 con</t>
        </is>
      </c>
      <c r="K63" s="3" t="inlineStr">
        <is>
          <t>57</t>
        </is>
      </c>
      <c r="L63" s="7" t="inlineStr">
        <is>
          <t>TRÚNG</t>
        </is>
      </c>
      <c r="M63" s="6" t="inlineStr">
        <is>
          <t>KHÔNG</t>
        </is>
      </c>
      <c r="N63" s="6" t="inlineStr">
        <is>
          <t>KHÔNG</t>
        </is>
      </c>
      <c r="O63" s="3" t="inlineStr">
        <is>
          <t>97 - 79</t>
        </is>
      </c>
      <c r="P63" s="3" t="inlineStr">
        <is>
          <t>2 nháy 🎯</t>
        </is>
      </c>
      <c r="Q63" s="3" t="inlineStr">
        <is>
          <t>11 nháy</t>
        </is>
      </c>
    </row>
    <row r="64">
      <c r="A64" s="2" t="n">
        <v>57</v>
      </c>
      <c r="B64" s="2" t="inlineStr">
        <is>
          <t>Thứ hai ngày 02-03-2026 (Thứ Hai)</t>
        </is>
      </c>
      <c r="C64" s="3" t="inlineStr">
        <is>
          <t>45</t>
        </is>
      </c>
      <c r="D64" s="3" t="inlineStr">
        <is>
          <t>61</t>
        </is>
      </c>
      <c r="E64" s="3" t="inlineStr">
        <is>
          <t>98</t>
        </is>
      </c>
      <c r="F64" s="3" t="inlineStr">
        <is>
          <t>00</t>
        </is>
      </c>
      <c r="G64" s="3" t="inlineStr">
        <is>
          <t>0145689</t>
        </is>
      </c>
      <c r="H64" s="3" t="inlineStr">
        <is>
          <t>T0, T2, T4, T5, T7, T9</t>
        </is>
      </c>
      <c r="I64" s="3" t="inlineStr">
        <is>
          <t>T4-B9</t>
        </is>
      </c>
      <c r="J64" s="3" t="inlineStr">
        <is>
          <t>52 con</t>
        </is>
      </c>
      <c r="K64" s="3" t="inlineStr">
        <is>
          <t>78</t>
        </is>
      </c>
      <c r="L64" s="7" t="inlineStr">
        <is>
          <t>TRÚNG</t>
        </is>
      </c>
      <c r="M64" s="6" t="inlineStr">
        <is>
          <t>KHÔNG</t>
        </is>
      </c>
      <c r="N64" s="7" t="inlineStr">
        <is>
          <t>TRÚNG</t>
        </is>
      </c>
      <c r="O64" s="3" t="inlineStr">
        <is>
          <t>40 - 04</t>
        </is>
      </c>
      <c r="P64" s="3" t="inlineStr">
        <is>
          <t>1 nháy 🎯</t>
        </is>
      </c>
      <c r="Q64" s="3" t="inlineStr">
        <is>
          <t>16 nháy</t>
        </is>
      </c>
    </row>
    <row r="65">
      <c r="A65" s="2" t="n">
        <v>58</v>
      </c>
      <c r="B65" s="2" t="inlineStr">
        <is>
          <t>Thứ ba ngày 03-03-2026 (Thứ Ba)</t>
        </is>
      </c>
      <c r="C65" s="3" t="inlineStr">
        <is>
          <t>21</t>
        </is>
      </c>
      <c r="D65" s="3" t="inlineStr">
        <is>
          <t>36</t>
        </is>
      </c>
      <c r="E65" s="3" t="inlineStr">
        <is>
          <t>77</t>
        </is>
      </c>
      <c r="F65" s="3" t="inlineStr">
        <is>
          <t>79</t>
        </is>
      </c>
      <c r="G65" s="3" t="inlineStr">
        <is>
          <t>123679</t>
        </is>
      </c>
      <c r="H65" s="3" t="inlineStr">
        <is>
          <t>T1, T3, T4, T6, T8, T9</t>
        </is>
      </c>
      <c r="I65" s="3" t="inlineStr">
        <is>
          <t>T1-B6</t>
        </is>
      </c>
      <c r="J65" s="3" t="inlineStr">
        <is>
          <t>50 con</t>
        </is>
      </c>
      <c r="K65" s="3" t="inlineStr">
        <is>
          <t>19</t>
        </is>
      </c>
      <c r="L65" s="7" t="inlineStr">
        <is>
          <t>TRÚNG</t>
        </is>
      </c>
      <c r="M65" s="6" t="inlineStr">
        <is>
          <t>KHÔNG</t>
        </is>
      </c>
      <c r="N65" s="6" t="inlineStr">
        <is>
          <t>KHÔNG</t>
        </is>
      </c>
      <c r="O65" s="3" t="inlineStr">
        <is>
          <t>29 - 92</t>
        </is>
      </c>
      <c r="P65" s="3" t="inlineStr">
        <is>
          <t>1 nháy 🎯</t>
        </is>
      </c>
      <c r="Q65" s="3" t="inlineStr">
        <is>
          <t>15 nháy</t>
        </is>
      </c>
    </row>
    <row r="66">
      <c r="A66" s="2" t="n">
        <v>59</v>
      </c>
      <c r="B66" s="2" t="inlineStr">
        <is>
          <t>Thứ tư ngày 04-03-2026 (Thứ Tư)</t>
        </is>
      </c>
      <c r="C66" s="3" t="inlineStr">
        <is>
          <t>05</t>
        </is>
      </c>
      <c r="D66" s="3" t="inlineStr">
        <is>
          <t>26</t>
        </is>
      </c>
      <c r="E66" s="3" t="inlineStr">
        <is>
          <t>91</t>
        </is>
      </c>
      <c r="F66" s="3" t="inlineStr">
        <is>
          <t>35</t>
        </is>
      </c>
      <c r="G66" s="3" t="inlineStr">
        <is>
          <t>0123569</t>
        </is>
      </c>
      <c r="H66" s="3" t="inlineStr">
        <is>
          <t>T0, T3, T5, T8</t>
        </is>
      </c>
      <c r="I66" s="3" t="inlineStr">
        <is>
          <t>T5-B0</t>
        </is>
      </c>
      <c r="J66" s="3" t="inlineStr">
        <is>
          <t>37 con</t>
        </is>
      </c>
      <c r="K66" s="3" t="inlineStr">
        <is>
          <t>59</t>
        </is>
      </c>
      <c r="L66" s="7" t="inlineStr">
        <is>
          <t>TRÚNG</t>
        </is>
      </c>
      <c r="M66" s="6" t="inlineStr">
        <is>
          <t>KHÔNG</t>
        </is>
      </c>
      <c r="N66" s="6" t="inlineStr">
        <is>
          <t>KHÔNG</t>
        </is>
      </c>
      <c r="O66" s="3" t="inlineStr">
        <is>
          <t>05 - 50</t>
        </is>
      </c>
      <c r="P66" s="3" t="inlineStr">
        <is>
          <t>0 nháy</t>
        </is>
      </c>
      <c r="Q66" s="3" t="inlineStr">
        <is>
          <t>12 nháy</t>
        </is>
      </c>
    </row>
    <row r="67">
      <c r="A67" s="2" t="n">
        <v>60</v>
      </c>
      <c r="B67" s="2" t="inlineStr">
        <is>
          <t>Thứ năm ngày 05-03-2026 (Thứ Năm)</t>
        </is>
      </c>
      <c r="C67" s="3" t="inlineStr">
        <is>
          <t>99</t>
        </is>
      </c>
      <c r="D67" s="3" t="inlineStr">
        <is>
          <t>40</t>
        </is>
      </c>
      <c r="E67" s="3" t="inlineStr">
        <is>
          <t>14</t>
        </is>
      </c>
      <c r="F67" s="3" t="inlineStr">
        <is>
          <t>61</t>
        </is>
      </c>
      <c r="G67" s="3" t="inlineStr">
        <is>
          <t>01469</t>
        </is>
      </c>
      <c r="H67" s="3" t="inlineStr">
        <is>
          <t>T0, T2, T3, T4, T5, T7, T8, T9</t>
        </is>
      </c>
      <c r="I67" s="3" t="inlineStr">
        <is>
          <t>T0-B5</t>
        </is>
      </c>
      <c r="J67" s="3" t="inlineStr">
        <is>
          <t>59 con</t>
        </is>
      </c>
      <c r="K67" s="3" t="inlineStr">
        <is>
          <t>49</t>
        </is>
      </c>
      <c r="L67" s="7" t="inlineStr">
        <is>
          <t>TRÚNG</t>
        </is>
      </c>
      <c r="M67" s="6" t="inlineStr">
        <is>
          <t>KHÔNG</t>
        </is>
      </c>
      <c r="N67" s="7" t="inlineStr">
        <is>
          <t>TRÚNG</t>
        </is>
      </c>
      <c r="O67" s="3" t="inlineStr">
        <is>
          <t>91 - 19</t>
        </is>
      </c>
      <c r="P67" s="3" t="inlineStr">
        <is>
          <t>0 nháy</t>
        </is>
      </c>
      <c r="Q67" s="3" t="inlineStr">
        <is>
          <t>15 nháy</t>
        </is>
      </c>
    </row>
    <row r="68">
      <c r="A68" s="2" t="n">
        <v>61</v>
      </c>
      <c r="B68" s="2" t="inlineStr">
        <is>
          <t>Thứ sáu ngày 06-03-2026 (Thứ Sáu)</t>
        </is>
      </c>
      <c r="C68" s="3" t="inlineStr">
        <is>
          <t>14</t>
        </is>
      </c>
      <c r="D68" s="3" t="inlineStr">
        <is>
          <t>71</t>
        </is>
      </c>
      <c r="E68" s="3" t="inlineStr">
        <is>
          <t>85</t>
        </is>
      </c>
      <c r="F68" s="3" t="inlineStr">
        <is>
          <t>01</t>
        </is>
      </c>
      <c r="G68" s="3" t="inlineStr">
        <is>
          <t>014578</t>
        </is>
      </c>
      <c r="H68" s="3" t="inlineStr">
        <is>
          <t>T0, T1, T3, T5, T6, T8</t>
        </is>
      </c>
      <c r="I68" s="3" t="inlineStr">
        <is>
          <t>T2-B7</t>
        </is>
      </c>
      <c r="J68" s="3" t="inlineStr">
        <is>
          <t>50 con</t>
        </is>
      </c>
      <c r="K68" s="3" t="inlineStr">
        <is>
          <t>51</t>
        </is>
      </c>
      <c r="L68" s="7" t="inlineStr">
        <is>
          <t>TRÚNG</t>
        </is>
      </c>
      <c r="M68" s="6" t="inlineStr">
        <is>
          <t>KHÔNG</t>
        </is>
      </c>
      <c r="N68" s="7" t="inlineStr">
        <is>
          <t>TRÚNG</t>
        </is>
      </c>
      <c r="O68" s="3" t="inlineStr">
        <is>
          <t>11</t>
        </is>
      </c>
      <c r="P68" s="3" t="inlineStr">
        <is>
          <t>0 nháy</t>
        </is>
      </c>
      <c r="Q68" s="3" t="inlineStr">
        <is>
          <t>15 nháy</t>
        </is>
      </c>
    </row>
    <row r="69">
      <c r="A69" s="2" t="n">
        <v>62</v>
      </c>
      <c r="B69" s="2" t="inlineStr">
        <is>
          <t>Thứ bảy ngày 07-03-2026 (Thứ Bảy)</t>
        </is>
      </c>
      <c r="C69" s="3" t="inlineStr">
        <is>
          <t>43</t>
        </is>
      </c>
      <c r="D69" s="3" t="inlineStr">
        <is>
          <t>21</t>
        </is>
      </c>
      <c r="E69" s="3" t="inlineStr">
        <is>
          <t>64</t>
        </is>
      </c>
      <c r="F69" s="3" t="inlineStr">
        <is>
          <t>83</t>
        </is>
      </c>
      <c r="G69" s="3" t="inlineStr">
        <is>
          <t>123468</t>
        </is>
      </c>
      <c r="H69" s="3" t="inlineStr">
        <is>
          <t>T0, T1, T2, T3, T5, T6, T7, T8</t>
        </is>
      </c>
      <c r="I69" s="3" t="inlineStr">
        <is>
          <t>T7-B2</t>
        </is>
      </c>
      <c r="J69" s="3" t="inlineStr">
        <is>
          <t>69 con</t>
        </is>
      </c>
      <c r="K69" s="3" t="inlineStr">
        <is>
          <t>36</t>
        </is>
      </c>
      <c r="L69" s="7" t="inlineStr">
        <is>
          <t>TRÚNG</t>
        </is>
      </c>
      <c r="M69" s="6" t="inlineStr">
        <is>
          <t>KHÔNG</t>
        </is>
      </c>
      <c r="N69" s="6" t="inlineStr">
        <is>
          <t>KHÔNG</t>
        </is>
      </c>
      <c r="O69" s="3" t="inlineStr">
        <is>
          <t>43 - 34</t>
        </is>
      </c>
      <c r="P69" s="3" t="inlineStr">
        <is>
          <t>0 nháy</t>
        </is>
      </c>
      <c r="Q69" s="3" t="inlineStr">
        <is>
          <t>22 nháy</t>
        </is>
      </c>
    </row>
    <row r="70">
      <c r="A70" s="2" t="n">
        <v>63</v>
      </c>
      <c r="B70" s="2" t="inlineStr">
        <is>
          <t>Chủ nhật ngày 08-03-2026 (Chủ Nhật)</t>
        </is>
      </c>
      <c r="C70" s="3" t="inlineStr">
        <is>
          <t>74</t>
        </is>
      </c>
      <c r="D70" s="3" t="inlineStr">
        <is>
          <t>27</t>
        </is>
      </c>
      <c r="E70" s="3" t="inlineStr">
        <is>
          <t>24</t>
        </is>
      </c>
      <c r="F70" s="3" t="inlineStr">
        <is>
          <t>42</t>
        </is>
      </c>
      <c r="G70" s="3" t="inlineStr">
        <is>
          <t>247</t>
        </is>
      </c>
      <c r="H70" s="3" t="inlineStr">
        <is>
          <t>T1, T4, T6, T9</t>
        </is>
      </c>
      <c r="I70" s="3" t="inlineStr">
        <is>
          <t>T9-B4</t>
        </is>
      </c>
      <c r="J70" s="3" t="inlineStr">
        <is>
          <t>16 con</t>
        </is>
      </c>
      <c r="K70" s="3" t="inlineStr">
        <is>
          <t>80</t>
        </is>
      </c>
      <c r="L70" s="6" t="inlineStr">
        <is>
          <t>KHÔNG</t>
        </is>
      </c>
      <c r="M70" s="6" t="inlineStr">
        <is>
          <t>KHÔNG</t>
        </is>
      </c>
      <c r="N70" s="6" t="inlineStr">
        <is>
          <t>KHÔNG</t>
        </is>
      </c>
      <c r="O70" s="3" t="inlineStr">
        <is>
          <t>72 - 27</t>
        </is>
      </c>
      <c r="P70" s="3" t="inlineStr">
        <is>
          <t>1 nháy 🎯</t>
        </is>
      </c>
      <c r="Q70" s="3" t="inlineStr">
        <is>
          <t>5 nháy</t>
        </is>
      </c>
    </row>
    <row r="71">
      <c r="A71" s="2" t="n">
        <v>64</v>
      </c>
      <c r="B71" s="2" t="inlineStr">
        <is>
          <t>Thứ hai ngày 09-03-2026 (Thứ Hai)</t>
        </is>
      </c>
      <c r="C71" s="3" t="inlineStr">
        <is>
          <t>53</t>
        </is>
      </c>
      <c r="D71" s="3" t="inlineStr">
        <is>
          <t>35</t>
        </is>
      </c>
      <c r="E71" s="3" t="inlineStr">
        <is>
          <t>65</t>
        </is>
      </c>
      <c r="F71" s="3" t="inlineStr">
        <is>
          <t>20</t>
        </is>
      </c>
      <c r="G71" s="3" t="inlineStr">
        <is>
          <t>02356</t>
        </is>
      </c>
      <c r="H71" s="3" t="inlineStr">
        <is>
          <t>T1, T2, T3, T6, T7, T8</t>
        </is>
      </c>
      <c r="I71" s="3" t="inlineStr">
        <is>
          <t>T5-B0</t>
        </is>
      </c>
      <c r="J71" s="3" t="inlineStr">
        <is>
          <t>44 con</t>
        </is>
      </c>
      <c r="K71" s="3" t="inlineStr">
        <is>
          <t>42</t>
        </is>
      </c>
      <c r="L71" s="7" t="inlineStr">
        <is>
          <t>TRÚNG</t>
        </is>
      </c>
      <c r="M71" s="6" t="inlineStr">
        <is>
          <t>KHÔNG</t>
        </is>
      </c>
      <c r="N71" s="7" t="inlineStr">
        <is>
          <t>TRÚNG</t>
        </is>
      </c>
      <c r="O71" s="3" t="inlineStr">
        <is>
          <t>50 - 05</t>
        </is>
      </c>
      <c r="P71" s="3" t="inlineStr">
        <is>
          <t>2 nháy 🎯</t>
        </is>
      </c>
      <c r="Q71" s="3" t="inlineStr">
        <is>
          <t>10 nháy</t>
        </is>
      </c>
    </row>
    <row r="72">
      <c r="A72" s="2" t="n">
        <v>65</v>
      </c>
      <c r="B72" s="2" t="inlineStr">
        <is>
          <t>Thứ ba ngày 10-03-2026 (Thứ Ba)</t>
        </is>
      </c>
      <c r="C72" s="3" t="inlineStr">
        <is>
          <t>37</t>
        </is>
      </c>
      <c r="D72" s="3" t="inlineStr">
        <is>
          <t>95</t>
        </is>
      </c>
      <c r="E72" s="3" t="inlineStr">
        <is>
          <t>78</t>
        </is>
      </c>
      <c r="F72" s="3" t="inlineStr">
        <is>
          <t>51</t>
        </is>
      </c>
      <c r="G72" s="3" t="inlineStr">
        <is>
          <t>135789</t>
        </is>
      </c>
      <c r="H72" s="3" t="inlineStr">
        <is>
          <t>T0, T1, T4, T5, T6, T9</t>
        </is>
      </c>
      <c r="I72" s="3" t="inlineStr">
        <is>
          <t>T4-B9</t>
        </is>
      </c>
      <c r="J72" s="3" t="inlineStr">
        <is>
          <t>50 con</t>
        </is>
      </c>
      <c r="K72" s="3" t="inlineStr">
        <is>
          <t>68</t>
        </is>
      </c>
      <c r="L72" s="7" t="inlineStr">
        <is>
          <t>TRÚNG</t>
        </is>
      </c>
      <c r="M72" s="7" t="inlineStr">
        <is>
          <t>TRÚNG</t>
        </is>
      </c>
      <c r="N72" s="7" t="inlineStr">
        <is>
          <t>TRÚNG</t>
        </is>
      </c>
      <c r="O72" s="3" t="inlineStr">
        <is>
          <t>31 - 13</t>
        </is>
      </c>
      <c r="P72" s="3" t="inlineStr">
        <is>
          <t>1 nháy 🎯</t>
        </is>
      </c>
      <c r="Q72" s="3" t="inlineStr">
        <is>
          <t>18 nháy</t>
        </is>
      </c>
    </row>
    <row r="73">
      <c r="A73" s="2" t="n">
        <v>66</v>
      </c>
      <c r="B73" s="2" t="inlineStr">
        <is>
          <t>Thứ tư ngày 11-03-2026 (Thứ Tư)</t>
        </is>
      </c>
      <c r="C73" s="3" t="inlineStr">
        <is>
          <t>97</t>
        </is>
      </c>
      <c r="D73" s="3" t="inlineStr">
        <is>
          <t>71</t>
        </is>
      </c>
      <c r="E73" s="3" t="inlineStr">
        <is>
          <t>09</t>
        </is>
      </c>
      <c r="F73" s="3" t="inlineStr">
        <is>
          <t>43</t>
        </is>
      </c>
      <c r="G73" s="3" t="inlineStr">
        <is>
          <t>013479</t>
        </is>
      </c>
      <c r="H73" s="3" t="inlineStr">
        <is>
          <t>T1, T2, T3, T4, T6, T7, T8, T9</t>
        </is>
      </c>
      <c r="I73" s="3" t="inlineStr">
        <is>
          <t>T2-B7</t>
        </is>
      </c>
      <c r="J73" s="3" t="inlineStr">
        <is>
          <t>67 con</t>
        </is>
      </c>
      <c r="K73" s="3" t="inlineStr">
        <is>
          <t>24</t>
        </is>
      </c>
      <c r="L73" s="7" t="inlineStr">
        <is>
          <t>TRÚNG</t>
        </is>
      </c>
      <c r="M73" s="6" t="inlineStr">
        <is>
          <t>KHÔNG</t>
        </is>
      </c>
      <c r="N73" s="7" t="inlineStr">
        <is>
          <t>TRÚNG</t>
        </is>
      </c>
      <c r="O73" s="3" t="inlineStr">
        <is>
          <t>93 - 39</t>
        </is>
      </c>
      <c r="P73" s="3" t="inlineStr">
        <is>
          <t>1 nháy 🎯</t>
        </is>
      </c>
      <c r="Q73" s="3" t="inlineStr">
        <is>
          <t>17 nháy</t>
        </is>
      </c>
    </row>
    <row r="74">
      <c r="A74" s="2" t="n">
        <v>67</v>
      </c>
      <c r="B74" s="2" t="inlineStr">
        <is>
          <t>Thứ năm ngày 12-03-2026 (Thứ Năm)</t>
        </is>
      </c>
      <c r="C74" s="3" t="inlineStr">
        <is>
          <t>90</t>
        </is>
      </c>
      <c r="D74" s="3" t="inlineStr">
        <is>
          <t>08</t>
        </is>
      </c>
      <c r="E74" s="3" t="inlineStr">
        <is>
          <t>64</t>
        </is>
      </c>
      <c r="F74" s="3" t="inlineStr">
        <is>
          <t>59</t>
        </is>
      </c>
      <c r="G74" s="3" t="inlineStr">
        <is>
          <t>045689</t>
        </is>
      </c>
      <c r="H74" s="3" t="inlineStr">
        <is>
          <t>T0, T3, T4, T5, T8, T9</t>
        </is>
      </c>
      <c r="I74" s="3" t="inlineStr">
        <is>
          <t>T8-B3</t>
        </is>
      </c>
      <c r="J74" s="3" t="inlineStr">
        <is>
          <t>46 con</t>
        </is>
      </c>
      <c r="K74" s="3" t="inlineStr">
        <is>
          <t>59</t>
        </is>
      </c>
      <c r="L74" s="7" t="inlineStr">
        <is>
          <t>TRÚNG</t>
        </is>
      </c>
      <c r="M74" s="6" t="inlineStr">
        <is>
          <t>KHÔNG</t>
        </is>
      </c>
      <c r="N74" s="7" t="inlineStr">
        <is>
          <t>TRÚNG</t>
        </is>
      </c>
      <c r="O74" s="3" t="inlineStr">
        <is>
          <t>99</t>
        </is>
      </c>
      <c r="P74" s="3" t="inlineStr">
        <is>
          <t>0 nháy</t>
        </is>
      </c>
      <c r="Q74" s="3" t="inlineStr">
        <is>
          <t>12 nháy</t>
        </is>
      </c>
    </row>
    <row r="75">
      <c r="A75" s="2" t="n">
        <v>68</v>
      </c>
      <c r="B75" s="2" t="inlineStr">
        <is>
          <t>Thứ sáu ngày 13-03-2026 (Thứ Sáu)</t>
        </is>
      </c>
      <c r="C75" s="3" t="inlineStr">
        <is>
          <t>88</t>
        </is>
      </c>
      <c r="D75" s="3" t="inlineStr">
        <is>
          <t>90</t>
        </is>
      </c>
      <c r="E75" s="3" t="inlineStr">
        <is>
          <t>10</t>
        </is>
      </c>
      <c r="F75" s="3" t="inlineStr">
        <is>
          <t>65</t>
        </is>
      </c>
      <c r="G75" s="3" t="inlineStr">
        <is>
          <t>015689</t>
        </is>
      </c>
      <c r="H75" s="3" t="inlineStr">
        <is>
          <t>T1, T4, T6, T9</t>
        </is>
      </c>
      <c r="I75" s="3" t="inlineStr">
        <is>
          <t>T3-B8</t>
        </is>
      </c>
      <c r="J75" s="3" t="inlineStr">
        <is>
          <t>31 con</t>
        </is>
      </c>
      <c r="K75" s="3" t="inlineStr">
        <is>
          <t>48</t>
        </is>
      </c>
      <c r="L75" s="7" t="inlineStr">
        <is>
          <t>TRÚNG</t>
        </is>
      </c>
      <c r="M75" s="6" t="inlineStr">
        <is>
          <t>KHÔNG</t>
        </is>
      </c>
      <c r="N75" s="6" t="inlineStr">
        <is>
          <t>KHÔNG</t>
        </is>
      </c>
      <c r="O75" s="3" t="inlineStr">
        <is>
          <t>85 - 58</t>
        </is>
      </c>
      <c r="P75" s="3" t="inlineStr">
        <is>
          <t>0 nháy</t>
        </is>
      </c>
      <c r="Q75" s="3" t="inlineStr">
        <is>
          <t>7 nháy</t>
        </is>
      </c>
    </row>
    <row r="76">
      <c r="A76" s="2" t="n">
        <v>69</v>
      </c>
      <c r="B76" s="2" t="inlineStr">
        <is>
          <t>Thứ bảy ngày 14-03-2026 (Thứ Bảy)</t>
        </is>
      </c>
      <c r="C76" s="3" t="inlineStr">
        <is>
          <t>52</t>
        </is>
      </c>
      <c r="D76" s="3" t="inlineStr">
        <is>
          <t>55</t>
        </is>
      </c>
      <c r="E76" s="3" t="inlineStr">
        <is>
          <t>92</t>
        </is>
      </c>
      <c r="F76" s="3" t="inlineStr">
        <is>
          <t>91</t>
        </is>
      </c>
      <c r="G76" s="3" t="inlineStr">
        <is>
          <t>1259</t>
        </is>
      </c>
      <c r="H76" s="3" t="inlineStr">
        <is>
          <t>T0, T1, T2, T5, T6, T7</t>
        </is>
      </c>
      <c r="I76" s="3" t="inlineStr">
        <is>
          <t>T6-B1</t>
        </is>
      </c>
      <c r="J76" s="3" t="inlineStr">
        <is>
          <t>38 con</t>
        </is>
      </c>
      <c r="K76" s="3" t="inlineStr">
        <is>
          <t>70</t>
        </is>
      </c>
      <c r="L76" s="6" t="inlineStr">
        <is>
          <t>KHÔNG</t>
        </is>
      </c>
      <c r="M76" s="6" t="inlineStr">
        <is>
          <t>KHÔNG</t>
        </is>
      </c>
      <c r="N76" s="6" t="inlineStr">
        <is>
          <t>KHÔNG</t>
        </is>
      </c>
      <c r="O76" s="3" t="inlineStr">
        <is>
          <t>51 - 15</t>
        </is>
      </c>
      <c r="P76" s="3" t="inlineStr">
        <is>
          <t>0 nháy</t>
        </is>
      </c>
      <c r="Q76" s="3" t="inlineStr">
        <is>
          <t>11 nháy</t>
        </is>
      </c>
    </row>
    <row r="77">
      <c r="A77" s="2" t="n">
        <v>70</v>
      </c>
      <c r="B77" s="2" t="inlineStr">
        <is>
          <t>Chủ nhật ngày 15-03-2026 (Chủ Nhật)</t>
        </is>
      </c>
      <c r="C77" s="3" t="inlineStr">
        <is>
          <t>68</t>
        </is>
      </c>
      <c r="D77" s="3" t="inlineStr">
        <is>
          <t>84</t>
        </is>
      </c>
      <c r="E77" s="3" t="inlineStr">
        <is>
          <t>38</t>
        </is>
      </c>
      <c r="F77" s="3" t="inlineStr">
        <is>
          <t>76</t>
        </is>
      </c>
      <c r="G77" s="3" t="inlineStr">
        <is>
          <t>34678</t>
        </is>
      </c>
      <c r="H77" s="3" t="inlineStr">
        <is>
          <t>T1, T2, T3, T4, T6, T7, T8, T9</t>
        </is>
      </c>
      <c r="I77" s="3" t="inlineStr">
        <is>
          <t>T2-B7</t>
        </is>
      </c>
      <c r="J77" s="3" t="inlineStr">
        <is>
          <t>61 con</t>
        </is>
      </c>
      <c r="K77" s="3" t="inlineStr">
        <is>
          <t>52</t>
        </is>
      </c>
      <c r="L77" s="6" t="inlineStr">
        <is>
          <t>KHÔNG</t>
        </is>
      </c>
      <c r="M77" s="7" t="inlineStr">
        <is>
          <t>TRÚNG</t>
        </is>
      </c>
      <c r="N77" s="6" t="inlineStr">
        <is>
          <t>KHÔNG</t>
        </is>
      </c>
      <c r="O77" s="3" t="inlineStr">
        <is>
          <t>66</t>
        </is>
      </c>
      <c r="P77" s="3" t="inlineStr">
        <is>
          <t>0 nháy</t>
        </is>
      </c>
      <c r="Q77" s="3" t="inlineStr">
        <is>
          <t>16 nháy</t>
        </is>
      </c>
    </row>
    <row r="78">
      <c r="A78" s="2" t="n">
        <v>71</v>
      </c>
      <c r="B78" s="2" t="inlineStr">
        <is>
          <t>Thứ hai ngày 16-03-2026 (Thứ Hai)</t>
        </is>
      </c>
      <c r="C78" s="3" t="inlineStr">
        <is>
          <t>47</t>
        </is>
      </c>
      <c r="D78" s="3" t="inlineStr">
        <is>
          <t>50</t>
        </is>
      </c>
      <c r="E78" s="3" t="inlineStr">
        <is>
          <t>39</t>
        </is>
      </c>
      <c r="F78" s="3" t="inlineStr">
        <is>
          <t>28</t>
        </is>
      </c>
      <c r="G78" s="3" t="inlineStr">
        <is>
          <t>02345789</t>
        </is>
      </c>
      <c r="H78" s="3" t="inlineStr">
        <is>
          <t>T0, T1, T2, T5, T6, T7</t>
        </is>
      </c>
      <c r="I78" s="3" t="inlineStr">
        <is>
          <t>T2-B7</t>
        </is>
      </c>
      <c r="J78" s="3" t="inlineStr">
        <is>
          <t>56 con</t>
        </is>
      </c>
      <c r="K78" s="3" t="inlineStr">
        <is>
          <t>69</t>
        </is>
      </c>
      <c r="L78" s="7" t="inlineStr">
        <is>
          <t>TRÚNG</t>
        </is>
      </c>
      <c r="M78" s="6" t="inlineStr">
        <is>
          <t>KHÔNG</t>
        </is>
      </c>
      <c r="N78" s="7" t="inlineStr">
        <is>
          <t>TRÚNG</t>
        </is>
      </c>
      <c r="O78" s="3" t="inlineStr">
        <is>
          <t>48 - 84</t>
        </is>
      </c>
      <c r="P78" s="3" t="inlineStr">
        <is>
          <t>0 nháy</t>
        </is>
      </c>
      <c r="Q78" s="3" t="inlineStr">
        <is>
          <t>11 nháy</t>
        </is>
      </c>
    </row>
    <row r="79">
      <c r="A79" s="2" t="n">
        <v>72</v>
      </c>
      <c r="B79" s="2" t="inlineStr">
        <is>
          <t>Thứ ba ngày 17-03-2026 (Thứ Ba)</t>
        </is>
      </c>
      <c r="C79" s="3" t="inlineStr">
        <is>
          <t>90</t>
        </is>
      </c>
      <c r="D79" s="3" t="inlineStr">
        <is>
          <t>22</t>
        </is>
      </c>
      <c r="E79" s="3" t="inlineStr">
        <is>
          <t>75</t>
        </is>
      </c>
      <c r="F79" s="3" t="inlineStr">
        <is>
          <t>93</t>
        </is>
      </c>
      <c r="G79" s="3" t="inlineStr">
        <is>
          <t>023579</t>
        </is>
      </c>
      <c r="H79" s="3" t="inlineStr">
        <is>
          <t>T2, T4, T7, T9</t>
        </is>
      </c>
      <c r="I79" s="3" t="inlineStr">
        <is>
          <t>T2-B7</t>
        </is>
      </c>
      <c r="J79" s="3" t="inlineStr">
        <is>
          <t>30 con</t>
        </is>
      </c>
      <c r="K79" s="3" t="inlineStr">
        <is>
          <t>87</t>
        </is>
      </c>
      <c r="L79" s="7" t="inlineStr">
        <is>
          <t>TRÚNG</t>
        </is>
      </c>
      <c r="M79" s="6" t="inlineStr">
        <is>
          <t>KHÔNG</t>
        </is>
      </c>
      <c r="N79" s="6" t="inlineStr">
        <is>
          <t>KHÔNG</t>
        </is>
      </c>
      <c r="O79" s="3" t="inlineStr">
        <is>
          <t>93 - 39</t>
        </is>
      </c>
      <c r="P79" s="3" t="inlineStr">
        <is>
          <t>0 nháy</t>
        </is>
      </c>
      <c r="Q79" s="3" t="inlineStr">
        <is>
          <t>9 nháy</t>
        </is>
      </c>
    </row>
    <row r="80">
      <c r="A80" s="2" t="n">
        <v>73</v>
      </c>
      <c r="B80" s="2" t="inlineStr">
        <is>
          <t>Thứ tư ngày 18-03-2026 (Thứ Tư)</t>
        </is>
      </c>
      <c r="C80" s="3" t="inlineStr">
        <is>
          <t>57</t>
        </is>
      </c>
      <c r="D80" s="3" t="inlineStr">
        <is>
          <t>16</t>
        </is>
      </c>
      <c r="E80" s="3" t="inlineStr">
        <is>
          <t>30</t>
        </is>
      </c>
      <c r="F80" s="3" t="inlineStr">
        <is>
          <t>29</t>
        </is>
      </c>
      <c r="G80" s="3" t="inlineStr">
        <is>
          <t>01235679</t>
        </is>
      </c>
      <c r="H80" s="3" t="inlineStr">
        <is>
          <t>T1, T2, T3, T6, T7, T8</t>
        </is>
      </c>
      <c r="I80" s="3" t="inlineStr">
        <is>
          <t>T4-B9</t>
        </is>
      </c>
      <c r="J80" s="3" t="inlineStr">
        <is>
          <t>56 con</t>
        </is>
      </c>
      <c r="K80" s="3" t="inlineStr">
        <is>
          <t>95</t>
        </is>
      </c>
      <c r="L80" s="7" t="inlineStr">
        <is>
          <t>TRÚNG</t>
        </is>
      </c>
      <c r="M80" s="7" t="inlineStr">
        <is>
          <t>TRÚNG</t>
        </is>
      </c>
      <c r="N80" s="6" t="inlineStr">
        <is>
          <t>KHÔNG</t>
        </is>
      </c>
      <c r="O80" s="3" t="inlineStr">
        <is>
          <t>59 - 95</t>
        </is>
      </c>
      <c r="P80" s="3" t="inlineStr">
        <is>
          <t>1 nháy 🎯</t>
        </is>
      </c>
      <c r="Q80" s="3" t="inlineStr">
        <is>
          <t>16 nháy</t>
        </is>
      </c>
    </row>
    <row r="81">
      <c r="A81" s="2" t="n">
        <v>74</v>
      </c>
      <c r="B81" s="2" t="inlineStr">
        <is>
          <t>Thứ năm ngày 19-03-2026 (Thứ Năm)</t>
        </is>
      </c>
      <c r="C81" s="3" t="inlineStr">
        <is>
          <t>56</t>
        </is>
      </c>
      <c r="D81" s="3" t="inlineStr">
        <is>
          <t>52</t>
        </is>
      </c>
      <c r="E81" s="3" t="inlineStr">
        <is>
          <t>06</t>
        </is>
      </c>
      <c r="F81" s="3" t="inlineStr">
        <is>
          <t>41</t>
        </is>
      </c>
      <c r="G81" s="3" t="inlineStr">
        <is>
          <t>012456</t>
        </is>
      </c>
      <c r="H81" s="3" t="inlineStr">
        <is>
          <t>T0, T1, T2, T5, T6, T7</t>
        </is>
      </c>
      <c r="I81" s="3" t="inlineStr">
        <is>
          <t>T6-B1</t>
        </is>
      </c>
      <c r="J81" s="3" t="inlineStr">
        <is>
          <t>46 con</t>
        </is>
      </c>
      <c r="K81" s="3" t="inlineStr">
        <is>
          <t>24</t>
        </is>
      </c>
      <c r="L81" s="7" t="inlineStr">
        <is>
          <t>TRÚNG</t>
        </is>
      </c>
      <c r="M81" s="7" t="inlineStr">
        <is>
          <t>TRÚNG</t>
        </is>
      </c>
      <c r="N81" s="7" t="inlineStr">
        <is>
          <t>TRÚNG</t>
        </is>
      </c>
      <c r="O81" s="3" t="inlineStr">
        <is>
          <t>51 - 15</t>
        </is>
      </c>
      <c r="P81" s="3" t="inlineStr">
        <is>
          <t>1 nháy 🎯</t>
        </is>
      </c>
      <c r="Q81" s="3" t="inlineStr">
        <is>
          <t>13 nháy</t>
        </is>
      </c>
    </row>
    <row r="82">
      <c r="A82" s="2" t="n">
        <v>75</v>
      </c>
      <c r="B82" s="2" t="inlineStr">
        <is>
          <t>Thứ sáu ngày 20-03-2026 (Thứ Sáu)</t>
        </is>
      </c>
      <c r="C82" s="3" t="inlineStr">
        <is>
          <t>57</t>
        </is>
      </c>
      <c r="D82" s="3" t="inlineStr">
        <is>
          <t>44</t>
        </is>
      </c>
      <c r="E82" s="3" t="inlineStr">
        <is>
          <t>80</t>
        </is>
      </c>
      <c r="F82" s="3" t="inlineStr">
        <is>
          <t>32</t>
        </is>
      </c>
      <c r="G82" s="3" t="inlineStr">
        <is>
          <t>0234578</t>
        </is>
      </c>
      <c r="H82" s="3" t="inlineStr">
        <is>
          <t>T0, T2, T3, T5, T7, T8</t>
        </is>
      </c>
      <c r="I82" s="3" t="inlineStr">
        <is>
          <t>T7-B2</t>
        </is>
      </c>
      <c r="J82" s="3" t="inlineStr">
        <is>
          <t>51 con</t>
        </is>
      </c>
      <c r="K82" s="3" t="inlineStr">
        <is>
          <t>94</t>
        </is>
      </c>
      <c r="L82" s="7" t="inlineStr">
        <is>
          <t>TRÚNG</t>
        </is>
      </c>
      <c r="M82" s="6" t="inlineStr">
        <is>
          <t>KHÔNG</t>
        </is>
      </c>
      <c r="N82" s="7" t="inlineStr">
        <is>
          <t>TRÚNG</t>
        </is>
      </c>
      <c r="O82" s="3" t="inlineStr">
        <is>
          <t>52 - 25</t>
        </is>
      </c>
      <c r="P82" s="3" t="inlineStr">
        <is>
          <t>1 nháy 🎯</t>
        </is>
      </c>
      <c r="Q82" s="3" t="inlineStr">
        <is>
          <t>14 nháy</t>
        </is>
      </c>
    </row>
    <row r="83">
      <c r="A83" s="2" t="n">
        <v>76</v>
      </c>
      <c r="B83" s="2" t="inlineStr">
        <is>
          <t>Thứ bảy ngày 21-03-2026 (Thứ Bảy)</t>
        </is>
      </c>
      <c r="C83" s="3" t="inlineStr">
        <is>
          <t>92</t>
        </is>
      </c>
      <c r="D83" s="3" t="inlineStr">
        <is>
          <t>26</t>
        </is>
      </c>
      <c r="E83" s="3" t="inlineStr">
        <is>
          <t>43</t>
        </is>
      </c>
      <c r="F83" s="3" t="inlineStr">
        <is>
          <t>05</t>
        </is>
      </c>
      <c r="G83" s="3" t="inlineStr">
        <is>
          <t>0234569</t>
        </is>
      </c>
      <c r="H83" s="3" t="inlineStr">
        <is>
          <t>T0, T1, T2, T3, T5, T6, T7, T8</t>
        </is>
      </c>
      <c r="I83" s="3" t="inlineStr">
        <is>
          <t>T4-B9</t>
        </is>
      </c>
      <c r="J83" s="3" t="inlineStr">
        <is>
          <t>74 con</t>
        </is>
      </c>
      <c r="K83" s="3" t="inlineStr">
        <is>
          <t>46</t>
        </is>
      </c>
      <c r="L83" s="7" t="inlineStr">
        <is>
          <t>TRÚNG</t>
        </is>
      </c>
      <c r="M83" s="6" t="inlineStr">
        <is>
          <t>KHÔNG</t>
        </is>
      </c>
      <c r="N83" s="7" t="inlineStr">
        <is>
          <t>TRÚNG</t>
        </is>
      </c>
      <c r="O83" s="3" t="inlineStr">
        <is>
          <t>95 - 59</t>
        </is>
      </c>
      <c r="P83" s="3" t="inlineStr">
        <is>
          <t>0 nháy</t>
        </is>
      </c>
      <c r="Q83" s="3" t="inlineStr">
        <is>
          <t>19 nháy</t>
        </is>
      </c>
    </row>
    <row r="84">
      <c r="A84" s="2" t="n">
        <v>77</v>
      </c>
      <c r="B84" s="2" t="inlineStr">
        <is>
          <t>Chủ nhật ngày 22-03-2026 (Chủ Nhật)</t>
        </is>
      </c>
      <c r="C84" s="3" t="inlineStr">
        <is>
          <t>80</t>
        </is>
      </c>
      <c r="D84" s="3" t="inlineStr">
        <is>
          <t>11</t>
        </is>
      </c>
      <c r="E84" s="3" t="inlineStr">
        <is>
          <t>24</t>
        </is>
      </c>
      <c r="F84" s="3" t="inlineStr">
        <is>
          <t>39</t>
        </is>
      </c>
      <c r="G84" s="3" t="inlineStr">
        <is>
          <t>0123489</t>
        </is>
      </c>
      <c r="H84" s="3" t="inlineStr">
        <is>
          <t>T1, T2, T3, T6, T7, T8</t>
        </is>
      </c>
      <c r="I84" s="3" t="inlineStr">
        <is>
          <t>T7-B2</t>
        </is>
      </c>
      <c r="J84" s="3" t="inlineStr">
        <is>
          <t>53 con</t>
        </is>
      </c>
      <c r="K84" s="3" t="inlineStr">
        <is>
          <t>14</t>
        </is>
      </c>
      <c r="L84" s="7" t="inlineStr">
        <is>
          <t>TRÚNG</t>
        </is>
      </c>
      <c r="M84" s="6" t="inlineStr">
        <is>
          <t>KHÔNG</t>
        </is>
      </c>
      <c r="N84" s="6" t="inlineStr">
        <is>
          <t>KHÔNG</t>
        </is>
      </c>
      <c r="O84" s="3" t="inlineStr">
        <is>
          <t>89 - 98</t>
        </is>
      </c>
      <c r="P84" s="3" t="inlineStr">
        <is>
          <t>1 nháy 🎯</t>
        </is>
      </c>
      <c r="Q84" s="3" t="inlineStr">
        <is>
          <t>12 nháy</t>
        </is>
      </c>
    </row>
    <row r="85">
      <c r="A85" s="2" t="n">
        <v>78</v>
      </c>
      <c r="B85" s="2" t="inlineStr">
        <is>
          <t>Thứ hai ngày 23-03-2026 (Thứ Hai)</t>
        </is>
      </c>
      <c r="C85" s="3" t="inlineStr">
        <is>
          <t>89</t>
        </is>
      </c>
      <c r="D85" s="3" t="inlineStr">
        <is>
          <t>44</t>
        </is>
      </c>
      <c r="E85" s="3" t="inlineStr">
        <is>
          <t>29</t>
        </is>
      </c>
      <c r="F85" s="3" t="inlineStr">
        <is>
          <t>28</t>
        </is>
      </c>
      <c r="G85" s="3" t="inlineStr">
        <is>
          <t>2489</t>
        </is>
      </c>
      <c r="H85" s="3" t="inlineStr">
        <is>
          <t>T0, T1, T2, T3, T5, T6, T7, T8</t>
        </is>
      </c>
      <c r="I85" s="3" t="inlineStr">
        <is>
          <t>T6-B1</t>
        </is>
      </c>
      <c r="J85" s="3" t="inlineStr">
        <is>
          <t>49 con</t>
        </is>
      </c>
      <c r="K85" s="3" t="inlineStr">
        <is>
          <t>29</t>
        </is>
      </c>
      <c r="L85" s="7" t="inlineStr">
        <is>
          <t>TRÚNG</t>
        </is>
      </c>
      <c r="M85" s="7" t="inlineStr">
        <is>
          <t>TRÚNG</t>
        </is>
      </c>
      <c r="N85" s="7" t="inlineStr">
        <is>
          <t>TRÚNG</t>
        </is>
      </c>
      <c r="O85" s="3" t="inlineStr">
        <is>
          <t>88</t>
        </is>
      </c>
      <c r="P85" s="3" t="inlineStr">
        <is>
          <t>0 nháy</t>
        </is>
      </c>
      <c r="Q85" s="3" t="inlineStr">
        <is>
          <t>13 nháy</t>
        </is>
      </c>
    </row>
    <row r="86">
      <c r="A86" s="2" t="n">
        <v>79</v>
      </c>
      <c r="B86" s="2" t="inlineStr">
        <is>
          <t>Thứ ba ngày 24-03-2026 (Thứ Ba)</t>
        </is>
      </c>
      <c r="C86" s="3" t="inlineStr">
        <is>
          <t>07</t>
        </is>
      </c>
      <c r="D86" s="3" t="inlineStr">
        <is>
          <t>96</t>
        </is>
      </c>
      <c r="E86" s="3" t="inlineStr">
        <is>
          <t>47</t>
        </is>
      </c>
      <c r="F86" s="3" t="inlineStr">
        <is>
          <t>40</t>
        </is>
      </c>
      <c r="G86" s="3" t="inlineStr">
        <is>
          <t>04679</t>
        </is>
      </c>
      <c r="H86" s="3" t="inlineStr">
        <is>
          <t>T0, T1, T2, T4, T5, T6, T7, T9</t>
        </is>
      </c>
      <c r="I86" s="3" t="inlineStr">
        <is>
          <t>T0-B5</t>
        </is>
      </c>
      <c r="J86" s="3" t="inlineStr">
        <is>
          <t>61 con</t>
        </is>
      </c>
      <c r="K86" s="3" t="inlineStr">
        <is>
          <t>88</t>
        </is>
      </c>
      <c r="L86" s="6" t="inlineStr">
        <is>
          <t>KHÔNG</t>
        </is>
      </c>
      <c r="M86" s="6" t="inlineStr">
        <is>
          <t>KHÔNG</t>
        </is>
      </c>
      <c r="N86" s="6" t="inlineStr">
        <is>
          <t>KHÔNG</t>
        </is>
      </c>
      <c r="O86" s="3" t="inlineStr">
        <is>
          <t>00</t>
        </is>
      </c>
      <c r="P86" s="3" t="inlineStr">
        <is>
          <t>1 nháy 🎯</t>
        </is>
      </c>
      <c r="Q86" s="3" t="inlineStr">
        <is>
          <t>14 nháy</t>
        </is>
      </c>
    </row>
    <row r="87">
      <c r="A87" s="2" t="n">
        <v>80</v>
      </c>
      <c r="B87" s="2" t="inlineStr">
        <is>
          <t>Thứ tư ngày 25-03-2026 (Thứ Tư)</t>
        </is>
      </c>
      <c r="C87" s="3" t="inlineStr">
        <is>
          <t>24</t>
        </is>
      </c>
      <c r="D87" s="3" t="inlineStr">
        <is>
          <t>74</t>
        </is>
      </c>
      <c r="E87" s="3" t="inlineStr">
        <is>
          <t>00</t>
        </is>
      </c>
      <c r="F87" s="3" t="inlineStr">
        <is>
          <t>95</t>
        </is>
      </c>
      <c r="G87" s="3" t="inlineStr">
        <is>
          <t>024579</t>
        </is>
      </c>
      <c r="H87" s="3" t="inlineStr">
        <is>
          <t>T0, T1, T4, T5, T6, T9</t>
        </is>
      </c>
      <c r="I87" s="3" t="inlineStr">
        <is>
          <t>T7-B2</t>
        </is>
      </c>
      <c r="J87" s="3" t="inlineStr">
        <is>
          <t>48 con</t>
        </is>
      </c>
      <c r="K87" s="3" t="inlineStr">
        <is>
          <t>93</t>
        </is>
      </c>
      <c r="L87" s="7" t="inlineStr">
        <is>
          <t>TRÚNG</t>
        </is>
      </c>
      <c r="M87" s="7" t="inlineStr">
        <is>
          <t>TRÚNG</t>
        </is>
      </c>
      <c r="N87" s="6" t="inlineStr">
        <is>
          <t>KHÔNG</t>
        </is>
      </c>
      <c r="O87" s="3" t="inlineStr">
        <is>
          <t>25 - 52</t>
        </is>
      </c>
      <c r="P87" s="3" t="inlineStr">
        <is>
          <t>1 nháy 🎯</t>
        </is>
      </c>
      <c r="Q87" s="3" t="inlineStr">
        <is>
          <t>12 nháy</t>
        </is>
      </c>
    </row>
    <row r="88">
      <c r="A88" s="2" t="n">
        <v>81</v>
      </c>
      <c r="B88" s="2" t="inlineStr">
        <is>
          <t>Thứ năm ngày 26-03-2026 (Thứ Năm)</t>
        </is>
      </c>
      <c r="C88" s="3" t="inlineStr">
        <is>
          <t>11</t>
        </is>
      </c>
      <c r="D88" s="3" t="inlineStr">
        <is>
          <t>95</t>
        </is>
      </c>
      <c r="E88" s="3" t="inlineStr">
        <is>
          <t>82</t>
        </is>
      </c>
      <c r="F88" s="3" t="inlineStr">
        <is>
          <t>49</t>
        </is>
      </c>
      <c r="G88" s="3" t="inlineStr">
        <is>
          <t>124589</t>
        </is>
      </c>
      <c r="H88" s="3" t="inlineStr">
        <is>
          <t>T0, T2, T3, T4, T5, T7, T8, T9</t>
        </is>
      </c>
      <c r="I88" s="3" t="inlineStr">
        <is>
          <t>T0-B5</t>
        </is>
      </c>
      <c r="J88" s="3" t="inlineStr">
        <is>
          <t>67 con</t>
        </is>
      </c>
      <c r="K88" s="3" t="inlineStr">
        <is>
          <t>32</t>
        </is>
      </c>
      <c r="L88" s="7" t="inlineStr">
        <is>
          <t>TRÚNG</t>
        </is>
      </c>
      <c r="M88" s="7" t="inlineStr">
        <is>
          <t>TRÚNG</t>
        </is>
      </c>
      <c r="N88" s="7" t="inlineStr">
        <is>
          <t>TRÚNG</t>
        </is>
      </c>
      <c r="O88" s="3" t="inlineStr">
        <is>
          <t>19 - 91</t>
        </is>
      </c>
      <c r="P88" s="3" t="inlineStr">
        <is>
          <t>1 nháy 🎯</t>
        </is>
      </c>
      <c r="Q88" s="3" t="inlineStr">
        <is>
          <t>16 nháy</t>
        </is>
      </c>
    </row>
    <row r="89">
      <c r="A89" s="2" t="n">
        <v>82</v>
      </c>
      <c r="B89" s="2" t="inlineStr">
        <is>
          <t>Thứ sáu ngày 27-03-2026 (Thứ Sáu)</t>
        </is>
      </c>
      <c r="C89" s="3" t="inlineStr">
        <is>
          <t>16</t>
        </is>
      </c>
      <c r="D89" s="3" t="inlineStr">
        <is>
          <t>10</t>
        </is>
      </c>
      <c r="E89" s="3" t="inlineStr">
        <is>
          <t>04</t>
        </is>
      </c>
      <c r="F89" s="3" t="inlineStr">
        <is>
          <t>65</t>
        </is>
      </c>
      <c r="G89" s="3" t="inlineStr">
        <is>
          <t>01456</t>
        </is>
      </c>
      <c r="H89" s="3" t="inlineStr">
        <is>
          <t>T1, T2, T4, T6, T7, T9</t>
        </is>
      </c>
      <c r="I89" s="3" t="inlineStr">
        <is>
          <t>T6-B1</t>
        </is>
      </c>
      <c r="J89" s="3" t="inlineStr">
        <is>
          <t>44 con</t>
        </is>
      </c>
      <c r="K89" s="3" t="inlineStr">
        <is>
          <t>22</t>
        </is>
      </c>
      <c r="L89" s="6" t="inlineStr">
        <is>
          <t>KHÔNG</t>
        </is>
      </c>
      <c r="M89" s="6" t="inlineStr">
        <is>
          <t>KHÔNG</t>
        </is>
      </c>
      <c r="N89" s="6" t="inlineStr">
        <is>
          <t>KHÔNG</t>
        </is>
      </c>
      <c r="O89" s="3" t="inlineStr">
        <is>
          <t>15 - 51</t>
        </is>
      </c>
      <c r="P89" s="3" t="inlineStr">
        <is>
          <t>0 nháy</t>
        </is>
      </c>
      <c r="Q89" s="3" t="inlineStr">
        <is>
          <t>12 nháy</t>
        </is>
      </c>
    </row>
    <row r="90">
      <c r="A90" s="2" t="n">
        <v>83</v>
      </c>
      <c r="B90" s="2" t="inlineStr">
        <is>
          <t>Thứ bảy ngày 28-03-2026 (Thứ Bảy)</t>
        </is>
      </c>
      <c r="C90" s="3" t="inlineStr">
        <is>
          <t>09</t>
        </is>
      </c>
      <c r="D90" s="3" t="inlineStr">
        <is>
          <t>61</t>
        </is>
      </c>
      <c r="E90" s="3" t="inlineStr">
        <is>
          <t>76</t>
        </is>
      </c>
      <c r="F90" s="3" t="inlineStr">
        <is>
          <t>18</t>
        </is>
      </c>
      <c r="G90" s="3" t="inlineStr">
        <is>
          <t>016789</t>
        </is>
      </c>
      <c r="H90" s="3" t="inlineStr">
        <is>
          <t>T2, T3, T4, T7, T8, T9</t>
        </is>
      </c>
      <c r="I90" s="3" t="inlineStr">
        <is>
          <t>T8-B3</t>
        </is>
      </c>
      <c r="J90" s="3" t="inlineStr">
        <is>
          <t>50 con</t>
        </is>
      </c>
      <c r="K90" s="3" t="inlineStr">
        <is>
          <t>88</t>
        </is>
      </c>
      <c r="L90" s="7" t="inlineStr">
        <is>
          <t>TRÚNG</t>
        </is>
      </c>
      <c r="M90" s="6" t="inlineStr">
        <is>
          <t>KHÔNG</t>
        </is>
      </c>
      <c r="N90" s="6" t="inlineStr">
        <is>
          <t>KHÔNG</t>
        </is>
      </c>
      <c r="O90" s="3" t="inlineStr">
        <is>
          <t>08 - 80</t>
        </is>
      </c>
      <c r="P90" s="3" t="inlineStr">
        <is>
          <t>0 nháy</t>
        </is>
      </c>
      <c r="Q90" s="3" t="inlineStr">
        <is>
          <t>17 nháy</t>
        </is>
      </c>
    </row>
    <row r="91">
      <c r="A91" s="2" t="n">
        <v>84</v>
      </c>
      <c r="B91" s="2" t="inlineStr">
        <is>
          <t>Chủ nhật ngày 29-03-2026 (Chủ Nhật)</t>
        </is>
      </c>
      <c r="C91" s="3" t="inlineStr">
        <is>
          <t>86</t>
        </is>
      </c>
      <c r="D91" s="3" t="inlineStr">
        <is>
          <t>06</t>
        </is>
      </c>
      <c r="E91" s="3" t="inlineStr">
        <is>
          <t>13</t>
        </is>
      </c>
      <c r="F91" s="3" t="inlineStr">
        <is>
          <t>81</t>
        </is>
      </c>
      <c r="G91" s="3" t="inlineStr">
        <is>
          <t>01368</t>
        </is>
      </c>
      <c r="H91" s="3" t="inlineStr">
        <is>
          <t>T1, T4, T6, T9</t>
        </is>
      </c>
      <c r="I91" s="3" t="inlineStr">
        <is>
          <t>T9-B4</t>
        </is>
      </c>
      <c r="J91" s="3" t="inlineStr">
        <is>
          <t>24 con</t>
        </is>
      </c>
      <c r="K91" s="3" t="inlineStr">
        <is>
          <t>64</t>
        </is>
      </c>
      <c r="L91" s="7" t="inlineStr">
        <is>
          <t>TRÚNG</t>
        </is>
      </c>
      <c r="M91" s="6" t="inlineStr">
        <is>
          <t>KHÔNG</t>
        </is>
      </c>
      <c r="N91" s="6" t="inlineStr">
        <is>
          <t>KHÔNG</t>
        </is>
      </c>
      <c r="O91" s="3" t="inlineStr">
        <is>
          <t>81 - 18</t>
        </is>
      </c>
      <c r="P91" s="3" t="inlineStr">
        <is>
          <t>0 nháy</t>
        </is>
      </c>
      <c r="Q91" s="3" t="inlineStr">
        <is>
          <t>7 nháy</t>
        </is>
      </c>
    </row>
    <row r="92">
      <c r="A92" s="2" t="n">
        <v>85</v>
      </c>
      <c r="B92" s="2" t="inlineStr">
        <is>
          <t>Thứ hai ngày 30-03-2026 (Thứ Hai)</t>
        </is>
      </c>
      <c r="C92" s="3" t="inlineStr">
        <is>
          <t>20</t>
        </is>
      </c>
      <c r="D92" s="3" t="inlineStr">
        <is>
          <t>34</t>
        </is>
      </c>
      <c r="E92" s="3" t="inlineStr">
        <is>
          <t>07</t>
        </is>
      </c>
      <c r="F92" s="3" t="inlineStr">
        <is>
          <t>62</t>
        </is>
      </c>
      <c r="G92" s="3" t="inlineStr">
        <is>
          <t>023467</t>
        </is>
      </c>
      <c r="H92" s="3" t="inlineStr">
        <is>
          <t>T2, T3, T7, T8</t>
        </is>
      </c>
      <c r="I92" s="3" t="inlineStr">
        <is>
          <t>T4-B9</t>
        </is>
      </c>
      <c r="J92" s="3" t="inlineStr">
        <is>
          <t>34 con</t>
        </is>
      </c>
      <c r="K92" s="3" t="inlineStr">
        <is>
          <t>91</t>
        </is>
      </c>
      <c r="L92" s="6" t="inlineStr">
        <is>
          <t>KHÔNG</t>
        </is>
      </c>
      <c r="M92" s="6" t="inlineStr">
        <is>
          <t>KHÔNG</t>
        </is>
      </c>
      <c r="N92" s="6" t="inlineStr">
        <is>
          <t>KHÔNG</t>
        </is>
      </c>
      <c r="O92" s="3" t="inlineStr">
        <is>
          <t>22</t>
        </is>
      </c>
      <c r="P92" s="3" t="inlineStr">
        <is>
          <t>0 nháy</t>
        </is>
      </c>
      <c r="Q92" s="3" t="inlineStr">
        <is>
          <t>11 nháy</t>
        </is>
      </c>
    </row>
    <row r="93">
      <c r="A93" s="2" t="n">
        <v>86</v>
      </c>
      <c r="B93" s="2" t="inlineStr">
        <is>
          <t>Thứ ba ngày 31-03-2026 (Thứ Ba)</t>
        </is>
      </c>
      <c r="C93" s="3" t="inlineStr">
        <is>
          <t>70</t>
        </is>
      </c>
      <c r="D93" s="3" t="inlineStr">
        <is>
          <t>18</t>
        </is>
      </c>
      <c r="E93" s="3" t="inlineStr">
        <is>
          <t>23</t>
        </is>
      </c>
      <c r="F93" s="3" t="inlineStr">
        <is>
          <t>78</t>
        </is>
      </c>
      <c r="G93" s="3" t="inlineStr">
        <is>
          <t>012378</t>
        </is>
      </c>
      <c r="H93" s="3" t="inlineStr">
        <is>
          <t>T0, T2, T4, T5, T7, T9</t>
        </is>
      </c>
      <c r="I93" s="3" t="inlineStr">
        <is>
          <t>T5-B0</t>
        </is>
      </c>
      <c r="J93" s="3" t="inlineStr">
        <is>
          <t>50 con</t>
        </is>
      </c>
      <c r="K93" s="3" t="inlineStr">
        <is>
          <t>66</t>
        </is>
      </c>
      <c r="L93" s="6" t="inlineStr">
        <is>
          <t>KHÔNG</t>
        </is>
      </c>
      <c r="M93" s="6" t="inlineStr">
        <is>
          <t>KHÔNG</t>
        </is>
      </c>
      <c r="N93" s="6" t="inlineStr">
        <is>
          <t>KHÔNG</t>
        </is>
      </c>
      <c r="O93" s="3" t="inlineStr">
        <is>
          <t>78 - 87</t>
        </is>
      </c>
      <c r="P93" s="3" t="inlineStr">
        <is>
          <t>0 nháy</t>
        </is>
      </c>
      <c r="Q93" s="3" t="inlineStr">
        <is>
          <t>11 nháy</t>
        </is>
      </c>
    </row>
    <row r="94">
      <c r="A94" s="2" t="n">
        <v>87</v>
      </c>
      <c r="B94" s="2" t="inlineStr">
        <is>
          <t>Thứ tư ngày 01-04-2026 (Thứ Tư)</t>
        </is>
      </c>
      <c r="C94" s="3" t="inlineStr">
        <is>
          <t>37</t>
        </is>
      </c>
      <c r="D94" s="3" t="inlineStr">
        <is>
          <t>16</t>
        </is>
      </c>
      <c r="E94" s="3" t="inlineStr">
        <is>
          <t>52</t>
        </is>
      </c>
      <c r="F94" s="3" t="inlineStr">
        <is>
          <t>20</t>
        </is>
      </c>
      <c r="G94" s="3" t="inlineStr">
        <is>
          <t>0123567</t>
        </is>
      </c>
      <c r="H94" s="3" t="inlineStr">
        <is>
          <t>T0, T2, T5, T7</t>
        </is>
      </c>
      <c r="I94" s="3" t="inlineStr">
        <is>
          <t>T3-B8</t>
        </is>
      </c>
      <c r="J94" s="3" t="inlineStr">
        <is>
          <t>36 con</t>
        </is>
      </c>
      <c r="K94" s="3" t="inlineStr">
        <is>
          <t>67</t>
        </is>
      </c>
      <c r="L94" s="7" t="inlineStr">
        <is>
          <t>TRÚNG</t>
        </is>
      </c>
      <c r="M94" s="7" t="inlineStr">
        <is>
          <t>TRÚNG</t>
        </is>
      </c>
      <c r="N94" s="6" t="inlineStr">
        <is>
          <t>KHÔNG</t>
        </is>
      </c>
      <c r="O94" s="3" t="inlineStr">
        <is>
          <t>30 - 03</t>
        </is>
      </c>
      <c r="P94" s="3" t="inlineStr">
        <is>
          <t>0 nháy</t>
        </is>
      </c>
      <c r="Q94" s="3" t="inlineStr">
        <is>
          <t>8 nháy</t>
        </is>
      </c>
    </row>
    <row r="95">
      <c r="A95" s="2" t="n">
        <v>88</v>
      </c>
      <c r="B95" s="2" t="inlineStr">
        <is>
          <t>Thứ năm ngày 02-04-2026 (Thứ Năm)</t>
        </is>
      </c>
      <c r="C95" s="3" t="inlineStr">
        <is>
          <t>39</t>
        </is>
      </c>
      <c r="D95" s="3" t="inlineStr">
        <is>
          <t>95</t>
        </is>
      </c>
      <c r="E95" s="3" t="inlineStr">
        <is>
          <t>40</t>
        </is>
      </c>
      <c r="F95" s="3" t="inlineStr">
        <is>
          <t>93</t>
        </is>
      </c>
      <c r="G95" s="3" t="inlineStr">
        <is>
          <t>03459</t>
        </is>
      </c>
      <c r="H95" s="3" t="inlineStr">
        <is>
          <t>T2, T4, T7, T9</t>
        </is>
      </c>
      <c r="I95" s="3" t="inlineStr">
        <is>
          <t>T6-B1</t>
        </is>
      </c>
      <c r="J95" s="3" t="inlineStr">
        <is>
          <t>28 con</t>
        </is>
      </c>
      <c r="K95" s="3" t="inlineStr">
        <is>
          <t>44</t>
        </is>
      </c>
      <c r="L95" s="7" t="inlineStr">
        <is>
          <t>TRÚNG</t>
        </is>
      </c>
      <c r="M95" s="6" t="inlineStr">
        <is>
          <t>KHÔNG</t>
        </is>
      </c>
      <c r="N95" s="6" t="inlineStr">
        <is>
          <t>KHÔNG</t>
        </is>
      </c>
      <c r="O95" s="3" t="inlineStr">
        <is>
          <t>33</t>
        </is>
      </c>
      <c r="P95" s="3" t="inlineStr">
        <is>
          <t>0 nháy</t>
        </is>
      </c>
      <c r="Q95" s="3" t="inlineStr">
        <is>
          <t>8 nháy</t>
        </is>
      </c>
    </row>
    <row r="96">
      <c r="A96" s="2" t="n">
        <v>89</v>
      </c>
      <c r="B96" s="2" t="inlineStr">
        <is>
          <t>Thứ sáu ngày 03-04-2026 (Thứ Sáu)</t>
        </is>
      </c>
      <c r="C96" s="3" t="inlineStr">
        <is>
          <t>86</t>
        </is>
      </c>
      <c r="D96" s="3" t="inlineStr">
        <is>
          <t>15</t>
        </is>
      </c>
      <c r="E96" s="3" t="inlineStr">
        <is>
          <t>29</t>
        </is>
      </c>
      <c r="F96" s="3" t="inlineStr">
        <is>
          <t>54</t>
        </is>
      </c>
      <c r="G96" s="3" t="inlineStr">
        <is>
          <t>1245689</t>
        </is>
      </c>
      <c r="H96" s="3" t="inlineStr">
        <is>
          <t>T1, T4, T6, T9</t>
        </is>
      </c>
      <c r="I96" s="3" t="inlineStr">
        <is>
          <t>T2-B7</t>
        </is>
      </c>
      <c r="J96" s="3" t="inlineStr">
        <is>
          <t>38 con</t>
        </is>
      </c>
      <c r="K96" s="3" t="inlineStr">
        <is>
          <t>37</t>
        </is>
      </c>
      <c r="L96" s="6" t="inlineStr">
        <is>
          <t>KHÔNG</t>
        </is>
      </c>
      <c r="M96" s="6" t="inlineStr">
        <is>
          <t>KHÔNG</t>
        </is>
      </c>
      <c r="N96" s="6" t="inlineStr">
        <is>
          <t>KHÔNG</t>
        </is>
      </c>
      <c r="O96" s="3" t="inlineStr">
        <is>
          <t>84 - 48</t>
        </is>
      </c>
      <c r="P96" s="3" t="inlineStr">
        <is>
          <t>1 nháy 🎯</t>
        </is>
      </c>
      <c r="Q96" s="3" t="inlineStr">
        <is>
          <t>13 nháy</t>
        </is>
      </c>
    </row>
    <row r="97">
      <c r="A97" s="2" t="n">
        <v>90</v>
      </c>
      <c r="B97" s="2" t="inlineStr">
        <is>
          <t>Thứ bảy ngày 04-04-2026 (Thứ Bảy)</t>
        </is>
      </c>
      <c r="C97" s="3" t="inlineStr">
        <is>
          <t>59</t>
        </is>
      </c>
      <c r="D97" s="3" t="inlineStr">
        <is>
          <t>48</t>
        </is>
      </c>
      <c r="E97" s="3" t="inlineStr">
        <is>
          <t>40</t>
        </is>
      </c>
      <c r="F97" s="3" t="inlineStr">
        <is>
          <t>41</t>
        </is>
      </c>
      <c r="G97" s="3" t="inlineStr">
        <is>
          <t>014589</t>
        </is>
      </c>
      <c r="H97" s="3" t="inlineStr">
        <is>
          <t>T0, T2, T4, T5, T7, T9</t>
        </is>
      </c>
      <c r="I97" s="3" t="inlineStr">
        <is>
          <t>T6-B1</t>
        </is>
      </c>
      <c r="J97" s="3" t="inlineStr">
        <is>
          <t>49 con</t>
        </is>
      </c>
      <c r="K97" s="3" t="inlineStr">
        <is>
          <t>55</t>
        </is>
      </c>
      <c r="L97" s="7" t="inlineStr">
        <is>
          <t>TRÚNG</t>
        </is>
      </c>
      <c r="M97" s="6" t="inlineStr">
        <is>
          <t>KHÔNG</t>
        </is>
      </c>
      <c r="N97" s="7" t="inlineStr">
        <is>
          <t>TRÚNG</t>
        </is>
      </c>
      <c r="O97" s="3" t="inlineStr">
        <is>
          <t>51 - 15</t>
        </is>
      </c>
      <c r="P97" s="3" t="inlineStr">
        <is>
          <t>0 nháy</t>
        </is>
      </c>
      <c r="Q97" s="3" t="inlineStr">
        <is>
          <t>21 nháy</t>
        </is>
      </c>
    </row>
    <row r="98">
      <c r="A98" s="2" t="n">
        <v>91</v>
      </c>
      <c r="B98" s="2" t="inlineStr">
        <is>
          <t>Chủ nhật ngày 05-04-2026 (Chủ Nhật)</t>
        </is>
      </c>
      <c r="C98" s="3" t="inlineStr">
        <is>
          <t>41</t>
        </is>
      </c>
      <c r="D98" s="3" t="inlineStr">
        <is>
          <t>61</t>
        </is>
      </c>
      <c r="E98" s="3" t="inlineStr">
        <is>
          <t>73</t>
        </is>
      </c>
      <c r="F98" s="3" t="inlineStr">
        <is>
          <t>89</t>
        </is>
      </c>
      <c r="G98" s="3" t="inlineStr">
        <is>
          <t>1346789</t>
        </is>
      </c>
      <c r="H98" s="3" t="inlineStr">
        <is>
          <t>T0, T2, T5, T7</t>
        </is>
      </c>
      <c r="I98" s="3" t="inlineStr">
        <is>
          <t>T3-B8</t>
        </is>
      </c>
      <c r="J98" s="3" t="inlineStr">
        <is>
          <t>32 con</t>
        </is>
      </c>
      <c r="K98" s="3" t="inlineStr">
        <is>
          <t>06</t>
        </is>
      </c>
      <c r="L98" s="7" t="inlineStr">
        <is>
          <t>TRÚNG</t>
        </is>
      </c>
      <c r="M98" s="6" t="inlineStr">
        <is>
          <t>KHÔNG</t>
        </is>
      </c>
      <c r="N98" s="6" t="inlineStr">
        <is>
          <t>KHÔNG</t>
        </is>
      </c>
      <c r="O98" s="3" t="inlineStr">
        <is>
          <t>49 - 94</t>
        </is>
      </c>
      <c r="P98" s="3" t="inlineStr">
        <is>
          <t>0 nháy</t>
        </is>
      </c>
      <c r="Q98" s="3" t="inlineStr">
        <is>
          <t>9 nháy</t>
        </is>
      </c>
    </row>
    <row r="99">
      <c r="A99" s="2" t="n">
        <v>92</v>
      </c>
      <c r="B99" s="2" t="inlineStr">
        <is>
          <t>Thứ hai ngày 06-04-2026 (Thứ Hai)</t>
        </is>
      </c>
      <c r="C99" s="3" t="inlineStr">
        <is>
          <t>65</t>
        </is>
      </c>
      <c r="D99" s="3" t="inlineStr">
        <is>
          <t>33</t>
        </is>
      </c>
      <c r="E99" s="3" t="inlineStr">
        <is>
          <t>91</t>
        </is>
      </c>
      <c r="F99" s="3" t="inlineStr">
        <is>
          <t>26</t>
        </is>
      </c>
      <c r="G99" s="3" t="inlineStr">
        <is>
          <t>123569</t>
        </is>
      </c>
      <c r="H99" s="3" t="inlineStr">
        <is>
          <t>T0, T1, T3, T5, T6, T8</t>
        </is>
      </c>
      <c r="I99" s="3" t="inlineStr">
        <is>
          <t>T2-B7</t>
        </is>
      </c>
      <c r="J99" s="3" t="inlineStr">
        <is>
          <t>51 con</t>
        </is>
      </c>
      <c r="K99" s="3" t="inlineStr">
        <is>
          <t>82</t>
        </is>
      </c>
      <c r="L99" s="7" t="inlineStr">
        <is>
          <t>TRÚNG</t>
        </is>
      </c>
      <c r="M99" s="6" t="inlineStr">
        <is>
          <t>KHÔNG</t>
        </is>
      </c>
      <c r="N99" s="7" t="inlineStr">
        <is>
          <t>TRÚNG</t>
        </is>
      </c>
      <c r="O99" s="3" t="inlineStr">
        <is>
          <t>66</t>
        </is>
      </c>
      <c r="P99" s="3" t="inlineStr">
        <is>
          <t>0 nháy</t>
        </is>
      </c>
      <c r="Q99" s="3" t="inlineStr">
        <is>
          <t>11 nháy</t>
        </is>
      </c>
    </row>
    <row r="100">
      <c r="A100" s="2" t="n">
        <v>93</v>
      </c>
      <c r="B100" s="2" t="inlineStr">
        <is>
          <t>Thứ ba ngày 07-04-2026 (Thứ Ba)</t>
        </is>
      </c>
      <c r="C100" s="3" t="inlineStr">
        <is>
          <t>85</t>
        </is>
      </c>
      <c r="D100" s="3" t="inlineStr">
        <is>
          <t>72</t>
        </is>
      </c>
      <c r="E100" s="3" t="inlineStr">
        <is>
          <t>10</t>
        </is>
      </c>
      <c r="F100" s="3" t="inlineStr">
        <is>
          <t>77</t>
        </is>
      </c>
      <c r="G100" s="3" t="inlineStr">
        <is>
          <t>012578</t>
        </is>
      </c>
      <c r="H100" s="3" t="inlineStr">
        <is>
          <t>T1, T3, T4, T6, T8, T9</t>
        </is>
      </c>
      <c r="I100" s="3" t="inlineStr">
        <is>
          <t>T5-B0</t>
        </is>
      </c>
      <c r="J100" s="3" t="inlineStr">
        <is>
          <t>53 con</t>
        </is>
      </c>
      <c r="K100" s="3" t="inlineStr">
        <is>
          <t>50</t>
        </is>
      </c>
      <c r="L100" s="7" t="inlineStr">
        <is>
          <t>TRÚNG</t>
        </is>
      </c>
      <c r="M100" s="7" t="inlineStr">
        <is>
          <t>TRÚNG</t>
        </is>
      </c>
      <c r="N100" s="6" t="inlineStr">
        <is>
          <t>KHÔNG</t>
        </is>
      </c>
      <c r="O100" s="3" t="inlineStr">
        <is>
          <t>87 - 78</t>
        </is>
      </c>
      <c r="P100" s="3" t="inlineStr">
        <is>
          <t>1 nháy 🎯</t>
        </is>
      </c>
      <c r="Q100" s="3" t="inlineStr">
        <is>
          <t>17 nháy</t>
        </is>
      </c>
    </row>
    <row r="101">
      <c r="A101" s="2" t="n">
        <v>94</v>
      </c>
      <c r="B101" s="2" t="inlineStr">
        <is>
          <t>Thứ tư ngày 08-04-2026 (Thứ Tư)</t>
        </is>
      </c>
      <c r="C101" s="3" t="inlineStr">
        <is>
          <t>60</t>
        </is>
      </c>
      <c r="D101" s="3" t="inlineStr">
        <is>
          <t>94</t>
        </is>
      </c>
      <c r="E101" s="3" t="inlineStr">
        <is>
          <t>00</t>
        </is>
      </c>
      <c r="F101" s="3" t="inlineStr">
        <is>
          <t>26</t>
        </is>
      </c>
      <c r="G101" s="3" t="inlineStr">
        <is>
          <t>02469</t>
        </is>
      </c>
      <c r="H101" s="3" t="inlineStr">
        <is>
          <t>T0, T1, T3, T5, T6, T8</t>
        </is>
      </c>
      <c r="I101" s="3" t="inlineStr">
        <is>
          <t>T2-B7</t>
        </is>
      </c>
      <c r="J101" s="3" t="inlineStr">
        <is>
          <t>43 con</t>
        </is>
      </c>
      <c r="K101" s="3" t="inlineStr">
        <is>
          <t>25</t>
        </is>
      </c>
      <c r="L101" s="7" t="inlineStr">
        <is>
          <t>TRÚNG</t>
        </is>
      </c>
      <c r="M101" s="7" t="inlineStr">
        <is>
          <t>TRÚNG</t>
        </is>
      </c>
      <c r="N101" s="6" t="inlineStr">
        <is>
          <t>KHÔNG</t>
        </is>
      </c>
      <c r="O101" s="3" t="inlineStr">
        <is>
          <t>66</t>
        </is>
      </c>
      <c r="P101" s="3" t="inlineStr">
        <is>
          <t>0 nháy</t>
        </is>
      </c>
      <c r="Q101" s="3" t="inlineStr">
        <is>
          <t>16 nháy</t>
        </is>
      </c>
    </row>
    <row r="102">
      <c r="A102" s="2" t="n">
        <v>95</v>
      </c>
      <c r="B102" s="2" t="inlineStr">
        <is>
          <t>Thứ năm ngày 09-04-2026 (Thứ Năm)</t>
        </is>
      </c>
      <c r="C102" s="3" t="inlineStr">
        <is>
          <t>32</t>
        </is>
      </c>
      <c r="D102" s="3" t="inlineStr">
        <is>
          <t>41</t>
        </is>
      </c>
      <c r="E102" s="3" t="inlineStr">
        <is>
          <t>72</t>
        </is>
      </c>
      <c r="F102" s="3" t="inlineStr">
        <is>
          <t>84</t>
        </is>
      </c>
      <c r="G102" s="3" t="inlineStr">
        <is>
          <t>123478</t>
        </is>
      </c>
      <c r="H102" s="3" t="inlineStr">
        <is>
          <t>T0, T2, T4, T5, T7, T9</t>
        </is>
      </c>
      <c r="I102" s="3" t="inlineStr">
        <is>
          <t>T7-B2</t>
        </is>
      </c>
      <c r="J102" s="3" t="inlineStr">
        <is>
          <t>49 con</t>
        </is>
      </c>
      <c r="K102" s="3" t="inlineStr">
        <is>
          <t>20</t>
        </is>
      </c>
      <c r="L102" s="7" t="inlineStr">
        <is>
          <t>TRÚNG</t>
        </is>
      </c>
      <c r="M102" s="7" t="inlineStr">
        <is>
          <t>TRÚNG</t>
        </is>
      </c>
      <c r="N102" s="7" t="inlineStr">
        <is>
          <t>TRÚNG</t>
        </is>
      </c>
      <c r="O102" s="3" t="inlineStr">
        <is>
          <t>34 - 43</t>
        </is>
      </c>
      <c r="P102" s="3" t="inlineStr">
        <is>
          <t>0 nháy</t>
        </is>
      </c>
      <c r="Q102" s="3" t="inlineStr">
        <is>
          <t>19 nháy</t>
        </is>
      </c>
    </row>
    <row r="103">
      <c r="A103" s="2" t="n">
        <v>96</v>
      </c>
      <c r="B103" s="2" t="inlineStr">
        <is>
          <t>Thứ sáu ngày 10-04-2026 (Thứ Sáu)</t>
        </is>
      </c>
      <c r="C103" s="3" t="inlineStr">
        <is>
          <t>07</t>
        </is>
      </c>
      <c r="D103" s="3" t="inlineStr">
        <is>
          <t>37</t>
        </is>
      </c>
      <c r="E103" s="3" t="inlineStr">
        <is>
          <t>42</t>
        </is>
      </c>
      <c r="F103" s="3" t="inlineStr">
        <is>
          <t>79</t>
        </is>
      </c>
      <c r="G103" s="3" t="inlineStr">
        <is>
          <t>023479</t>
        </is>
      </c>
      <c r="H103" s="3" t="inlineStr">
        <is>
          <t>T0, T1, T2, T5, T6, T7</t>
        </is>
      </c>
      <c r="I103" s="3" t="inlineStr">
        <is>
          <t>T9-B4</t>
        </is>
      </c>
      <c r="J103" s="3" t="inlineStr">
        <is>
          <t>50 con</t>
        </is>
      </c>
      <c r="K103" s="3" t="inlineStr">
        <is>
          <t>04</t>
        </is>
      </c>
      <c r="L103" s="7" t="inlineStr">
        <is>
          <t>TRÚNG</t>
        </is>
      </c>
      <c r="M103" s="7" t="inlineStr">
        <is>
          <t>TRÚNG</t>
        </is>
      </c>
      <c r="N103" s="6" t="inlineStr">
        <is>
          <t>KHÔNG</t>
        </is>
      </c>
      <c r="O103" s="3" t="inlineStr">
        <is>
          <t>09 - 90</t>
        </is>
      </c>
      <c r="P103" s="3" t="inlineStr">
        <is>
          <t>0 nháy</t>
        </is>
      </c>
      <c r="Q103" s="3" t="inlineStr">
        <is>
          <t>11 nháy</t>
        </is>
      </c>
    </row>
    <row r="104">
      <c r="A104" s="2" t="n">
        <v>97</v>
      </c>
      <c r="B104" s="2" t="inlineStr">
        <is>
          <t>Thứ bảy ngày 11-04-2026 (Thứ Bảy)</t>
        </is>
      </c>
      <c r="C104" s="3" t="inlineStr">
        <is>
          <t>57</t>
        </is>
      </c>
      <c r="D104" s="3" t="inlineStr">
        <is>
          <t>71</t>
        </is>
      </c>
      <c r="E104" s="3" t="inlineStr">
        <is>
          <t>16</t>
        </is>
      </c>
      <c r="F104" s="3" t="inlineStr">
        <is>
          <t>80</t>
        </is>
      </c>
      <c r="G104" s="3" t="inlineStr">
        <is>
          <t>015678</t>
        </is>
      </c>
      <c r="H104" s="3" t="inlineStr">
        <is>
          <t>T2, T3, T7, T8</t>
        </is>
      </c>
      <c r="I104" s="3" t="inlineStr">
        <is>
          <t>T5-B0</t>
        </is>
      </c>
      <c r="J104" s="3" t="inlineStr">
        <is>
          <t>32 con</t>
        </is>
      </c>
      <c r="K104" s="3" t="inlineStr">
        <is>
          <t>00</t>
        </is>
      </c>
      <c r="L104" s="7" t="inlineStr">
        <is>
          <t>TRÚNG</t>
        </is>
      </c>
      <c r="M104" s="7" t="inlineStr">
        <is>
          <t>TRÚNG</t>
        </is>
      </c>
      <c r="N104" s="6" t="inlineStr">
        <is>
          <t>KHÔNG</t>
        </is>
      </c>
      <c r="O104" s="3" t="inlineStr">
        <is>
          <t>50 - 05</t>
        </is>
      </c>
      <c r="P104" s="3" t="inlineStr">
        <is>
          <t>1 nháy 🎯</t>
        </is>
      </c>
      <c r="Q104" s="3" t="inlineStr">
        <is>
          <t>8 nháy</t>
        </is>
      </c>
    </row>
    <row r="105">
      <c r="A105" s="2" t="n">
        <v>98</v>
      </c>
      <c r="B105" s="2" t="inlineStr">
        <is>
          <t>Chủ nhật ngày 12-04-2026 (Chủ Nhật)</t>
        </is>
      </c>
      <c r="C105" s="3" t="inlineStr">
        <is>
          <t>95</t>
        </is>
      </c>
      <c r="D105" s="3" t="inlineStr">
        <is>
          <t>68</t>
        </is>
      </c>
      <c r="E105" s="3" t="inlineStr">
        <is>
          <t>77</t>
        </is>
      </c>
      <c r="F105" s="3" t="inlineStr">
        <is>
          <t>25</t>
        </is>
      </c>
      <c r="G105" s="3" t="inlineStr">
        <is>
          <t>256789</t>
        </is>
      </c>
      <c r="H105" s="3" t="inlineStr">
        <is>
          <t>T2, T4, T7, T9</t>
        </is>
      </c>
      <c r="I105" s="3" t="inlineStr">
        <is>
          <t>T4-B9</t>
        </is>
      </c>
      <c r="J105" s="3" t="inlineStr">
        <is>
          <t>33 con</t>
        </is>
      </c>
      <c r="K105" s="3" t="inlineStr">
        <is>
          <t>38</t>
        </is>
      </c>
      <c r="L105" s="7" t="inlineStr">
        <is>
          <t>TRÚNG</t>
        </is>
      </c>
      <c r="M105" s="6" t="inlineStr">
        <is>
          <t>KHÔNG</t>
        </is>
      </c>
      <c r="N105" s="6" t="inlineStr">
        <is>
          <t>KHÔNG</t>
        </is>
      </c>
      <c r="O105" s="3" t="inlineStr">
        <is>
          <t>95 - 59</t>
        </is>
      </c>
      <c r="P105" s="3" t="inlineStr">
        <is>
          <t>0 nháy</t>
        </is>
      </c>
      <c r="Q105" s="3" t="inlineStr">
        <is>
          <t>11 nháy</t>
        </is>
      </c>
    </row>
    <row r="106">
      <c r="A106" s="2" t="n">
        <v>99</v>
      </c>
      <c r="B106" s="2" t="inlineStr">
        <is>
          <t>Thứ hai ngày 13-04-2026 (Thứ Hai)</t>
        </is>
      </c>
      <c r="C106" s="3" t="inlineStr">
        <is>
          <t>20</t>
        </is>
      </c>
      <c r="D106" s="3" t="inlineStr">
        <is>
          <t>19</t>
        </is>
      </c>
      <c r="E106" s="3" t="inlineStr">
        <is>
          <t>10</t>
        </is>
      </c>
      <c r="F106" s="3" t="inlineStr">
        <is>
          <t>02</t>
        </is>
      </c>
      <c r="G106" s="3" t="inlineStr">
        <is>
          <t>0129</t>
        </is>
      </c>
      <c r="H106" s="3" t="inlineStr">
        <is>
          <t>T0, T1, T2, T5, T6, T7</t>
        </is>
      </c>
      <c r="I106" s="3" t="inlineStr">
        <is>
          <t>T4-B9</t>
        </is>
      </c>
      <c r="J106" s="3" t="inlineStr">
        <is>
          <t>38 con</t>
        </is>
      </c>
      <c r="K106" s="3" t="inlineStr">
        <is>
          <t>63</t>
        </is>
      </c>
      <c r="L106" s="6" t="inlineStr">
        <is>
          <t>KHÔNG</t>
        </is>
      </c>
      <c r="M106" s="7" t="inlineStr">
        <is>
          <t>TRÚNG</t>
        </is>
      </c>
      <c r="N106" s="6" t="inlineStr">
        <is>
          <t>KHÔNG</t>
        </is>
      </c>
      <c r="O106" s="3" t="inlineStr">
        <is>
          <t>22</t>
        </is>
      </c>
      <c r="P106" s="3" t="inlineStr">
        <is>
          <t>1 nháy 🎯</t>
        </is>
      </c>
      <c r="Q106" s="3" t="inlineStr">
        <is>
          <t>6 nháy</t>
        </is>
      </c>
    </row>
    <row r="107">
      <c r="A107" s="2" t="n">
        <v>100</v>
      </c>
      <c r="B107" s="2" t="inlineStr">
        <is>
          <t>Thứ ba ngày 14-04-2026 (Thứ Ba)</t>
        </is>
      </c>
      <c r="C107" s="3" t="inlineStr">
        <is>
          <t>26</t>
        </is>
      </c>
      <c r="D107" s="3" t="inlineStr">
        <is>
          <t>57</t>
        </is>
      </c>
      <c r="E107" s="3" t="inlineStr">
        <is>
          <t>13</t>
        </is>
      </c>
      <c r="F107" s="3" t="inlineStr">
        <is>
          <t>22</t>
        </is>
      </c>
      <c r="G107" s="3" t="inlineStr">
        <is>
          <t>123567</t>
        </is>
      </c>
      <c r="H107" s="3" t="inlineStr">
        <is>
          <t>T2, T3, T4, T7, T8, T9</t>
        </is>
      </c>
      <c r="I107" s="3" t="inlineStr">
        <is>
          <t>T4-B9</t>
        </is>
      </c>
      <c r="J107" s="3" t="inlineStr">
        <is>
          <t>46 con</t>
        </is>
      </c>
      <c r="K107" s="3" t="inlineStr">
        <is>
          <t>14</t>
        </is>
      </c>
      <c r="L107" s="7" t="inlineStr">
        <is>
          <t>TRÚNG</t>
        </is>
      </c>
      <c r="M107" s="6" t="inlineStr">
        <is>
          <t>KHÔNG</t>
        </is>
      </c>
      <c r="N107" s="6" t="inlineStr">
        <is>
          <t>KHÔNG</t>
        </is>
      </c>
      <c r="O107" s="3" t="inlineStr">
        <is>
          <t>22</t>
        </is>
      </c>
      <c r="P107" s="3" t="inlineStr">
        <is>
          <t>0 nháy</t>
        </is>
      </c>
      <c r="Q107" s="3" t="inlineStr">
        <is>
          <t>13 nháy</t>
        </is>
      </c>
    </row>
    <row r="108">
      <c r="A108" s="2" t="n">
        <v>101</v>
      </c>
      <c r="B108" s="2" t="inlineStr">
        <is>
          <t>Thứ tư ngày 15-04-2026 (Thứ Tư)</t>
        </is>
      </c>
      <c r="C108" s="3" t="inlineStr">
        <is>
          <t>65</t>
        </is>
      </c>
      <c r="D108" s="3" t="inlineStr">
        <is>
          <t>59</t>
        </is>
      </c>
      <c r="E108" s="3" t="inlineStr">
        <is>
          <t>88</t>
        </is>
      </c>
      <c r="F108" s="3" t="inlineStr">
        <is>
          <t>93</t>
        </is>
      </c>
      <c r="G108" s="3" t="inlineStr">
        <is>
          <t>35689</t>
        </is>
      </c>
      <c r="H108" s="3" t="inlineStr">
        <is>
          <t>T1, T2, T4, T6, T7, T9</t>
        </is>
      </c>
      <c r="I108" s="3" t="inlineStr">
        <is>
          <t>T9-B4</t>
        </is>
      </c>
      <c r="J108" s="3" t="inlineStr">
        <is>
          <t>43 con</t>
        </is>
      </c>
      <c r="K108" s="3" t="inlineStr">
        <is>
          <t>35</t>
        </is>
      </c>
      <c r="L108" s="7" t="inlineStr">
        <is>
          <t>TRÚNG</t>
        </is>
      </c>
      <c r="M108" s="6" t="inlineStr">
        <is>
          <t>KHÔNG</t>
        </is>
      </c>
      <c r="N108" s="6" t="inlineStr">
        <is>
          <t>KHÔNG</t>
        </is>
      </c>
      <c r="O108" s="3" t="inlineStr">
        <is>
          <t>63 - 36</t>
        </is>
      </c>
      <c r="P108" s="3" t="inlineStr">
        <is>
          <t>0 nháy</t>
        </is>
      </c>
      <c r="Q108" s="3" t="inlineStr">
        <is>
          <t>10 nháy</t>
        </is>
      </c>
    </row>
    <row r="109">
      <c r="A109" s="2" t="n">
        <v>102</v>
      </c>
      <c r="B109" s="2" t="inlineStr">
        <is>
          <t>Thứ năm ngày 16-04-2026 (Thứ Năm)</t>
        </is>
      </c>
      <c r="C109" s="3" t="inlineStr">
        <is>
          <t>69</t>
        </is>
      </c>
      <c r="D109" s="3" t="inlineStr">
        <is>
          <t>18</t>
        </is>
      </c>
      <c r="E109" s="3" t="inlineStr">
        <is>
          <t>33</t>
        </is>
      </c>
      <c r="F109" s="3" t="inlineStr">
        <is>
          <t>87</t>
        </is>
      </c>
      <c r="G109" s="3" t="inlineStr">
        <is>
          <t>136789</t>
        </is>
      </c>
      <c r="H109" s="3" t="inlineStr">
        <is>
          <t>T0, T1, T4, T5, T6, T9</t>
        </is>
      </c>
      <c r="I109" s="3" t="inlineStr">
        <is>
          <t>T3-B8</t>
        </is>
      </c>
      <c r="J109" s="3" t="inlineStr">
        <is>
          <t>49 con</t>
        </is>
      </c>
      <c r="K109" s="3" t="inlineStr">
        <is>
          <t>55</t>
        </is>
      </c>
      <c r="L109" s="6" t="inlineStr">
        <is>
          <t>KHÔNG</t>
        </is>
      </c>
      <c r="M109" s="6" t="inlineStr">
        <is>
          <t>KHÔNG</t>
        </is>
      </c>
      <c r="N109" s="6" t="inlineStr">
        <is>
          <t>KHÔNG</t>
        </is>
      </c>
      <c r="O109" s="3" t="inlineStr">
        <is>
          <t>67 - 76</t>
        </is>
      </c>
      <c r="P109" s="3" t="inlineStr">
        <is>
          <t>1 nháy 🎯</t>
        </is>
      </c>
      <c r="Q109" s="3" t="inlineStr">
        <is>
          <t>19 nháy</t>
        </is>
      </c>
    </row>
    <row r="110">
      <c r="A110" s="2" t="n">
        <v>103</v>
      </c>
      <c r="B110" s="2" t="inlineStr">
        <is>
          <t>Thứ sáu ngày 17-04-2026 (Thứ Sáu)</t>
        </is>
      </c>
      <c r="C110" s="3" t="inlineStr">
        <is>
          <t>30</t>
        </is>
      </c>
      <c r="D110" s="3" t="inlineStr">
        <is>
          <t>27</t>
        </is>
      </c>
      <c r="E110" s="3" t="inlineStr">
        <is>
          <t>13</t>
        </is>
      </c>
      <c r="F110" s="3" t="inlineStr">
        <is>
          <t>77</t>
        </is>
      </c>
      <c r="G110" s="3" t="inlineStr">
        <is>
          <t>01237</t>
        </is>
      </c>
      <c r="H110" s="3" t="inlineStr">
        <is>
          <t>T3, T4, T8, T9</t>
        </is>
      </c>
      <c r="I110" s="3" t="inlineStr">
        <is>
          <t>T0-B5</t>
        </is>
      </c>
      <c r="J110" s="3" t="inlineStr">
        <is>
          <t>28 con</t>
        </is>
      </c>
      <c r="K110" s="3" t="inlineStr">
        <is>
          <t>43</t>
        </is>
      </c>
      <c r="L110" s="7" t="inlineStr">
        <is>
          <t>TRÚNG</t>
        </is>
      </c>
      <c r="M110" s="6" t="inlineStr">
        <is>
          <t>KHÔNG</t>
        </is>
      </c>
      <c r="N110" s="6" t="inlineStr">
        <is>
          <t>KHÔNG</t>
        </is>
      </c>
      <c r="O110" s="3" t="inlineStr">
        <is>
          <t>37 - 73</t>
        </is>
      </c>
      <c r="P110" s="3" t="inlineStr">
        <is>
          <t>1 nháy 🎯</t>
        </is>
      </c>
      <c r="Q110" s="3" t="inlineStr">
        <is>
          <t>5 nháy</t>
        </is>
      </c>
    </row>
    <row r="111">
      <c r="A111" s="2" t="n">
        <v>104</v>
      </c>
      <c r="B111" s="2" t="inlineStr">
        <is>
          <t>Thứ bảy ngày 18-04-2026 (Thứ Bảy)</t>
        </is>
      </c>
      <c r="C111" s="3" t="inlineStr">
        <is>
          <t>95</t>
        </is>
      </c>
      <c r="D111" s="3" t="inlineStr">
        <is>
          <t>74</t>
        </is>
      </c>
      <c r="E111" s="3" t="inlineStr">
        <is>
          <t>59</t>
        </is>
      </c>
      <c r="F111" s="3" t="inlineStr">
        <is>
          <t>53</t>
        </is>
      </c>
      <c r="G111" s="3" t="inlineStr">
        <is>
          <t>34579</t>
        </is>
      </c>
      <c r="H111" s="3" t="inlineStr">
        <is>
          <t>T1, T3, T4, T6, T8, T9</t>
        </is>
      </c>
      <c r="I111" s="3" t="inlineStr">
        <is>
          <t>T2-B7</t>
        </is>
      </c>
      <c r="J111" s="3" t="inlineStr">
        <is>
          <t>44 con</t>
        </is>
      </c>
      <c r="K111" s="3" t="inlineStr">
        <is>
          <t>25</t>
        </is>
      </c>
      <c r="L111" s="7" t="inlineStr">
        <is>
          <t>TRÚNG</t>
        </is>
      </c>
      <c r="M111" s="7" t="inlineStr">
        <is>
          <t>TRÚNG</t>
        </is>
      </c>
      <c r="N111" s="6" t="inlineStr">
        <is>
          <t>KHÔNG</t>
        </is>
      </c>
      <c r="O111" s="3" t="inlineStr">
        <is>
          <t>93 - 39</t>
        </is>
      </c>
      <c r="P111" s="3" t="inlineStr">
        <is>
          <t>1 nháy 🎯</t>
        </is>
      </c>
      <c r="Q111" s="3" t="inlineStr">
        <is>
          <t>10 nháy</t>
        </is>
      </c>
    </row>
    <row r="112">
      <c r="A112" s="2" t="n">
        <v>105</v>
      </c>
      <c r="B112" s="2" t="inlineStr">
        <is>
          <t>Chủ nhật ngày 19-04-2026 (Chủ Nhật)</t>
        </is>
      </c>
      <c r="C112" s="3" t="inlineStr">
        <is>
          <t>82</t>
        </is>
      </c>
      <c r="D112" s="3" t="inlineStr">
        <is>
          <t>87</t>
        </is>
      </c>
      <c r="E112" s="3" t="inlineStr">
        <is>
          <t>08</t>
        </is>
      </c>
      <c r="F112" s="3" t="inlineStr">
        <is>
          <t>16</t>
        </is>
      </c>
      <c r="G112" s="3" t="inlineStr">
        <is>
          <t>012678</t>
        </is>
      </c>
      <c r="H112" s="3" t="inlineStr">
        <is>
          <t>T0, T2, T3, T5, T7, T8</t>
        </is>
      </c>
      <c r="I112" s="3" t="inlineStr">
        <is>
          <t>T4-B9</t>
        </is>
      </c>
      <c r="J112" s="3" t="inlineStr">
        <is>
          <t>49 con</t>
        </is>
      </c>
      <c r="K112" s="3" t="inlineStr">
        <is>
          <t>97</t>
        </is>
      </c>
      <c r="L112" s="7" t="inlineStr">
        <is>
          <t>TRÚNG</t>
        </is>
      </c>
      <c r="M112" s="6" t="inlineStr">
        <is>
          <t>KHÔNG</t>
        </is>
      </c>
      <c r="N112" s="6" t="inlineStr">
        <is>
          <t>KHÔNG</t>
        </is>
      </c>
      <c r="O112" s="3" t="inlineStr">
        <is>
          <t>86 - 68</t>
        </is>
      </c>
      <c r="P112" s="3" t="inlineStr">
        <is>
          <t>0 nháy</t>
        </is>
      </c>
      <c r="Q112" s="3" t="inlineStr">
        <is>
          <t>14 nháy</t>
        </is>
      </c>
    </row>
    <row r="113">
      <c r="A113" s="2" t="n">
        <v>106</v>
      </c>
      <c r="B113" s="2" t="inlineStr">
        <is>
          <t>Thứ hai ngày 20-04-2026 (Thứ Hai)</t>
        </is>
      </c>
      <c r="C113" s="3" t="inlineStr">
        <is>
          <t>34</t>
        </is>
      </c>
      <c r="D113" s="3" t="inlineStr">
        <is>
          <t>06</t>
        </is>
      </c>
      <c r="E113" s="3" t="inlineStr">
        <is>
          <t>47</t>
        </is>
      </c>
      <c r="F113" s="3" t="inlineStr">
        <is>
          <t>39</t>
        </is>
      </c>
      <c r="G113" s="3" t="inlineStr">
        <is>
          <t>034679</t>
        </is>
      </c>
      <c r="H113" s="3" t="inlineStr">
        <is>
          <t>T1, T2, T6, T7</t>
        </is>
      </c>
      <c r="I113" s="3" t="inlineStr">
        <is>
          <t>T2-B7</t>
        </is>
      </c>
      <c r="J113" s="3" t="inlineStr">
        <is>
          <t>34 con</t>
        </is>
      </c>
      <c r="K113" s="3" t="inlineStr">
        <is>
          <t>76</t>
        </is>
      </c>
      <c r="L113" s="7" t="inlineStr">
        <is>
          <t>TRÚNG</t>
        </is>
      </c>
      <c r="M113" s="6" t="inlineStr">
        <is>
          <t>KHÔNG</t>
        </is>
      </c>
      <c r="N113" s="6" t="inlineStr">
        <is>
          <t>KHÔNG</t>
        </is>
      </c>
      <c r="O113" s="3" t="inlineStr">
        <is>
          <t>39 - 93</t>
        </is>
      </c>
      <c r="P113" s="3" t="inlineStr">
        <is>
          <t>1 nháy 🎯</t>
        </is>
      </c>
      <c r="Q113" s="3" t="inlineStr">
        <is>
          <t>10 nháy</t>
        </is>
      </c>
    </row>
    <row r="114">
      <c r="A114" s="2" t="n">
        <v>107</v>
      </c>
      <c r="B114" s="2" t="inlineStr">
        <is>
          <t>Thứ ba ngày 21-04-2026 (Thứ Ba)</t>
        </is>
      </c>
      <c r="C114" s="3" t="inlineStr">
        <is>
          <t>09</t>
        </is>
      </c>
      <c r="D114" s="3" t="inlineStr">
        <is>
          <t>13</t>
        </is>
      </c>
      <c r="E114" s="3" t="inlineStr">
        <is>
          <t>22</t>
        </is>
      </c>
      <c r="F114" s="3" t="inlineStr">
        <is>
          <t>95</t>
        </is>
      </c>
      <c r="G114" s="3" t="inlineStr">
        <is>
          <t>012359</t>
        </is>
      </c>
      <c r="H114" s="3" t="inlineStr">
        <is>
          <t>T4, T9</t>
        </is>
      </c>
      <c r="I114" s="3" t="inlineStr">
        <is>
          <t>T5-B0</t>
        </is>
      </c>
      <c r="J114" s="3" t="inlineStr">
        <is>
          <t>17 con</t>
        </is>
      </c>
      <c r="K114" s="3" t="inlineStr">
        <is>
          <t>48</t>
        </is>
      </c>
      <c r="L114" s="6" t="inlineStr">
        <is>
          <t>KHÔNG</t>
        </is>
      </c>
      <c r="M114" s="6" t="inlineStr">
        <is>
          <t>KHÔNG</t>
        </is>
      </c>
      <c r="N114" s="6" t="inlineStr">
        <is>
          <t>KHÔNG</t>
        </is>
      </c>
      <c r="O114" s="3" t="inlineStr">
        <is>
          <t>05 - 50</t>
        </is>
      </c>
      <c r="P114" s="3" t="inlineStr">
        <is>
          <t>1 nháy 🎯</t>
        </is>
      </c>
      <c r="Q114" s="3" t="inlineStr">
        <is>
          <t>3 nháy</t>
        </is>
      </c>
    </row>
    <row r="115">
      <c r="A115" s="2" t="n">
        <v>108</v>
      </c>
      <c r="B115" s="2" t="inlineStr">
        <is>
          <t>Thứ tư ngày 22-04-2026 (Thứ Tư)</t>
        </is>
      </c>
      <c r="C115" s="3" t="inlineStr">
        <is>
          <t>52</t>
        </is>
      </c>
      <c r="D115" s="3" t="inlineStr">
        <is>
          <t>64</t>
        </is>
      </c>
      <c r="E115" s="3" t="inlineStr">
        <is>
          <t>72</t>
        </is>
      </c>
      <c r="F115" s="3" t="inlineStr">
        <is>
          <t>79</t>
        </is>
      </c>
      <c r="G115" s="3" t="inlineStr">
        <is>
          <t>245679</t>
        </is>
      </c>
      <c r="H115" s="3" t="inlineStr">
        <is>
          <t>T0, T1, T2, T4, T5, T6, T7, T9</t>
        </is>
      </c>
      <c r="I115" s="3" t="inlineStr">
        <is>
          <t>T4-B9</t>
        </is>
      </c>
      <c r="J115" s="3" t="inlineStr">
        <is>
          <t>68 con</t>
        </is>
      </c>
      <c r="K115" s="3" t="inlineStr">
        <is>
          <t>39</t>
        </is>
      </c>
      <c r="L115" s="7" t="inlineStr">
        <is>
          <t>TRÚNG</t>
        </is>
      </c>
      <c r="M115" s="6" t="inlineStr">
        <is>
          <t>KHÔNG</t>
        </is>
      </c>
      <c r="N115" s="7" t="inlineStr">
        <is>
          <t>TRÚNG</t>
        </is>
      </c>
      <c r="O115" s="3" t="inlineStr">
        <is>
          <t>59 - 95</t>
        </is>
      </c>
      <c r="P115" s="3" t="inlineStr">
        <is>
          <t>0 nháy</t>
        </is>
      </c>
      <c r="Q115" s="3" t="inlineStr">
        <is>
          <t>21 nháy</t>
        </is>
      </c>
    </row>
    <row r="116">
      <c r="A116" s="2" t="n">
        <v>109</v>
      </c>
      <c r="B116" s="2" t="inlineStr">
        <is>
          <t>Thứ năm ngày 23-04-2026 (Thứ Năm)</t>
        </is>
      </c>
      <c r="C116" s="3" t="inlineStr">
        <is>
          <t>22</t>
        </is>
      </c>
      <c r="D116" s="3" t="inlineStr">
        <is>
          <t>63</t>
        </is>
      </c>
      <c r="E116" s="3" t="inlineStr">
        <is>
          <t>99</t>
        </is>
      </c>
      <c r="F116" s="3" t="inlineStr">
        <is>
          <t>57</t>
        </is>
      </c>
      <c r="G116" s="3" t="inlineStr">
        <is>
          <t>235679</t>
        </is>
      </c>
      <c r="H116" s="3" t="inlineStr">
        <is>
          <t>T2, T3, T4, T7, T8, T9</t>
        </is>
      </c>
      <c r="I116" s="3" t="inlineStr">
        <is>
          <t>T9-B4</t>
        </is>
      </c>
      <c r="J116" s="3" t="inlineStr">
        <is>
          <t>50 con</t>
        </is>
      </c>
      <c r="K116" s="3" t="inlineStr">
        <is>
          <t>76</t>
        </is>
      </c>
      <c r="L116" s="7" t="inlineStr">
        <is>
          <t>TRÚNG</t>
        </is>
      </c>
      <c r="M116" s="6" t="inlineStr">
        <is>
          <t>KHÔNG</t>
        </is>
      </c>
      <c r="N116" s="7" t="inlineStr">
        <is>
          <t>TRÚNG</t>
        </is>
      </c>
      <c r="O116" s="3" t="inlineStr">
        <is>
          <t>27 - 72</t>
        </is>
      </c>
      <c r="P116" s="3" t="inlineStr">
        <is>
          <t>1 nháy 🎯</t>
        </is>
      </c>
      <c r="Q116" s="3" t="inlineStr">
        <is>
          <t>12 nháy</t>
        </is>
      </c>
    </row>
    <row r="117">
      <c r="A117" s="2" t="n">
        <v>110</v>
      </c>
      <c r="B117" s="2" t="inlineStr">
        <is>
          <t>Thứ sáu ngày 24-04-2026 (Thứ Sáu)</t>
        </is>
      </c>
      <c r="C117" s="3" t="inlineStr">
        <is>
          <t>05</t>
        </is>
      </c>
      <c r="D117" s="3" t="inlineStr">
        <is>
          <t>84</t>
        </is>
      </c>
      <c r="E117" s="3" t="inlineStr">
        <is>
          <t>11</t>
        </is>
      </c>
      <c r="F117" s="3" t="inlineStr">
        <is>
          <t>14</t>
        </is>
      </c>
      <c r="G117" s="3" t="inlineStr">
        <is>
          <t>01458</t>
        </is>
      </c>
      <c r="H117" s="3" t="inlineStr">
        <is>
          <t>T0, T2, T5, T7</t>
        </is>
      </c>
      <c r="I117" s="3" t="inlineStr">
        <is>
          <t>T4-B9</t>
        </is>
      </c>
      <c r="J117" s="3" t="inlineStr">
        <is>
          <t>31 con</t>
        </is>
      </c>
      <c r="K117" s="3" t="inlineStr">
        <is>
          <t>17</t>
        </is>
      </c>
      <c r="L117" s="7" t="inlineStr">
        <is>
          <t>TRÚNG</t>
        </is>
      </c>
      <c r="M117" s="6" t="inlineStr">
        <is>
          <t>KHÔNG</t>
        </is>
      </c>
      <c r="N117" s="6" t="inlineStr">
        <is>
          <t>KHÔNG</t>
        </is>
      </c>
      <c r="O117" s="3" t="inlineStr">
        <is>
          <t>04 - 40</t>
        </is>
      </c>
      <c r="P117" s="3" t="inlineStr">
        <is>
          <t>0 nháy</t>
        </is>
      </c>
      <c r="Q117" s="3" t="inlineStr">
        <is>
          <t>6 nháy</t>
        </is>
      </c>
    </row>
    <row r="118">
      <c r="A118" s="2" t="n">
        <v>111</v>
      </c>
      <c r="B118" s="2" t="inlineStr">
        <is>
          <t>Thứ bảy ngày 25-04-2026 (Thứ Bảy)</t>
        </is>
      </c>
      <c r="C118" s="3" t="inlineStr">
        <is>
          <t>27</t>
        </is>
      </c>
      <c r="D118" s="3" t="inlineStr">
        <is>
          <t>99</t>
        </is>
      </c>
      <c r="E118" s="3" t="inlineStr">
        <is>
          <t>57</t>
        </is>
      </c>
      <c r="F118" s="3" t="inlineStr">
        <is>
          <t>39</t>
        </is>
      </c>
      <c r="G118" s="3" t="inlineStr">
        <is>
          <t>23579</t>
        </is>
      </c>
      <c r="H118" s="3" t="inlineStr">
        <is>
          <t>T2, T3, T4, T7, T8, T9</t>
        </is>
      </c>
      <c r="I118" s="3" t="inlineStr">
        <is>
          <t>T1-B6</t>
        </is>
      </c>
      <c r="J118" s="3" t="inlineStr">
        <is>
          <t>45 con</t>
        </is>
      </c>
      <c r="K118" s="3" t="inlineStr">
        <is>
          <t>28</t>
        </is>
      </c>
      <c r="L118" s="7" t="inlineStr">
        <is>
          <t>TRÚNG</t>
        </is>
      </c>
      <c r="M118" s="6" t="inlineStr">
        <is>
          <t>KHÔNG</t>
        </is>
      </c>
      <c r="N118" s="6" t="inlineStr">
        <is>
          <t>KHÔNG</t>
        </is>
      </c>
      <c r="O118" s="3" t="inlineStr">
        <is>
          <t>29 - 92</t>
        </is>
      </c>
      <c r="P118" s="3" t="inlineStr">
        <is>
          <t>0 nháy</t>
        </is>
      </c>
      <c r="Q118" s="3" t="inlineStr">
        <is>
          <t>14 nháy</t>
        </is>
      </c>
    </row>
    <row r="119">
      <c r="A119" s="2" t="n">
        <v>112</v>
      </c>
      <c r="B119" s="2" t="inlineStr">
        <is>
          <t>Chủ nhật ngày 26-04-2026 (Chủ Nhật)</t>
        </is>
      </c>
      <c r="C119" s="3" t="inlineStr">
        <is>
          <t>30</t>
        </is>
      </c>
      <c r="D119" s="3" t="inlineStr">
        <is>
          <t>86</t>
        </is>
      </c>
      <c r="E119" s="3" t="inlineStr">
        <is>
          <t>05</t>
        </is>
      </c>
      <c r="F119" s="3" t="inlineStr">
        <is>
          <t>77</t>
        </is>
      </c>
      <c r="G119" s="3" t="inlineStr">
        <is>
          <t>035678</t>
        </is>
      </c>
      <c r="H119" s="3" t="inlineStr">
        <is>
          <t>T0, T3, T4, T5, T8, T9</t>
        </is>
      </c>
      <c r="I119" s="3" t="inlineStr">
        <is>
          <t>T0-B5</t>
        </is>
      </c>
      <c r="J119" s="3" t="inlineStr">
        <is>
          <t>49 con</t>
        </is>
      </c>
      <c r="K119" s="3" t="inlineStr">
        <is>
          <t>59</t>
        </is>
      </c>
      <c r="L119" s="7" t="inlineStr">
        <is>
          <t>TRÚNG</t>
        </is>
      </c>
      <c r="M119" s="6" t="inlineStr">
        <is>
          <t>KHÔNG</t>
        </is>
      </c>
      <c r="N119" s="7" t="inlineStr">
        <is>
          <t>TRÚNG</t>
        </is>
      </c>
      <c r="O119" s="3" t="inlineStr">
        <is>
          <t>37 - 73</t>
        </is>
      </c>
      <c r="P119" s="3" t="inlineStr">
        <is>
          <t>1 nháy 🎯</t>
        </is>
      </c>
      <c r="Q119" s="3" t="inlineStr">
        <is>
          <t>15 nháy</t>
        </is>
      </c>
    </row>
    <row r="120">
      <c r="A120" s="2" t="n">
        <v>113</v>
      </c>
      <c r="B120" s="2" t="inlineStr">
        <is>
          <t>Thứ hai ngày 27-04-2026 (Thứ Hai)</t>
        </is>
      </c>
      <c r="C120" s="3" t="inlineStr">
        <is>
          <t>34</t>
        </is>
      </c>
      <c r="D120" s="3" t="inlineStr">
        <is>
          <t>46</t>
        </is>
      </c>
      <c r="E120" s="3" t="inlineStr">
        <is>
          <t>28</t>
        </is>
      </c>
      <c r="F120" s="3" t="inlineStr">
        <is>
          <t>71</t>
        </is>
      </c>
      <c r="G120" s="3" t="inlineStr">
        <is>
          <t>1234678</t>
        </is>
      </c>
      <c r="H120" s="3" t="inlineStr">
        <is>
          <t>T0, T2, T3, T5, T7, T8</t>
        </is>
      </c>
      <c r="I120" s="3" t="inlineStr">
        <is>
          <t>T4-B9</t>
        </is>
      </c>
      <c r="J120" s="3" t="inlineStr">
        <is>
          <t>55 con</t>
        </is>
      </c>
      <c r="K120" s="3" t="inlineStr">
        <is>
          <t>54</t>
        </is>
      </c>
      <c r="L120" s="7" t="inlineStr">
        <is>
          <t>TRÚNG</t>
        </is>
      </c>
      <c r="M120" s="7" t="inlineStr">
        <is>
          <t>TRÚNG</t>
        </is>
      </c>
      <c r="N120" s="6" t="inlineStr">
        <is>
          <t>KHÔNG</t>
        </is>
      </c>
      <c r="O120" s="3" t="inlineStr">
        <is>
          <t>31 - 13</t>
        </is>
      </c>
      <c r="P120" s="3" t="inlineStr">
        <is>
          <t>0 nháy</t>
        </is>
      </c>
      <c r="Q120" s="3" t="inlineStr">
        <is>
          <t>16 nháy</t>
        </is>
      </c>
    </row>
    <row r="121">
      <c r="A121" s="2" t="n">
        <v>114</v>
      </c>
      <c r="B121" s="2" t="inlineStr">
        <is>
          <t>Thứ ba ngày 28-04-2026 (Thứ Ba)</t>
        </is>
      </c>
      <c r="C121" s="3" t="inlineStr">
        <is>
          <t>04</t>
        </is>
      </c>
      <c r="D121" s="3" t="inlineStr">
        <is>
          <t>82</t>
        </is>
      </c>
      <c r="E121" s="3" t="inlineStr">
        <is>
          <t>91</t>
        </is>
      </c>
      <c r="F121" s="3" t="inlineStr">
        <is>
          <t>30</t>
        </is>
      </c>
      <c r="G121" s="3" t="inlineStr">
        <is>
          <t>0123489</t>
        </is>
      </c>
      <c r="H121" s="3" t="inlineStr">
        <is>
          <t>T0, T3, T4, T5, T8, T9</t>
        </is>
      </c>
      <c r="I121" s="3" t="inlineStr">
        <is>
          <t>T0-B5</t>
        </is>
      </c>
      <c r="J121" s="3" t="inlineStr">
        <is>
          <t>56 con</t>
        </is>
      </c>
      <c r="K121" s="3" t="inlineStr">
        <is>
          <t>69</t>
        </is>
      </c>
      <c r="L121" s="7" t="inlineStr">
        <is>
          <t>TRÚNG</t>
        </is>
      </c>
      <c r="M121" s="7" t="inlineStr">
        <is>
          <t>TRÚNG</t>
        </is>
      </c>
      <c r="N121" s="7" t="inlineStr">
        <is>
          <t>TRÚNG</t>
        </is>
      </c>
      <c r="O121" s="3" t="inlineStr">
        <is>
          <t>00</t>
        </is>
      </c>
      <c r="P121" s="3" t="inlineStr">
        <is>
          <t>0 nháy</t>
        </is>
      </c>
      <c r="Q121" s="3" t="inlineStr">
        <is>
          <t>15 nháy</t>
        </is>
      </c>
    </row>
    <row r="122">
      <c r="A122" s="2" t="n">
        <v>115</v>
      </c>
      <c r="B122" s="2" t="inlineStr">
        <is>
          <t>Thứ tư ngày 29-04-2026 (Thứ Tư)</t>
        </is>
      </c>
      <c r="C122" s="3" t="inlineStr">
        <is>
          <t>72</t>
        </is>
      </c>
      <c r="D122" s="3" t="inlineStr">
        <is>
          <t>46</t>
        </is>
      </c>
      <c r="E122" s="3" t="inlineStr">
        <is>
          <t>69</t>
        </is>
      </c>
      <c r="F122" s="3" t="inlineStr">
        <is>
          <t>18</t>
        </is>
      </c>
      <c r="G122" s="3" t="inlineStr">
        <is>
          <t>1246789</t>
        </is>
      </c>
      <c r="H122" s="3" t="inlineStr">
        <is>
          <t>T0, T4, T5, T9</t>
        </is>
      </c>
      <c r="I122" s="3" t="inlineStr">
        <is>
          <t>T5-B0</t>
        </is>
      </c>
      <c r="J122" s="3" t="inlineStr">
        <is>
          <t>36 con</t>
        </is>
      </c>
      <c r="K122" s="3" t="inlineStr">
        <is>
          <t>75</t>
        </is>
      </c>
      <c r="L122" s="7" t="inlineStr">
        <is>
          <t>TRÚNG</t>
        </is>
      </c>
      <c r="M122" s="6" t="inlineStr">
        <is>
          <t>KHÔNG</t>
        </is>
      </c>
      <c r="N122" s="6" t="inlineStr">
        <is>
          <t>KHÔNG</t>
        </is>
      </c>
      <c r="O122" s="3" t="inlineStr">
        <is>
          <t>78 - 87</t>
        </is>
      </c>
      <c r="P122" s="3" t="inlineStr">
        <is>
          <t>0 nháy</t>
        </is>
      </c>
      <c r="Q122" s="3" t="inlineStr">
        <is>
          <t>5 nháy</t>
        </is>
      </c>
    </row>
    <row r="123">
      <c r="A123" s="2" t="n">
        <v>116</v>
      </c>
      <c r="B123" s="2" t="inlineStr">
        <is>
          <t>Thứ năm ngày 30-04-2026 (Thứ Năm)</t>
        </is>
      </c>
      <c r="C123" s="3" t="inlineStr">
        <is>
          <t>30</t>
        </is>
      </c>
      <c r="D123" s="3" t="inlineStr">
        <is>
          <t>19</t>
        </is>
      </c>
      <c r="E123" s="3" t="inlineStr">
        <is>
          <t>98</t>
        </is>
      </c>
      <c r="F123" s="3" t="inlineStr">
        <is>
          <t>74</t>
        </is>
      </c>
      <c r="G123" s="3" t="inlineStr">
        <is>
          <t>0134789</t>
        </is>
      </c>
      <c r="H123" s="3" t="inlineStr">
        <is>
          <t>T0, T1, T2, T3, T5, T6, T7, T8</t>
        </is>
      </c>
      <c r="I123" s="3" t="inlineStr">
        <is>
          <t>T7-B2</t>
        </is>
      </c>
      <c r="J123" s="3" t="inlineStr">
        <is>
          <t>72 con</t>
        </is>
      </c>
      <c r="K123" s="3" t="inlineStr">
        <is>
          <t>37</t>
        </is>
      </c>
      <c r="L123" s="7" t="inlineStr">
        <is>
          <t>TRÚNG</t>
        </is>
      </c>
      <c r="M123" s="6" t="inlineStr">
        <is>
          <t>KHÔNG</t>
        </is>
      </c>
      <c r="N123" s="7" t="inlineStr">
        <is>
          <t>TRÚNG</t>
        </is>
      </c>
      <c r="O123" s="3" t="inlineStr">
        <is>
          <t>34 - 43</t>
        </is>
      </c>
      <c r="P123" s="3" t="inlineStr">
        <is>
          <t>0 nháy</t>
        </is>
      </c>
      <c r="Q123" s="3" t="inlineStr">
        <is>
          <t>16 nháy</t>
        </is>
      </c>
    </row>
    <row r="124">
      <c r="A124" s="2" t="n">
        <v>117</v>
      </c>
      <c r="B124" s="2" t="inlineStr">
        <is>
          <t>Thứ sáu ngày 01-05-2026 (Thứ Sáu)</t>
        </is>
      </c>
      <c r="C124" s="3" t="inlineStr">
        <is>
          <t>48</t>
        </is>
      </c>
      <c r="D124" s="3" t="inlineStr">
        <is>
          <t>39</t>
        </is>
      </c>
      <c r="E124" s="3" t="inlineStr">
        <is>
          <t>79</t>
        </is>
      </c>
      <c r="F124" s="3" t="inlineStr">
        <is>
          <t>46</t>
        </is>
      </c>
      <c r="G124" s="3" t="inlineStr">
        <is>
          <t>346789</t>
        </is>
      </c>
      <c r="H124" s="3" t="inlineStr">
        <is>
          <t>T0, T1, T2, T5, T6, T7</t>
        </is>
      </c>
      <c r="I124" s="3" t="inlineStr">
        <is>
          <t>T0-B5</t>
        </is>
      </c>
      <c r="J124" s="3" t="inlineStr">
        <is>
          <t>47 con</t>
        </is>
      </c>
      <c r="K124" s="3" t="inlineStr">
        <is>
          <t>32</t>
        </is>
      </c>
      <c r="L124" s="7" t="inlineStr">
        <is>
          <t>TRÚNG</t>
        </is>
      </c>
      <c r="M124" s="7" t="inlineStr">
        <is>
          <t>TRÚNG</t>
        </is>
      </c>
      <c r="N124" s="7" t="inlineStr">
        <is>
          <t>TRÚNG</t>
        </is>
      </c>
      <c r="O124" s="3" t="inlineStr">
        <is>
          <t>46 - 64</t>
        </is>
      </c>
      <c r="P124" s="3" t="inlineStr">
        <is>
          <t>1 nháy 🎯</t>
        </is>
      </c>
      <c r="Q124" s="3" t="inlineStr">
        <is>
          <t>20 nháy</t>
        </is>
      </c>
    </row>
    <row r="125">
      <c r="A125" s="2" t="n">
        <v>118</v>
      </c>
      <c r="B125" s="2" t="inlineStr">
        <is>
          <t>Thứ bảy ngày 02-05-2026 (Thứ Bảy)</t>
        </is>
      </c>
      <c r="C125" s="3" t="inlineStr">
        <is>
          <t>41</t>
        </is>
      </c>
      <c r="D125" s="3" t="inlineStr">
        <is>
          <t>14</t>
        </is>
      </c>
      <c r="E125" s="3" t="inlineStr">
        <is>
          <t>62</t>
        </is>
      </c>
      <c r="F125" s="3" t="inlineStr">
        <is>
          <t>87</t>
        </is>
      </c>
      <c r="G125" s="3" t="inlineStr">
        <is>
          <t>124678</t>
        </is>
      </c>
      <c r="H125" s="3" t="inlineStr">
        <is>
          <t>T0, T3, T5, T8</t>
        </is>
      </c>
      <c r="I125" s="3" t="inlineStr">
        <is>
          <t>T1-B6</t>
        </is>
      </c>
      <c r="J125" s="3" t="inlineStr">
        <is>
          <t>31 con</t>
        </is>
      </c>
      <c r="K125" s="3" t="inlineStr">
        <is>
          <t>64</t>
        </is>
      </c>
      <c r="L125" s="7" t="inlineStr">
        <is>
          <t>TRÚNG</t>
        </is>
      </c>
      <c r="M125" s="6" t="inlineStr">
        <is>
          <t>KHÔNG</t>
        </is>
      </c>
      <c r="N125" s="7" t="inlineStr">
        <is>
          <t>TRÚNG</t>
        </is>
      </c>
      <c r="O125" s="3" t="inlineStr">
        <is>
          <t>47 - 74</t>
        </is>
      </c>
      <c r="P125" s="3" t="inlineStr">
        <is>
          <t>0 nháy</t>
        </is>
      </c>
      <c r="Q125" s="3" t="inlineStr">
        <is>
          <t>10 nháy</t>
        </is>
      </c>
    </row>
    <row r="126">
      <c r="A126" s="2" t="n">
        <v>119</v>
      </c>
      <c r="B126" s="2" t="inlineStr">
        <is>
          <t>Chủ nhật ngày 03-05-2026 (Chủ Nhật)</t>
        </is>
      </c>
      <c r="C126" s="3" t="inlineStr">
        <is>
          <t>68</t>
        </is>
      </c>
      <c r="D126" s="3" t="inlineStr">
        <is>
          <t>88</t>
        </is>
      </c>
      <c r="E126" s="3" t="inlineStr">
        <is>
          <t>24</t>
        </is>
      </c>
      <c r="F126" s="3" t="inlineStr">
        <is>
          <t>59</t>
        </is>
      </c>
      <c r="G126" s="3" t="inlineStr">
        <is>
          <t>245689</t>
        </is>
      </c>
      <c r="H126" s="3" t="inlineStr">
        <is>
          <t>T1, T4, T6, T9</t>
        </is>
      </c>
      <c r="I126" s="3" t="inlineStr">
        <is>
          <t>T5-B0</t>
        </is>
      </c>
      <c r="J126" s="3" t="inlineStr">
        <is>
          <t>34 con</t>
        </is>
      </c>
      <c r="K126" s="3" t="inlineStr">
        <is>
          <t>51</t>
        </is>
      </c>
      <c r="L126" s="7" t="inlineStr">
        <is>
          <t>TRÚNG</t>
        </is>
      </c>
      <c r="M126" s="6" t="inlineStr">
        <is>
          <t>KHÔNG</t>
        </is>
      </c>
      <c r="N126" s="7" t="inlineStr">
        <is>
          <t>TRÚNG</t>
        </is>
      </c>
      <c r="O126" s="3" t="inlineStr">
        <is>
          <t>69 - 96</t>
        </is>
      </c>
      <c r="P126" s="3" t="inlineStr">
        <is>
          <t>2 nháy 🎯</t>
        </is>
      </c>
      <c r="Q126" s="3" t="inlineStr">
        <is>
          <t>9 nháy</t>
        </is>
      </c>
    </row>
    <row r="127">
      <c r="A127" s="2" t="n">
        <v>120</v>
      </c>
      <c r="B127" s="2" t="inlineStr">
        <is>
          <t>Thứ hai ngày 04-05-2026 (Thứ Hai)</t>
        </is>
      </c>
      <c r="C127" s="3" t="inlineStr">
        <is>
          <t>15</t>
        </is>
      </c>
      <c r="D127" s="3" t="inlineStr">
        <is>
          <t>69</t>
        </is>
      </c>
      <c r="E127" s="3" t="inlineStr">
        <is>
          <t>63</t>
        </is>
      </c>
      <c r="F127" s="3" t="inlineStr">
        <is>
          <t>67</t>
        </is>
      </c>
      <c r="G127" s="3" t="inlineStr">
        <is>
          <t>135679</t>
        </is>
      </c>
      <c r="H127" s="3" t="inlineStr">
        <is>
          <t>T0, T1, T3, T4, T5, T6, T8, T9</t>
        </is>
      </c>
      <c r="I127" s="3" t="inlineStr">
        <is>
          <t>T8-B3</t>
        </is>
      </c>
      <c r="J127" s="3" t="inlineStr">
        <is>
          <t>68 con</t>
        </is>
      </c>
      <c r="K127" s="3" t="inlineStr">
        <is>
          <t>12</t>
        </is>
      </c>
      <c r="L127" s="7" t="inlineStr">
        <is>
          <t>TRÚNG</t>
        </is>
      </c>
      <c r="M127" s="7" t="inlineStr">
        <is>
          <t>TRÚNG</t>
        </is>
      </c>
      <c r="N127" s="7" t="inlineStr">
        <is>
          <t>TRÚNG</t>
        </is>
      </c>
      <c r="O127" s="3" t="inlineStr">
        <is>
          <t>17 - 71</t>
        </is>
      </c>
      <c r="P127" s="3" t="inlineStr">
        <is>
          <t>2 nháy 🎯</t>
        </is>
      </c>
      <c r="Q127" s="3" t="inlineStr">
        <is>
          <t>17 nháy</t>
        </is>
      </c>
    </row>
    <row r="128">
      <c r="A128" s="2" t="n">
        <v>121</v>
      </c>
      <c r="B128" s="2" t="inlineStr">
        <is>
          <t>Thứ ba ngày 05-05-2026 (Thứ Ba)</t>
        </is>
      </c>
      <c r="C128" s="3" t="inlineStr">
        <is>
          <t>37</t>
        </is>
      </c>
      <c r="D128" s="3" t="inlineStr">
        <is>
          <t>44</t>
        </is>
      </c>
      <c r="E128" s="3" t="inlineStr">
        <is>
          <t>31</t>
        </is>
      </c>
      <c r="F128" s="3" t="inlineStr">
        <is>
          <t>50</t>
        </is>
      </c>
      <c r="G128" s="3" t="inlineStr">
        <is>
          <t>013457</t>
        </is>
      </c>
      <c r="H128" s="3" t="inlineStr">
        <is>
          <t>T0, T3, T4, T5, T8, T9</t>
        </is>
      </c>
      <c r="I128" s="3" t="inlineStr">
        <is>
          <t>T3-B8</t>
        </is>
      </c>
      <c r="J128" s="3" t="inlineStr">
        <is>
          <t>50 con</t>
        </is>
      </c>
      <c r="K128" s="3" t="inlineStr">
        <is>
          <t>41</t>
        </is>
      </c>
      <c r="L128" s="7" t="inlineStr">
        <is>
          <t>TRÚNG</t>
        </is>
      </c>
      <c r="M128" s="6" t="inlineStr">
        <is>
          <t>KHÔNG</t>
        </is>
      </c>
      <c r="N128" s="7" t="inlineStr">
        <is>
          <t>TRÚNG</t>
        </is>
      </c>
      <c r="O128" s="3" t="inlineStr">
        <is>
          <t>30 - 03</t>
        </is>
      </c>
      <c r="P128" s="3" t="inlineStr">
        <is>
          <t>0 nháy</t>
        </is>
      </c>
      <c r="Q128" s="3" t="inlineStr">
        <is>
          <t>16 nháy</t>
        </is>
      </c>
    </row>
    <row r="129">
      <c r="A129" s="2" t="n">
        <v>122</v>
      </c>
      <c r="B129" s="2" t="inlineStr">
        <is>
          <t>Thứ tư ngày 06-05-2026 (Thứ Tư)</t>
        </is>
      </c>
      <c r="C129" s="3" t="inlineStr">
        <is>
          <t>90</t>
        </is>
      </c>
      <c r="D129" s="3" t="inlineStr">
        <is>
          <t>50</t>
        </is>
      </c>
      <c r="E129" s="3" t="inlineStr">
        <is>
          <t>06</t>
        </is>
      </c>
      <c r="F129" s="3" t="inlineStr">
        <is>
          <t>25</t>
        </is>
      </c>
      <c r="G129" s="3" t="inlineStr">
        <is>
          <t>02569</t>
        </is>
      </c>
      <c r="H129" s="3" t="inlineStr">
        <is>
          <t>T0, T1, T2, T4, T5, T6, T7, T9</t>
        </is>
      </c>
      <c r="I129" s="3" t="inlineStr">
        <is>
          <t>T4-B9</t>
        </is>
      </c>
      <c r="J129" s="3" t="inlineStr">
        <is>
          <t>58 con</t>
        </is>
      </c>
      <c r="K129" s="3" t="inlineStr">
        <is>
          <t>40</t>
        </is>
      </c>
      <c r="L129" s="7" t="inlineStr">
        <is>
          <t>TRÚNG</t>
        </is>
      </c>
      <c r="M129" s="7" t="inlineStr">
        <is>
          <t>TRÚNG</t>
        </is>
      </c>
      <c r="N129" s="7" t="inlineStr">
        <is>
          <t>TRÚNG</t>
        </is>
      </c>
      <c r="O129" s="3" t="inlineStr">
        <is>
          <t>95 - 59</t>
        </is>
      </c>
      <c r="P129" s="3" t="inlineStr">
        <is>
          <t>0 nháy</t>
        </is>
      </c>
      <c r="Q129" s="3" t="inlineStr">
        <is>
          <t>18 nháy</t>
        </is>
      </c>
    </row>
    <row r="130">
      <c r="A130" s="2" t="n">
        <v>123</v>
      </c>
      <c r="B130" s="2" t="inlineStr">
        <is>
          <t>Thứ năm ngày 07-05-2026 (Thứ Năm)</t>
        </is>
      </c>
      <c r="C130" s="3" t="inlineStr">
        <is>
          <t>15</t>
        </is>
      </c>
      <c r="D130" s="3" t="inlineStr">
        <is>
          <t>40</t>
        </is>
      </c>
      <c r="E130" s="3" t="inlineStr">
        <is>
          <t>45</t>
        </is>
      </c>
      <c r="F130" s="3" t="inlineStr">
        <is>
          <t>66</t>
        </is>
      </c>
      <c r="G130" s="3" t="inlineStr">
        <is>
          <t>01456</t>
        </is>
      </c>
      <c r="H130" s="3" t="inlineStr">
        <is>
          <t>T1, T2, T4, T6, T7, T9</t>
        </is>
      </c>
      <c r="I130" s="3" t="inlineStr">
        <is>
          <t>T7-B2</t>
        </is>
      </c>
      <c r="J130" s="3" t="inlineStr">
        <is>
          <t>44 con</t>
        </is>
      </c>
      <c r="K130" s="3" t="inlineStr">
        <is>
          <t>47</t>
        </is>
      </c>
      <c r="L130" s="7" t="inlineStr">
        <is>
          <t>TRÚNG</t>
        </is>
      </c>
      <c r="M130" s="6" t="inlineStr">
        <is>
          <t>KHÔNG</t>
        </is>
      </c>
      <c r="N130" s="7" t="inlineStr">
        <is>
          <t>TRÚNG</t>
        </is>
      </c>
      <c r="O130" s="3" t="inlineStr">
        <is>
          <t>16 - 61</t>
        </is>
      </c>
      <c r="P130" s="3" t="inlineStr">
        <is>
          <t>2 nháy 🎯</t>
        </is>
      </c>
      <c r="Q130" s="3" t="inlineStr">
        <is>
          <t>12 nháy</t>
        </is>
      </c>
    </row>
    <row r="131">
      <c r="A131" s="2" t="n">
        <v>124</v>
      </c>
      <c r="B131" s="2" t="inlineStr">
        <is>
          <t>Thứ sáu ngày 08-05-2026 (Thứ Sáu)</t>
        </is>
      </c>
      <c r="C131" s="3" t="inlineStr">
        <is>
          <t>62</t>
        </is>
      </c>
      <c r="D131" s="3" t="inlineStr">
        <is>
          <t>25</t>
        </is>
      </c>
      <c r="E131" s="3" t="inlineStr">
        <is>
          <t>42</t>
        </is>
      </c>
      <c r="F131" s="3" t="inlineStr">
        <is>
          <t>94</t>
        </is>
      </c>
      <c r="G131" s="3" t="inlineStr">
        <is>
          <t>24569</t>
        </is>
      </c>
      <c r="H131" s="3" t="inlineStr">
        <is>
          <t>T1, T2, T3, T6, T7, T8</t>
        </is>
      </c>
      <c r="I131" s="3" t="inlineStr">
        <is>
          <t>T0-B5</t>
        </is>
      </c>
      <c r="J131" s="3" t="inlineStr">
        <is>
          <t>45 con</t>
        </is>
      </c>
      <c r="K131" s="3" t="inlineStr">
        <is>
          <t>92</t>
        </is>
      </c>
      <c r="L131" s="7" t="inlineStr">
        <is>
          <t>TRÚNG</t>
        </is>
      </c>
      <c r="M131" s="6" t="inlineStr">
        <is>
          <t>KHÔNG</t>
        </is>
      </c>
      <c r="N131" s="7" t="inlineStr">
        <is>
          <t>TRÚNG</t>
        </is>
      </c>
      <c r="O131" s="3" t="inlineStr">
        <is>
          <t>64 - 46</t>
        </is>
      </c>
      <c r="P131" s="3" t="inlineStr">
        <is>
          <t>1 nháy 🎯</t>
        </is>
      </c>
      <c r="Q131" s="3" t="inlineStr">
        <is>
          <t>10 nháy</t>
        </is>
      </c>
    </row>
    <row r="132">
      <c r="A132" s="2" t="n">
        <v>125</v>
      </c>
      <c r="B132" s="2" t="inlineStr">
        <is>
          <t>Thứ bảy ngày 09-05-2026 (Thứ Bảy)</t>
        </is>
      </c>
      <c r="C132" s="3" t="inlineStr">
        <is>
          <t>05</t>
        </is>
      </c>
      <c r="D132" s="3" t="inlineStr">
        <is>
          <t>96</t>
        </is>
      </c>
      <c r="E132" s="3" t="inlineStr">
        <is>
          <t>86</t>
        </is>
      </c>
      <c r="F132" s="3" t="inlineStr">
        <is>
          <t>45</t>
        </is>
      </c>
      <c r="G132" s="3" t="inlineStr">
        <is>
          <t>045689</t>
        </is>
      </c>
      <c r="H132" s="3" t="inlineStr">
        <is>
          <t>T0, T4, T5, T9</t>
        </is>
      </c>
      <c r="I132" s="3" t="inlineStr">
        <is>
          <t>T5-B0</t>
        </is>
      </c>
      <c r="J132" s="3" t="inlineStr">
        <is>
          <t>30 con</t>
        </is>
      </c>
      <c r="K132" s="3" t="inlineStr">
        <is>
          <t>23</t>
        </is>
      </c>
      <c r="L132" s="6" t="inlineStr">
        <is>
          <t>KHÔNG</t>
        </is>
      </c>
      <c r="M132" s="7" t="inlineStr">
        <is>
          <t>TRÚNG</t>
        </is>
      </c>
      <c r="N132" s="6" t="inlineStr">
        <is>
          <t>KHÔNG</t>
        </is>
      </c>
      <c r="O132" s="3" t="inlineStr">
        <is>
          <t>05 - 50</t>
        </is>
      </c>
      <c r="P132" s="3" t="inlineStr">
        <is>
          <t>0 nháy</t>
        </is>
      </c>
      <c r="Q132" s="3" t="inlineStr">
        <is>
          <t>7 nháy</t>
        </is>
      </c>
    </row>
    <row r="133">
      <c r="A133" s="2" t="n">
        <v>126</v>
      </c>
      <c r="B133" s="2" t="inlineStr">
        <is>
          <t>Chủ nhật ngày 10-05-2026 (Chủ Nhật)</t>
        </is>
      </c>
      <c r="C133" s="3" t="inlineStr">
        <is>
          <t>17</t>
        </is>
      </c>
      <c r="D133" s="3" t="inlineStr">
        <is>
          <t>15</t>
        </is>
      </c>
      <c r="E133" s="3" t="inlineStr">
        <is>
          <t>30</t>
        </is>
      </c>
      <c r="F133" s="3" t="inlineStr">
        <is>
          <t>52</t>
        </is>
      </c>
      <c r="G133" s="3" t="inlineStr">
        <is>
          <t>012357</t>
        </is>
      </c>
      <c r="H133" s="3" t="inlineStr">
        <is>
          <t>T1, T2, T3, T6, T7, T8</t>
        </is>
      </c>
      <c r="I133" s="3" t="inlineStr">
        <is>
          <t>T3-B8</t>
        </is>
      </c>
      <c r="J133" s="3" t="inlineStr">
        <is>
          <t>50 con</t>
        </is>
      </c>
      <c r="K133" s="3" t="inlineStr">
        <is>
          <t>17</t>
        </is>
      </c>
      <c r="L133" s="7" t="inlineStr">
        <is>
          <t>TRÚNG</t>
        </is>
      </c>
      <c r="M133" s="7" t="inlineStr">
        <is>
          <t>TRÚNG</t>
        </is>
      </c>
      <c r="N133" s="7" t="inlineStr">
        <is>
          <t>TRÚNG</t>
        </is>
      </c>
      <c r="O133" s="3" t="inlineStr">
        <is>
          <t>12 - 21</t>
        </is>
      </c>
      <c r="P133" s="3" t="inlineStr">
        <is>
          <t>1 nháy 🎯</t>
        </is>
      </c>
      <c r="Q133" s="3" t="inlineStr">
        <is>
          <t>18 nháy</t>
        </is>
      </c>
    </row>
    <row r="134">
      <c r="A134" s="2" t="n">
        <v>127</v>
      </c>
      <c r="B134" s="2" t="inlineStr">
        <is>
          <t>Thứ hai ngày 11-05-2026 (Thứ Hai)</t>
        </is>
      </c>
      <c r="C134" s="3" t="inlineStr">
        <is>
          <t>80</t>
        </is>
      </c>
      <c r="D134" s="3" t="inlineStr">
        <is>
          <t>18</t>
        </is>
      </c>
      <c r="E134" s="3" t="inlineStr">
        <is>
          <t>44</t>
        </is>
      </c>
      <c r="F134" s="3" t="inlineStr">
        <is>
          <t>56</t>
        </is>
      </c>
      <c r="G134" s="3" t="inlineStr">
        <is>
          <t>014568</t>
        </is>
      </c>
      <c r="H134" s="3" t="inlineStr">
        <is>
          <t>T1, T3, T4, T6, T8, T9</t>
        </is>
      </c>
      <c r="I134" s="3" t="inlineStr">
        <is>
          <t>T4-B9</t>
        </is>
      </c>
      <c r="J134" s="3" t="inlineStr">
        <is>
          <t>50 con</t>
        </is>
      </c>
      <c r="K134" s="3" t="inlineStr">
        <is>
          <t>33</t>
        </is>
      </c>
      <c r="L134" s="6" t="inlineStr">
        <is>
          <t>KHÔNG</t>
        </is>
      </c>
      <c r="M134" s="6" t="inlineStr">
        <is>
          <t>KHÔNG</t>
        </is>
      </c>
      <c r="N134" s="6" t="inlineStr">
        <is>
          <t>KHÔNG</t>
        </is>
      </c>
      <c r="O134" s="3" t="inlineStr">
        <is>
          <t>86 - 68</t>
        </is>
      </c>
      <c r="P134" s="3" t="inlineStr">
        <is>
          <t>0 nháy</t>
        </is>
      </c>
      <c r="Q134" s="3" t="inlineStr">
        <is>
          <t>14 nháy</t>
        </is>
      </c>
    </row>
    <row r="135">
      <c r="A135" s="2" t="n">
        <v>128</v>
      </c>
      <c r="B135" s="2" t="inlineStr">
        <is>
          <t>Thứ ba ngày 12-05-2026 (Thứ Ba)</t>
        </is>
      </c>
      <c r="C135" s="3" t="inlineStr">
        <is>
          <t>27</t>
        </is>
      </c>
      <c r="D135" s="3" t="inlineStr">
        <is>
          <t>32</t>
        </is>
      </c>
      <c r="E135" s="3" t="inlineStr">
        <is>
          <t>31</t>
        </is>
      </c>
      <c r="F135" s="3" t="inlineStr">
        <is>
          <t>58</t>
        </is>
      </c>
      <c r="G135" s="3" t="inlineStr">
        <is>
          <t>123578</t>
        </is>
      </c>
      <c r="H135" s="3" t="inlineStr">
        <is>
          <t>T0, T3, T4, T5, T8, T9</t>
        </is>
      </c>
      <c r="I135" s="3" t="inlineStr">
        <is>
          <t>T0-B5</t>
        </is>
      </c>
      <c r="J135" s="3" t="inlineStr">
        <is>
          <t>47 con</t>
        </is>
      </c>
      <c r="K135" s="3" t="inlineStr">
        <is>
          <t>38</t>
        </is>
      </c>
      <c r="L135" s="7" t="inlineStr">
        <is>
          <t>TRÚNG</t>
        </is>
      </c>
      <c r="M135" s="6" t="inlineStr">
        <is>
          <t>KHÔNG</t>
        </is>
      </c>
      <c r="N135" s="6" t="inlineStr">
        <is>
          <t>KHÔNG</t>
        </is>
      </c>
      <c r="O135" s="3" t="inlineStr">
        <is>
          <t>28 - 82</t>
        </is>
      </c>
      <c r="P135" s="3" t="inlineStr">
        <is>
          <t>0 nháy</t>
        </is>
      </c>
      <c r="Q135" s="3" t="inlineStr">
        <is>
          <t>9 nháy</t>
        </is>
      </c>
    </row>
    <row r="136">
      <c r="A136" s="2" t="n">
        <v>129</v>
      </c>
      <c r="B136" s="2" t="inlineStr">
        <is>
          <t>Thứ tư ngày 13-05-2026 (Thứ Tư)</t>
        </is>
      </c>
      <c r="C136" s="3" t="inlineStr">
        <is>
          <t>33</t>
        </is>
      </c>
      <c r="D136" s="3" t="inlineStr">
        <is>
          <t>90</t>
        </is>
      </c>
      <c r="E136" s="3" t="inlineStr">
        <is>
          <t>99</t>
        </is>
      </c>
      <c r="F136" s="3" t="inlineStr">
        <is>
          <t>83</t>
        </is>
      </c>
      <c r="G136" s="3" t="inlineStr">
        <is>
          <t>0389</t>
        </is>
      </c>
      <c r="H136" s="3" t="inlineStr">
        <is>
          <t>T1, T3, T4, T6, T8, T9</t>
        </is>
      </c>
      <c r="I136" s="3" t="inlineStr">
        <is>
          <t>T6-B1</t>
        </is>
      </c>
      <c r="J136" s="3" t="inlineStr">
        <is>
          <t>37 con</t>
        </is>
      </c>
      <c r="K136" s="3" t="inlineStr">
        <is>
          <t>69</t>
        </is>
      </c>
      <c r="L136" s="7" t="inlineStr">
        <is>
          <t>TRÚNG</t>
        </is>
      </c>
      <c r="M136" s="6" t="inlineStr">
        <is>
          <t>KHÔNG</t>
        </is>
      </c>
      <c r="N136" s="6" t="inlineStr">
        <is>
          <t>KHÔNG</t>
        </is>
      </c>
      <c r="O136" s="3" t="inlineStr">
        <is>
          <t>33</t>
        </is>
      </c>
      <c r="P136" s="3" t="inlineStr">
        <is>
          <t>0 nháy</t>
        </is>
      </c>
      <c r="Q136" s="3" t="inlineStr">
        <is>
          <t>6 nháy</t>
        </is>
      </c>
    </row>
    <row r="137">
      <c r="A137" s="2" t="n">
        <v>130</v>
      </c>
      <c r="B137" s="2" t="inlineStr">
        <is>
          <t>Thứ năm ngày 14-05-2026 (Thứ Năm)</t>
        </is>
      </c>
      <c r="C137" s="3" t="inlineStr">
        <is>
          <t>04</t>
        </is>
      </c>
      <c r="D137" s="3" t="inlineStr">
        <is>
          <t>48</t>
        </is>
      </c>
      <c r="E137" s="3" t="inlineStr">
        <is>
          <t>62</t>
        </is>
      </c>
      <c r="F137" s="3" t="inlineStr">
        <is>
          <t>43</t>
        </is>
      </c>
      <c r="G137" s="3" t="inlineStr">
        <is>
          <t>023468</t>
        </is>
      </c>
      <c r="H137" s="3" t="inlineStr">
        <is>
          <t>T2, T3, T4, T7, T8, T9</t>
        </is>
      </c>
      <c r="I137" s="3" t="inlineStr">
        <is>
          <t>T3-B8</t>
        </is>
      </c>
      <c r="J137" s="3" t="inlineStr">
        <is>
          <t>51 con</t>
        </is>
      </c>
      <c r="K137" s="3" t="inlineStr">
        <is>
          <t>94</t>
        </is>
      </c>
      <c r="L137" s="7" t="inlineStr">
        <is>
          <t>TRÚNG</t>
        </is>
      </c>
      <c r="M137" s="7" t="inlineStr">
        <is>
          <t>TRÚNG</t>
        </is>
      </c>
      <c r="N137" s="7" t="inlineStr">
        <is>
          <t>TRÚNG</t>
        </is>
      </c>
      <c r="O137" s="3" t="inlineStr">
        <is>
          <t>03 - 30</t>
        </is>
      </c>
      <c r="P137" s="3" t="inlineStr">
        <is>
          <t>0 nháy</t>
        </is>
      </c>
      <c r="Q137" s="3" t="inlineStr">
        <is>
          <t>14 nháy</t>
        </is>
      </c>
    </row>
    <row r="138">
      <c r="A138" s="2" t="n">
        <v>131</v>
      </c>
      <c r="B138" s="2" t="inlineStr">
        <is>
          <t>Thứ sáu ngày 15-05-2026 (Thứ Sáu)</t>
        </is>
      </c>
      <c r="C138" s="3" t="inlineStr">
        <is>
          <t>49</t>
        </is>
      </c>
      <c r="D138" s="3" t="inlineStr">
        <is>
          <t>47</t>
        </is>
      </c>
      <c r="E138" s="3" t="inlineStr">
        <is>
          <t>09</t>
        </is>
      </c>
      <c r="F138" s="3" t="inlineStr">
        <is>
          <t>33</t>
        </is>
      </c>
      <c r="G138" s="3" t="inlineStr">
        <is>
          <t>03479</t>
        </is>
      </c>
      <c r="H138" s="3" t="inlineStr">
        <is>
          <t>T1, T3, T4, T6, T8, T9</t>
        </is>
      </c>
      <c r="I138" s="3" t="inlineStr">
        <is>
          <t>T7-B2</t>
        </is>
      </c>
      <c r="J138" s="3" t="inlineStr">
        <is>
          <t>44 con</t>
        </is>
      </c>
      <c r="K138" s="3" t="inlineStr">
        <is>
          <t>04</t>
        </is>
      </c>
      <c r="L138" s="7" t="inlineStr">
        <is>
          <t>TRÚNG</t>
        </is>
      </c>
      <c r="M138" s="6" t="inlineStr">
        <is>
          <t>KHÔNG</t>
        </is>
      </c>
      <c r="N138" s="7" t="inlineStr">
        <is>
          <t>TRÚNG</t>
        </is>
      </c>
      <c r="O138" s="3" t="inlineStr">
        <is>
          <t>43 - 34</t>
        </is>
      </c>
      <c r="P138" s="3" t="inlineStr">
        <is>
          <t>0 nháy</t>
        </is>
      </c>
      <c r="Q138" s="3" t="inlineStr">
        <is>
          <t>11 nháy</t>
        </is>
      </c>
    </row>
    <row r="139">
      <c r="A139" s="2" t="n">
        <v>132</v>
      </c>
      <c r="B139" s="2" t="inlineStr">
        <is>
          <t>Thứ bảy ngày 16-05-2026 (Thứ Bảy)</t>
        </is>
      </c>
      <c r="C139" s="3" t="inlineStr">
        <is>
          <t>66</t>
        </is>
      </c>
      <c r="D139" s="3" t="inlineStr">
        <is>
          <t>60</t>
        </is>
      </c>
      <c r="E139" s="3" t="inlineStr">
        <is>
          <t>81</t>
        </is>
      </c>
      <c r="F139" s="3" t="inlineStr">
        <is>
          <t>84</t>
        </is>
      </c>
      <c r="G139" s="3" t="inlineStr">
        <is>
          <t>01468</t>
        </is>
      </c>
      <c r="H139" s="3" t="inlineStr">
        <is>
          <t>T1, T2, T4, T6, T7, T9</t>
        </is>
      </c>
      <c r="I139" s="3" t="inlineStr">
        <is>
          <t>T0-B5</t>
        </is>
      </c>
      <c r="J139" s="3" t="inlineStr">
        <is>
          <t>43 con</t>
        </is>
      </c>
      <c r="K139" s="3" t="inlineStr">
        <is>
          <t>84</t>
        </is>
      </c>
      <c r="L139" s="7" t="inlineStr">
        <is>
          <t>TRÚNG</t>
        </is>
      </c>
      <c r="M139" s="6" t="inlineStr">
        <is>
          <t>KHÔNG</t>
        </is>
      </c>
      <c r="N139" s="7" t="inlineStr">
        <is>
          <t>TRÚNG</t>
        </is>
      </c>
      <c r="O139" s="3" t="inlineStr">
        <is>
          <t>64 - 46</t>
        </is>
      </c>
      <c r="P139" s="3" t="inlineStr">
        <is>
          <t>0 nháy</t>
        </is>
      </c>
      <c r="Q139" s="3" t="inlineStr">
        <is>
          <t>13 nháy</t>
        </is>
      </c>
    </row>
    <row r="140">
      <c r="A140" s="2" t="n">
        <v>133</v>
      </c>
      <c r="B140" s="2" t="inlineStr">
        <is>
          <t>Chủ nhật ngày 17-05-2026 (Chủ Nhật)</t>
        </is>
      </c>
      <c r="C140" s="3" t="inlineStr">
        <is>
          <t>09</t>
        </is>
      </c>
      <c r="D140" s="3" t="inlineStr">
        <is>
          <t>51</t>
        </is>
      </c>
      <c r="E140" s="3" t="inlineStr">
        <is>
          <t>22</t>
        </is>
      </c>
      <c r="F140" s="3" t="inlineStr">
        <is>
          <t>93</t>
        </is>
      </c>
      <c r="G140" s="3" t="inlineStr">
        <is>
          <t>012359</t>
        </is>
      </c>
      <c r="H140" s="3" t="inlineStr">
        <is>
          <t>T1, T2, T4, T6, T7, T9</t>
        </is>
      </c>
      <c r="I140" s="3" t="inlineStr">
        <is>
          <t>T3-B8</t>
        </is>
      </c>
      <c r="J140" s="3" t="inlineStr">
        <is>
          <t>51 con</t>
        </is>
      </c>
      <c r="K140" s="3" t="inlineStr">
        <is>
          <t>61</t>
        </is>
      </c>
      <c r="L140" s="7" t="inlineStr">
        <is>
          <t>TRÚNG</t>
        </is>
      </c>
      <c r="M140" s="6" t="inlineStr">
        <is>
          <t>KHÔNG</t>
        </is>
      </c>
      <c r="N140" s="7" t="inlineStr">
        <is>
          <t>TRÚNG</t>
        </is>
      </c>
      <c r="O140" s="3" t="inlineStr">
        <is>
          <t>03 - 30</t>
        </is>
      </c>
      <c r="P140" s="3" t="inlineStr">
        <is>
          <t>0 nháy</t>
        </is>
      </c>
      <c r="Q140" s="3" t="inlineStr">
        <is>
          <t>15 nháy</t>
        </is>
      </c>
    </row>
    <row r="141">
      <c r="A141" s="2" t="n">
        <v>134</v>
      </c>
      <c r="B141" s="2" t="inlineStr">
        <is>
          <t>Thứ hai ngày 18-05-2026 (Thứ Hai)</t>
        </is>
      </c>
      <c r="C141" s="3" t="inlineStr">
        <is>
          <t>11</t>
        </is>
      </c>
      <c r="D141" s="3" t="inlineStr">
        <is>
          <t>49</t>
        </is>
      </c>
      <c r="E141" s="3" t="inlineStr">
        <is>
          <t>70</t>
        </is>
      </c>
      <c r="F141" s="3" t="inlineStr">
        <is>
          <t>55</t>
        </is>
      </c>
      <c r="G141" s="3" t="inlineStr">
        <is>
          <t>014579</t>
        </is>
      </c>
      <c r="H141" s="3" t="inlineStr">
        <is>
          <t>T0, T2, T3, T5, T7, T8</t>
        </is>
      </c>
      <c r="I141" s="3" t="inlineStr">
        <is>
          <t>T6-B1</t>
        </is>
      </c>
      <c r="J141" s="3" t="inlineStr">
        <is>
          <t>53 con</t>
        </is>
      </c>
      <c r="K141" s="3" t="inlineStr">
        <is>
          <t>54</t>
        </is>
      </c>
      <c r="L141" s="7" t="inlineStr">
        <is>
          <t>TRÚNG</t>
        </is>
      </c>
      <c r="M141" s="6" t="inlineStr">
        <is>
          <t>KHÔNG</t>
        </is>
      </c>
      <c r="N141" s="6" t="inlineStr">
        <is>
          <t>KHÔNG</t>
        </is>
      </c>
      <c r="O141" s="3" t="inlineStr">
        <is>
          <t>15 - 51</t>
        </is>
      </c>
      <c r="P141" s="3" t="inlineStr">
        <is>
          <t>0 nháy</t>
        </is>
      </c>
      <c r="Q141" s="3" t="inlineStr">
        <is>
          <t>13 nháy</t>
        </is>
      </c>
    </row>
    <row r="142">
      <c r="A142" s="2" t="n">
        <v>135</v>
      </c>
      <c r="B142" s="2" t="inlineStr">
        <is>
          <t>Thứ ba ngày 19-05-2026 (Thứ Ba)</t>
        </is>
      </c>
      <c r="C142" s="3" t="inlineStr">
        <is>
          <t>62</t>
        </is>
      </c>
      <c r="D142" s="3" t="inlineStr">
        <is>
          <t>18</t>
        </is>
      </c>
      <c r="E142" s="3" t="inlineStr">
        <is>
          <t>17</t>
        </is>
      </c>
      <c r="F142" s="3" t="inlineStr">
        <is>
          <t>87</t>
        </is>
      </c>
      <c r="G142" s="3" t="inlineStr">
        <is>
          <t>12678</t>
        </is>
      </c>
      <c r="H142" s="3" t="inlineStr">
        <is>
          <t>T0, T3, T4, T5, T8, T9</t>
        </is>
      </c>
      <c r="I142" s="3" t="inlineStr">
        <is>
          <t>T3-B8</t>
        </is>
      </c>
      <c r="J142" s="3" t="inlineStr">
        <is>
          <t>40 con</t>
        </is>
      </c>
      <c r="K142" s="3" t="inlineStr">
        <is>
          <t>68</t>
        </is>
      </c>
      <c r="L142" s="7" t="inlineStr">
        <is>
          <t>TRÚNG</t>
        </is>
      </c>
      <c r="M142" s="6" t="inlineStr">
        <is>
          <t>KHÔNG</t>
        </is>
      </c>
      <c r="N142" s="7" t="inlineStr">
        <is>
          <t>TRÚNG</t>
        </is>
      </c>
      <c r="O142" s="3" t="inlineStr">
        <is>
          <t>67 - 76</t>
        </is>
      </c>
      <c r="P142" s="3" t="inlineStr">
        <is>
          <t>1 nháy 🎯</t>
        </is>
      </c>
      <c r="Q142" s="3" t="inlineStr">
        <is>
          <t>10 nháy</t>
        </is>
      </c>
    </row>
    <row r="143">
      <c r="A143" s="2" t="n">
        <v>136</v>
      </c>
      <c r="B143" s="2" t="inlineStr">
        <is>
          <t>Thứ tư ngày 20-05-2026 (Thứ Tư)</t>
        </is>
      </c>
      <c r="C143" s="3" t="inlineStr">
        <is>
          <t>10</t>
        </is>
      </c>
      <c r="D143" s="3" t="inlineStr">
        <is>
          <t>52</t>
        </is>
      </c>
      <c r="E143" s="3" t="inlineStr">
        <is>
          <t>94</t>
        </is>
      </c>
      <c r="F143" s="3" t="inlineStr">
        <is>
          <t>11</t>
        </is>
      </c>
      <c r="G143" s="3" t="inlineStr">
        <is>
          <t>012459</t>
        </is>
      </c>
      <c r="H143" s="3" t="inlineStr">
        <is>
          <t>T1, T2, T3, T6, T7, T8</t>
        </is>
      </c>
      <c r="I143" s="3" t="inlineStr">
        <is>
          <t>T2-B7</t>
        </is>
      </c>
      <c r="J143" s="3" t="inlineStr">
        <is>
          <t>53 con</t>
        </is>
      </c>
      <c r="K143" s="3" t="inlineStr">
        <is>
          <t>85</t>
        </is>
      </c>
      <c r="L143" s="7" t="inlineStr">
        <is>
          <t>TRÚNG</t>
        </is>
      </c>
      <c r="M143" s="6" t="inlineStr">
        <is>
          <t>KHÔNG</t>
        </is>
      </c>
      <c r="N143" s="7" t="inlineStr">
        <is>
          <t>TRÚNG</t>
        </is>
      </c>
      <c r="O143" s="3" t="inlineStr">
        <is>
          <t>11</t>
        </is>
      </c>
      <c r="P143" s="3" t="inlineStr">
        <is>
          <t>0 nháy</t>
        </is>
      </c>
      <c r="Q143" s="3" t="inlineStr">
        <is>
          <t>10 nháy</t>
        </is>
      </c>
    </row>
    <row r="144">
      <c r="A144" s="2" t="n">
        <v>137</v>
      </c>
      <c r="B144" s="2" t="inlineStr">
        <is>
          <t>Thứ năm ngày 21-05-2026 (Thứ Năm)</t>
        </is>
      </c>
      <c r="C144" s="3" t="inlineStr">
        <is>
          <t>38</t>
        </is>
      </c>
      <c r="D144" s="3" t="inlineStr">
        <is>
          <t>54</t>
        </is>
      </c>
      <c r="E144" s="3" t="inlineStr">
        <is>
          <t>95</t>
        </is>
      </c>
      <c r="F144" s="3" t="inlineStr">
        <is>
          <t>74</t>
        </is>
      </c>
      <c r="G144" s="3" t="inlineStr">
        <is>
          <t>345789</t>
        </is>
      </c>
      <c r="H144" s="3" t="inlineStr">
        <is>
          <t>T1, T4, T6, T9</t>
        </is>
      </c>
      <c r="I144" s="3" t="inlineStr">
        <is>
          <t>T7-B2</t>
        </is>
      </c>
      <c r="J144" s="3" t="inlineStr">
        <is>
          <t>35 con</t>
        </is>
      </c>
      <c r="K144" s="3" t="inlineStr">
        <is>
          <t>39</t>
        </is>
      </c>
      <c r="L144" s="7" t="inlineStr">
        <is>
          <t>TRÚNG</t>
        </is>
      </c>
      <c r="M144" s="7" t="inlineStr">
        <is>
          <t>TRÚNG</t>
        </is>
      </c>
      <c r="N144" s="6" t="inlineStr">
        <is>
          <t>KHÔNG</t>
        </is>
      </c>
      <c r="O144" s="3" t="inlineStr">
        <is>
          <t>34 - 43</t>
        </is>
      </c>
      <c r="P144" s="3" t="inlineStr">
        <is>
          <t>2 nháy 🎯</t>
        </is>
      </c>
      <c r="Q144" s="3" t="inlineStr">
        <is>
          <t>12 nháy</t>
        </is>
      </c>
    </row>
    <row r="145">
      <c r="A145" s="2" t="n">
        <v>138</v>
      </c>
      <c r="B145" s="2" t="inlineStr">
        <is>
          <t>Thứ sáu ngày 22-05-2026 (Thứ Sáu)</t>
        </is>
      </c>
      <c r="C145" s="3" t="inlineStr">
        <is>
          <t>43</t>
        </is>
      </c>
      <c r="D145" s="3" t="inlineStr">
        <is>
          <t>12</t>
        </is>
      </c>
      <c r="E145" s="3" t="inlineStr">
        <is>
          <t>78</t>
        </is>
      </c>
      <c r="F145" s="3" t="inlineStr">
        <is>
          <t>81</t>
        </is>
      </c>
      <c r="G145" s="3" t="inlineStr">
        <is>
          <t>123478</t>
        </is>
      </c>
      <c r="H145" s="3" t="inlineStr">
        <is>
          <t>T0, T2, T3, T4, T5, T7, T8, T9</t>
        </is>
      </c>
      <c r="I145" s="3" t="inlineStr">
        <is>
          <t>T5-B0</t>
        </is>
      </c>
      <c r="J145" s="3" t="inlineStr">
        <is>
          <t>68 con</t>
        </is>
      </c>
      <c r="K145" s="3" t="inlineStr">
        <is>
          <t>21</t>
        </is>
      </c>
      <c r="L145" s="7" t="inlineStr">
        <is>
          <t>TRÚNG</t>
        </is>
      </c>
      <c r="M145" s="6" t="inlineStr">
        <is>
          <t>KHÔNG</t>
        </is>
      </c>
      <c r="N145" s="7" t="inlineStr">
        <is>
          <t>TRÚNG</t>
        </is>
      </c>
      <c r="O145" s="3" t="inlineStr">
        <is>
          <t>41 - 14</t>
        </is>
      </c>
      <c r="P145" s="3" t="inlineStr">
        <is>
          <t>0 nháy</t>
        </is>
      </c>
      <c r="Q145" s="3" t="inlineStr">
        <is>
          <t>24 nháy</t>
        </is>
      </c>
    </row>
    <row r="146">
      <c r="A146" s="2" t="n">
        <v>139</v>
      </c>
      <c r="B146" s="2" t="inlineStr">
        <is>
          <t>Thứ bảy ngày 23-05-2026 (Thứ Bảy)</t>
        </is>
      </c>
      <c r="C146" s="3" t="inlineStr">
        <is>
          <t>84</t>
        </is>
      </c>
      <c r="D146" s="3" t="inlineStr">
        <is>
          <t>36</t>
        </is>
      </c>
      <c r="E146" s="3" t="inlineStr">
        <is>
          <t>85</t>
        </is>
      </c>
      <c r="F146" s="3" t="inlineStr">
        <is>
          <t>26</t>
        </is>
      </c>
      <c r="G146" s="3" t="inlineStr">
        <is>
          <t>234568</t>
        </is>
      </c>
      <c r="H146" s="3" t="inlineStr">
        <is>
          <t>T2, T3, T4, T7, T8, T9</t>
        </is>
      </c>
      <c r="I146" s="3" t="inlineStr">
        <is>
          <t>T4-B9</t>
        </is>
      </c>
      <c r="J146" s="3" t="inlineStr">
        <is>
          <t>51 con</t>
        </is>
      </c>
      <c r="K146" s="3" t="inlineStr">
        <is>
          <t>04</t>
        </is>
      </c>
      <c r="L146" s="7" t="inlineStr">
        <is>
          <t>TRÚNG</t>
        </is>
      </c>
      <c r="M146" s="7" t="inlineStr">
        <is>
          <t>TRÚNG</t>
        </is>
      </c>
      <c r="N146" s="7" t="inlineStr">
        <is>
          <t>TRÚNG</t>
        </is>
      </c>
      <c r="O146" s="3" t="inlineStr">
        <is>
          <t>86 - 68</t>
        </is>
      </c>
      <c r="P146" s="3" t="inlineStr">
        <is>
          <t>1 nháy 🎯</t>
        </is>
      </c>
      <c r="Q146" s="3" t="inlineStr">
        <is>
          <t>12 nháy</t>
        </is>
      </c>
    </row>
    <row r="147">
      <c r="A147" s="2" t="n">
        <v>140</v>
      </c>
      <c r="B147" s="2" t="inlineStr">
        <is>
          <t>Chủ nhật ngày 24-05-2026 (Chủ Nhật)</t>
        </is>
      </c>
      <c r="C147" s="3" t="inlineStr">
        <is>
          <t>29</t>
        </is>
      </c>
      <c r="D147" s="3" t="inlineStr">
        <is>
          <t>58</t>
        </is>
      </c>
      <c r="E147" s="3" t="inlineStr">
        <is>
          <t>06</t>
        </is>
      </c>
      <c r="F147" s="3" t="inlineStr">
        <is>
          <t>96</t>
        </is>
      </c>
      <c r="G147" s="3" t="inlineStr">
        <is>
          <t>025689</t>
        </is>
      </c>
      <c r="H147" s="3" t="inlineStr">
        <is>
          <t>T0, T1, T3, T5, T6, T8</t>
        </is>
      </c>
      <c r="I147" s="3" t="inlineStr">
        <is>
          <t>T8-B3</t>
        </is>
      </c>
      <c r="J147" s="3" t="inlineStr">
        <is>
          <t>50 con</t>
        </is>
      </c>
      <c r="K147" s="3" t="inlineStr">
        <is>
          <t>81</t>
        </is>
      </c>
      <c r="L147" s="7" t="inlineStr">
        <is>
          <t>TRÚNG</t>
        </is>
      </c>
      <c r="M147" s="6" t="inlineStr">
        <is>
          <t>KHÔNG</t>
        </is>
      </c>
      <c r="N147" s="6" t="inlineStr">
        <is>
          <t>KHÔNG</t>
        </is>
      </c>
      <c r="O147" s="3" t="inlineStr">
        <is>
          <t>26 - 62</t>
        </is>
      </c>
      <c r="P147" s="3" t="inlineStr">
        <is>
          <t>0 nháy</t>
        </is>
      </c>
      <c r="Q147" s="3" t="inlineStr">
        <is>
          <t>14 nháy</t>
        </is>
      </c>
    </row>
    <row r="148">
      <c r="A148" s="2" t="n">
        <v>141</v>
      </c>
      <c r="B148" s="2" t="inlineStr">
        <is>
          <t>Thứ hai ngày 25-05-2026 (Thứ Hai)</t>
        </is>
      </c>
      <c r="C148" s="3" t="inlineStr">
        <is>
          <t>90</t>
        </is>
      </c>
      <c r="D148" s="3" t="inlineStr">
        <is>
          <t>43</t>
        </is>
      </c>
      <c r="E148" s="3" t="inlineStr">
        <is>
          <t>83</t>
        </is>
      </c>
      <c r="F148" s="3" t="inlineStr">
        <is>
          <t>96</t>
        </is>
      </c>
      <c r="G148" s="3" t="inlineStr">
        <is>
          <t>034689</t>
        </is>
      </c>
      <c r="H148" s="3" t="inlineStr">
        <is>
          <t>T0, T1, T2, T4, T5, T6, T7, T9</t>
        </is>
      </c>
      <c r="I148" s="3" t="inlineStr">
        <is>
          <t>T5-B0</t>
        </is>
      </c>
      <c r="J148" s="3" t="inlineStr">
        <is>
          <t>68 con</t>
        </is>
      </c>
      <c r="K148" s="3" t="inlineStr">
        <is>
          <t>11</t>
        </is>
      </c>
      <c r="L148" s="6" t="inlineStr">
        <is>
          <t>KHÔNG</t>
        </is>
      </c>
      <c r="M148" s="6" t="inlineStr">
        <is>
          <t>KHÔNG</t>
        </is>
      </c>
      <c r="N148" s="6" t="inlineStr">
        <is>
          <t>KHÔNG</t>
        </is>
      </c>
      <c r="O148" s="3" t="inlineStr">
        <is>
          <t>96 - 69</t>
        </is>
      </c>
      <c r="P148" s="3" t="inlineStr">
        <is>
          <t>0 nháy</t>
        </is>
      </c>
      <c r="Q148" s="3" t="inlineStr">
        <is>
          <t>21 nháy</t>
        </is>
      </c>
    </row>
    <row r="149">
      <c r="A149" s="2" t="n">
        <v>142</v>
      </c>
      <c r="B149" s="2" t="inlineStr">
        <is>
          <t>Thứ ba ngày 26-05-2026 (Thứ Ba)</t>
        </is>
      </c>
      <c r="C149" s="3" t="inlineStr">
        <is>
          <t>74</t>
        </is>
      </c>
      <c r="D149" s="3" t="inlineStr">
        <is>
          <t>39</t>
        </is>
      </c>
      <c r="E149" s="3" t="inlineStr">
        <is>
          <t>28</t>
        </is>
      </c>
      <c r="F149" s="3" t="inlineStr">
        <is>
          <t>81</t>
        </is>
      </c>
      <c r="G149" s="3" t="inlineStr">
        <is>
          <t>1234789</t>
        </is>
      </c>
      <c r="H149" s="3" t="inlineStr">
        <is>
          <t>T0, T1, T2, T4, T5, T6, T7, T9</t>
        </is>
      </c>
      <c r="I149" s="3" t="inlineStr">
        <is>
          <t>T8-B3</t>
        </is>
      </c>
      <c r="J149" s="3" t="inlineStr">
        <is>
          <t>71 con</t>
        </is>
      </c>
      <c r="K149" s="3" t="inlineStr">
        <is>
          <t>13</t>
        </is>
      </c>
      <c r="L149" s="7" t="inlineStr">
        <is>
          <t>TRÚNG</t>
        </is>
      </c>
      <c r="M149" s="6" t="inlineStr">
        <is>
          <t>KHÔNG</t>
        </is>
      </c>
      <c r="N149" s="7" t="inlineStr">
        <is>
          <t>TRÚNG</t>
        </is>
      </c>
      <c r="O149" s="3" t="inlineStr">
        <is>
          <t>71 - 17</t>
        </is>
      </c>
      <c r="P149" s="3" t="inlineStr">
        <is>
          <t>0 nháy</t>
        </is>
      </c>
      <c r="Q149" s="3" t="inlineStr">
        <is>
          <t>22 nháy</t>
        </is>
      </c>
    </row>
    <row r="150">
      <c r="A150" s="2" t="n">
        <v>143</v>
      </c>
      <c r="B150" s="2" t="inlineStr">
        <is>
          <t>Thứ tư ngày 27-05-2026 (Thứ Tư)</t>
        </is>
      </c>
      <c r="C150" s="3" t="inlineStr">
        <is>
          <t>45</t>
        </is>
      </c>
      <c r="D150" s="3" t="inlineStr">
        <is>
          <t>27</t>
        </is>
      </c>
      <c r="E150" s="3" t="inlineStr">
        <is>
          <t>16</t>
        </is>
      </c>
      <c r="F150" s="3" t="inlineStr">
        <is>
          <t>15</t>
        </is>
      </c>
      <c r="G150" s="3" t="inlineStr">
        <is>
          <t>124567</t>
        </is>
      </c>
      <c r="H150" s="3" t="inlineStr">
        <is>
          <t>T1, T2, T4, T6, T7, T9</t>
        </is>
      </c>
      <c r="I150" s="3" t="inlineStr">
        <is>
          <t>T9-B4</t>
        </is>
      </c>
      <c r="J150" s="3" t="inlineStr">
        <is>
          <t>50 con</t>
        </is>
      </c>
      <c r="K150" s="3" t="inlineStr">
        <is>
          <t>50</t>
        </is>
      </c>
      <c r="L150" s="7" t="inlineStr">
        <is>
          <t>TRÚNG</t>
        </is>
      </c>
      <c r="M150" s="6" t="inlineStr">
        <is>
          <t>KHÔNG</t>
        </is>
      </c>
      <c r="N150" s="6" t="inlineStr">
        <is>
          <t>KHÔNG</t>
        </is>
      </c>
      <c r="O150" s="3" t="inlineStr">
        <is>
          <t>45 - 54</t>
        </is>
      </c>
      <c r="P150" s="3" t="inlineStr">
        <is>
          <t>1 nháy 🎯</t>
        </is>
      </c>
      <c r="Q150" s="3" t="inlineStr">
        <is>
          <t>12 nháy</t>
        </is>
      </c>
    </row>
    <row r="151">
      <c r="A151" s="2" t="n">
        <v>144</v>
      </c>
      <c r="B151" s="2" t="inlineStr">
        <is>
          <t>Thứ năm ngày 28-05-2026 (Thứ Năm)</t>
        </is>
      </c>
      <c r="C151" s="3" t="inlineStr">
        <is>
          <t>16</t>
        </is>
      </c>
      <c r="D151" s="3" t="inlineStr">
        <is>
          <t>00</t>
        </is>
      </c>
      <c r="E151" s="3" t="inlineStr">
        <is>
          <t>51</t>
        </is>
      </c>
      <c r="F151" s="3" t="inlineStr">
        <is>
          <t>99</t>
        </is>
      </c>
      <c r="G151" s="3" t="inlineStr">
        <is>
          <t>01569</t>
        </is>
      </c>
      <c r="H151" s="3" t="inlineStr">
        <is>
          <t>T0, T1, T2, T3, T5, T6, T7, T8</t>
        </is>
      </c>
      <c r="I151" s="3" t="inlineStr">
        <is>
          <t>T0-B5</t>
        </is>
      </c>
      <c r="J151" s="3" t="inlineStr">
        <is>
          <t>59 con</t>
        </is>
      </c>
      <c r="K151" s="3" t="inlineStr">
        <is>
          <t>54</t>
        </is>
      </c>
      <c r="L151" s="7" t="inlineStr">
        <is>
          <t>TRÚNG</t>
        </is>
      </c>
      <c r="M151" s="6" t="inlineStr">
        <is>
          <t>KHÔNG</t>
        </is>
      </c>
      <c r="N151" s="6" t="inlineStr">
        <is>
          <t>KHÔNG</t>
        </is>
      </c>
      <c r="O151" s="3" t="inlineStr">
        <is>
          <t>19 - 91</t>
        </is>
      </c>
      <c r="P151" s="3" t="inlineStr">
        <is>
          <t>0 nháy</t>
        </is>
      </c>
      <c r="Q151" s="3" t="inlineStr">
        <is>
          <t>16 nháy</t>
        </is>
      </c>
    </row>
    <row r="152">
      <c r="A152" s="2" t="n">
        <v>145</v>
      </c>
      <c r="B152" s="2" t="inlineStr">
        <is>
          <t>Thứ sáu ngày 29-05-2026 (Thứ Sáu)</t>
        </is>
      </c>
      <c r="C152" s="3" t="inlineStr">
        <is>
          <t>17</t>
        </is>
      </c>
      <c r="D152" s="3" t="inlineStr">
        <is>
          <t>16</t>
        </is>
      </c>
      <c r="E152" s="3" t="inlineStr">
        <is>
          <t>66</t>
        </is>
      </c>
      <c r="F152" s="3" t="inlineStr">
        <is>
          <t>83</t>
        </is>
      </c>
      <c r="G152" s="3" t="inlineStr">
        <is>
          <t>13678</t>
        </is>
      </c>
      <c r="H152" s="3" t="inlineStr">
        <is>
          <t>T1, T2, T3, T6, T7, T8</t>
        </is>
      </c>
      <c r="I152" s="3" t="inlineStr">
        <is>
          <t>T4-B9</t>
        </is>
      </c>
      <c r="J152" s="3" t="inlineStr">
        <is>
          <t>48 con</t>
        </is>
      </c>
      <c r="K152" s="3" t="inlineStr">
        <is>
          <t>43</t>
        </is>
      </c>
      <c r="L152" s="7" t="inlineStr">
        <is>
          <t>TRÚNG</t>
        </is>
      </c>
      <c r="M152" s="6" t="inlineStr">
        <is>
          <t>KHÔNG</t>
        </is>
      </c>
      <c r="N152" s="7" t="inlineStr">
        <is>
          <t>TRÚNG</t>
        </is>
      </c>
      <c r="O152" s="3" t="inlineStr">
        <is>
          <t>13 - 31</t>
        </is>
      </c>
      <c r="P152" s="3" t="inlineStr">
        <is>
          <t>0 nháy</t>
        </is>
      </c>
      <c r="Q152" s="3" t="inlineStr">
        <is>
          <t>11 nháy</t>
        </is>
      </c>
    </row>
    <row r="153">
      <c r="A153" s="2" t="n">
        <v>146</v>
      </c>
      <c r="B153" s="2" t="inlineStr">
        <is>
          <t>Thứ bảy ngày 30-05-2026 (Thứ Bảy)</t>
        </is>
      </c>
      <c r="C153" s="3" t="inlineStr">
        <is>
          <t>51</t>
        </is>
      </c>
      <c r="D153" s="3" t="inlineStr">
        <is>
          <t>56</t>
        </is>
      </c>
      <c r="E153" s="3" t="inlineStr">
        <is>
          <t>96</t>
        </is>
      </c>
      <c r="F153" s="3" t="inlineStr">
        <is>
          <t>44</t>
        </is>
      </c>
      <c r="G153" s="3" t="inlineStr">
        <is>
          <t>14569</t>
        </is>
      </c>
      <c r="H153" s="3" t="inlineStr">
        <is>
          <t>T0, T1, T3, T5, T6, T8</t>
        </is>
      </c>
      <c r="I153" s="3" t="inlineStr">
        <is>
          <t>T9-B4</t>
        </is>
      </c>
      <c r="J153" s="3" t="inlineStr">
        <is>
          <t>43 con</t>
        </is>
      </c>
      <c r="K153" s="3" t="inlineStr">
        <is>
          <t>42</t>
        </is>
      </c>
      <c r="L153" s="7" t="inlineStr">
        <is>
          <t>TRÚNG</t>
        </is>
      </c>
      <c r="M153" s="6" t="inlineStr">
        <is>
          <t>KHÔNG</t>
        </is>
      </c>
      <c r="N153" s="7" t="inlineStr">
        <is>
          <t>TRÚNG</t>
        </is>
      </c>
      <c r="O153" s="3" t="inlineStr">
        <is>
          <t>54 - 45</t>
        </is>
      </c>
      <c r="P153" s="3" t="inlineStr">
        <is>
          <t>0 nháy</t>
        </is>
      </c>
      <c r="Q153" s="3" t="inlineStr">
        <is>
          <t>8 nháy</t>
        </is>
      </c>
    </row>
    <row r="154">
      <c r="A154" s="2" t="n">
        <v>147</v>
      </c>
      <c r="B154" s="2" t="inlineStr">
        <is>
          <t>Chủ nhật ngày 31-05-2026 (Chủ Nhật)</t>
        </is>
      </c>
      <c r="C154" s="3" t="inlineStr">
        <is>
          <t>73</t>
        </is>
      </c>
      <c r="D154" s="3" t="inlineStr">
        <is>
          <t>39</t>
        </is>
      </c>
      <c r="E154" s="3" t="inlineStr">
        <is>
          <t>81</t>
        </is>
      </c>
      <c r="F154" s="3" t="inlineStr">
        <is>
          <t>84</t>
        </is>
      </c>
      <c r="G154" s="3" t="inlineStr">
        <is>
          <t>134789</t>
        </is>
      </c>
      <c r="H154" s="3" t="inlineStr">
        <is>
          <t>T0, T2, T4, T5, T7, T9</t>
        </is>
      </c>
      <c r="I154" s="3" t="inlineStr">
        <is>
          <t>T1-B6</t>
        </is>
      </c>
      <c r="J154" s="3" t="inlineStr">
        <is>
          <t>50 con</t>
        </is>
      </c>
      <c r="K154" s="3" t="inlineStr">
        <is>
          <t>53</t>
        </is>
      </c>
      <c r="L154" s="7" t="inlineStr">
        <is>
          <t>TRÚNG</t>
        </is>
      </c>
      <c r="M154" s="6" t="inlineStr">
        <is>
          <t>KHÔNG</t>
        </is>
      </c>
      <c r="N154" s="6" t="inlineStr">
        <is>
          <t>KHÔNG</t>
        </is>
      </c>
      <c r="O154" s="3" t="inlineStr">
        <is>
          <t>74 - 47</t>
        </is>
      </c>
      <c r="P154" s="3" t="inlineStr">
        <is>
          <t>0 nháy</t>
        </is>
      </c>
      <c r="Q154" s="3" t="inlineStr">
        <is>
          <t>10 nháy</t>
        </is>
      </c>
    </row>
    <row r="155">
      <c r="A155" s="2" t="n">
        <v>148</v>
      </c>
      <c r="B155" s="2" t="inlineStr">
        <is>
          <t>Thứ hai ngày 01-06-2026 (Thứ Hai)</t>
        </is>
      </c>
      <c r="C155" s="3" t="inlineStr">
        <is>
          <t>42</t>
        </is>
      </c>
      <c r="D155" s="3" t="inlineStr">
        <is>
          <t>67</t>
        </is>
      </c>
      <c r="E155" s="3" t="inlineStr">
        <is>
          <t>20</t>
        </is>
      </c>
      <c r="F155" s="3" t="inlineStr">
        <is>
          <t>10</t>
        </is>
      </c>
      <c r="G155" s="3" t="inlineStr">
        <is>
          <t>012467</t>
        </is>
      </c>
      <c r="H155" s="3" t="inlineStr">
        <is>
          <t>T1, T2, T3, T6, T7, T8</t>
        </is>
      </c>
      <c r="I155" s="3" t="inlineStr">
        <is>
          <t>T4-B9</t>
        </is>
      </c>
      <c r="J155" s="3" t="inlineStr">
        <is>
          <t>47 con</t>
        </is>
      </c>
      <c r="K155" s="3" t="inlineStr">
        <is>
          <t>23</t>
        </is>
      </c>
      <c r="L155" s="7" t="inlineStr">
        <is>
          <t>TRÚNG</t>
        </is>
      </c>
      <c r="M155" s="6" t="inlineStr">
        <is>
          <t>KHÔNG</t>
        </is>
      </c>
      <c r="N155" s="6" t="inlineStr">
        <is>
          <t>KHÔNG</t>
        </is>
      </c>
      <c r="O155" s="3" t="inlineStr">
        <is>
          <t>40 - 04</t>
        </is>
      </c>
      <c r="P155" s="3" t="inlineStr">
        <is>
          <t>0 nháy</t>
        </is>
      </c>
      <c r="Q155" s="3" t="inlineStr">
        <is>
          <t>14 nháy</t>
        </is>
      </c>
    </row>
    <row r="156">
      <c r="A156" s="2" t="n">
        <v>149</v>
      </c>
      <c r="B156" s="2" t="inlineStr">
        <is>
          <t>Thứ ba ngày 02-06-2026 (Thứ Ba)</t>
        </is>
      </c>
      <c r="C156" s="3" t="inlineStr">
        <is>
          <t>32</t>
        </is>
      </c>
      <c r="D156" s="3" t="inlineStr">
        <is>
          <t>59</t>
        </is>
      </c>
      <c r="E156" s="3" t="inlineStr">
        <is>
          <t>83</t>
        </is>
      </c>
      <c r="F156" s="3" t="inlineStr">
        <is>
          <t>87</t>
        </is>
      </c>
      <c r="G156" s="3" t="inlineStr">
        <is>
          <t>235789</t>
        </is>
      </c>
      <c r="H156" s="3" t="inlineStr">
        <is>
          <t>T0, T1, T4, T5, T6, T9</t>
        </is>
      </c>
      <c r="I156" s="3" t="inlineStr">
        <is>
          <t>T0-B5</t>
        </is>
      </c>
      <c r="J156" s="3" t="inlineStr">
        <is>
          <t>49 con</t>
        </is>
      </c>
      <c r="K156" s="3" t="inlineStr">
        <is>
          <t>36</t>
        </is>
      </c>
      <c r="L156" s="7" t="inlineStr">
        <is>
          <t>TRÚNG</t>
        </is>
      </c>
      <c r="M156" s="6" t="inlineStr">
        <is>
          <t>KHÔNG</t>
        </is>
      </c>
      <c r="N156" s="7" t="inlineStr">
        <is>
          <t>TRÚNG</t>
        </is>
      </c>
      <c r="O156" s="3" t="inlineStr">
        <is>
          <t>37 - 73</t>
        </is>
      </c>
      <c r="P156" s="3" t="inlineStr">
        <is>
          <t>0 nháy</t>
        </is>
      </c>
      <c r="Q156" s="3" t="inlineStr">
        <is>
          <t>15 nháy</t>
        </is>
      </c>
    </row>
    <row r="157">
      <c r="A157" s="2" t="n">
        <v>150</v>
      </c>
      <c r="B157" s="2" t="inlineStr">
        <is>
          <t>Thứ tư ngày 03-06-2026 (Thứ Tư)</t>
        </is>
      </c>
      <c r="C157" s="3" t="inlineStr">
        <is>
          <t>52</t>
        </is>
      </c>
      <c r="D157" s="3" t="inlineStr">
        <is>
          <t>90</t>
        </is>
      </c>
      <c r="E157" s="3" t="inlineStr">
        <is>
          <t>77</t>
        </is>
      </c>
      <c r="F157" s="3" t="inlineStr">
        <is>
          <t>34</t>
        </is>
      </c>
      <c r="G157" s="3" t="inlineStr">
        <is>
          <t>0234579</t>
        </is>
      </c>
      <c r="H157" s="3" t="inlineStr">
        <is>
          <t>T2, T4, T7, T9</t>
        </is>
      </c>
      <c r="I157" s="3" t="inlineStr">
        <is>
          <t>T9-B4</t>
        </is>
      </c>
      <c r="J157" s="3" t="inlineStr">
        <is>
          <t>32 con</t>
        </is>
      </c>
      <c r="K157" s="3" t="inlineStr">
        <is>
          <t>83</t>
        </is>
      </c>
      <c r="L157" s="7" t="inlineStr">
        <is>
          <t>TRÚNG</t>
        </is>
      </c>
      <c r="M157" s="6" t="inlineStr">
        <is>
          <t>KHÔNG</t>
        </is>
      </c>
      <c r="N157" s="6" t="inlineStr">
        <is>
          <t>KHÔNG</t>
        </is>
      </c>
      <c r="O157" s="3" t="inlineStr">
        <is>
          <t>54 - 45</t>
        </is>
      </c>
      <c r="P157" s="3" t="inlineStr">
        <is>
          <t>1 nháy 🎯</t>
        </is>
      </c>
      <c r="Q157" s="3" t="inlineStr">
        <is>
          <t>7 nháy</t>
        </is>
      </c>
    </row>
    <row r="158">
      <c r="A158" s="2" t="n">
        <v>151</v>
      </c>
      <c r="B158" s="2" t="inlineStr">
        <is>
          <t>Thứ năm ngày 04-06-2026 (Thứ Năm)</t>
        </is>
      </c>
      <c r="C158" s="3" t="inlineStr">
        <is>
          <t>33</t>
        </is>
      </c>
      <c r="D158" s="3" t="inlineStr">
        <is>
          <t>52</t>
        </is>
      </c>
      <c r="E158" s="3" t="inlineStr">
        <is>
          <t>80</t>
        </is>
      </c>
      <c r="F158" s="3" t="inlineStr">
        <is>
          <t>16</t>
        </is>
      </c>
      <c r="G158" s="3" t="inlineStr">
        <is>
          <t>0123568</t>
        </is>
      </c>
      <c r="H158" s="3" t="inlineStr">
        <is>
          <t>T1, T2, T3, T6, T7, T8</t>
        </is>
      </c>
      <c r="I158" s="3" t="inlineStr">
        <is>
          <t>T9-B4</t>
        </is>
      </c>
      <c r="J158" s="3" t="inlineStr">
        <is>
          <t>52 con</t>
        </is>
      </c>
      <c r="K158" s="3" t="inlineStr">
        <is>
          <t>78</t>
        </is>
      </c>
      <c r="L158" s="7" t="inlineStr">
        <is>
          <t>TRÚNG</t>
        </is>
      </c>
      <c r="M158" s="6" t="inlineStr">
        <is>
          <t>KHÔNG</t>
        </is>
      </c>
      <c r="N158" s="6" t="inlineStr">
        <is>
          <t>KHÔNG</t>
        </is>
      </c>
      <c r="O158" s="3" t="inlineStr">
        <is>
          <t>36 - 63</t>
        </is>
      </c>
      <c r="P158" s="3" t="inlineStr">
        <is>
          <t>0 nháy</t>
        </is>
      </c>
      <c r="Q158" s="3" t="inlineStr">
        <is>
          <t>12 nháy</t>
        </is>
      </c>
    </row>
    <row r="159">
      <c r="A159" s="2" t="n">
        <v>152</v>
      </c>
      <c r="B159" s="2" t="inlineStr">
        <is>
          <t>Thứ sáu ngày 05-06-2026 (Thứ Sáu)</t>
        </is>
      </c>
      <c r="C159" s="3" t="inlineStr">
        <is>
          <t>49</t>
        </is>
      </c>
      <c r="D159" s="3" t="inlineStr">
        <is>
          <t>52</t>
        </is>
      </c>
      <c r="E159" s="3" t="inlineStr">
        <is>
          <t>99</t>
        </is>
      </c>
      <c r="F159" s="3" t="inlineStr">
        <is>
          <t>46</t>
        </is>
      </c>
      <c r="G159" s="3" t="inlineStr">
        <is>
          <t>24569</t>
        </is>
      </c>
      <c r="H159" s="3" t="inlineStr">
        <is>
          <t>T0, T2, T3, T5, T7, T8</t>
        </is>
      </c>
      <c r="I159" s="3" t="inlineStr">
        <is>
          <t>T0-B5</t>
        </is>
      </c>
      <c r="J159" s="3" t="inlineStr">
        <is>
          <t>46 con</t>
        </is>
      </c>
      <c r="K159" s="3" t="inlineStr">
        <is>
          <t>65</t>
        </is>
      </c>
      <c r="L159" s="7" t="inlineStr">
        <is>
          <t>TRÚNG</t>
        </is>
      </c>
      <c r="M159" s="6" t="inlineStr">
        <is>
          <t>KHÔNG</t>
        </is>
      </c>
      <c r="N159" s="6" t="inlineStr">
        <is>
          <t>KHÔNG</t>
        </is>
      </c>
      <c r="O159" s="3" t="inlineStr">
        <is>
          <t>46 - 64</t>
        </is>
      </c>
      <c r="P159" s="3" t="inlineStr">
        <is>
          <t>0 nháy</t>
        </is>
      </c>
      <c r="Q159" s="3" t="inlineStr">
        <is>
          <t>11 nháy</t>
        </is>
      </c>
    </row>
    <row r="160">
      <c r="A160" s="2" t="n">
        <v>153</v>
      </c>
      <c r="B160" s="2" t="inlineStr">
        <is>
          <t>Thứ bảy ngày 06-06-2026 (Thứ Bảy)</t>
        </is>
      </c>
      <c r="C160" s="3" t="inlineStr">
        <is>
          <t>53</t>
        </is>
      </c>
      <c r="D160" s="3" t="inlineStr">
        <is>
          <t>32</t>
        </is>
      </c>
      <c r="E160" s="3" t="inlineStr">
        <is>
          <t>69</t>
        </is>
      </c>
      <c r="F160" s="3" t="inlineStr">
        <is>
          <t>52</t>
        </is>
      </c>
      <c r="G160" s="3" t="inlineStr">
        <is>
          <t>23569</t>
        </is>
      </c>
      <c r="H160" s="3" t="inlineStr">
        <is>
          <t>T0, T2, T3, T5, T7, T8</t>
        </is>
      </c>
      <c r="I160" s="3" t="inlineStr">
        <is>
          <t>T7-B2</t>
        </is>
      </c>
      <c r="J160" s="3" t="inlineStr">
        <is>
          <t>45 con</t>
        </is>
      </c>
      <c r="K160" s="3" t="inlineStr">
        <is>
          <t>93</t>
        </is>
      </c>
      <c r="L160" s="7" t="inlineStr">
        <is>
          <t>TRÚNG</t>
        </is>
      </c>
      <c r="M160" s="7" t="inlineStr">
        <is>
          <t>TRÚNG</t>
        </is>
      </c>
      <c r="N160" s="7" t="inlineStr">
        <is>
          <t>TRÚNG</t>
        </is>
      </c>
      <c r="O160" s="3" t="inlineStr">
        <is>
          <t>52 - 25</t>
        </is>
      </c>
      <c r="P160" s="3" t="inlineStr">
        <is>
          <t>1 nháy 🎯</t>
        </is>
      </c>
      <c r="Q160" s="3" t="inlineStr">
        <is>
          <t>10 nháy</t>
        </is>
      </c>
    </row>
    <row r="161">
      <c r="A161" s="2" t="n">
        <v>154</v>
      </c>
      <c r="B161" s="2" t="inlineStr">
        <is>
          <t>Chủ nhật ngày 07-06-2026 (Chủ Nhật)</t>
        </is>
      </c>
      <c r="C161" s="3" t="inlineStr">
        <is>
          <t>09</t>
        </is>
      </c>
      <c r="D161" s="3" t="inlineStr">
        <is>
          <t>11</t>
        </is>
      </c>
      <c r="E161" s="3" t="inlineStr">
        <is>
          <t>41</t>
        </is>
      </c>
      <c r="F161" s="3" t="inlineStr">
        <is>
          <t>15</t>
        </is>
      </c>
      <c r="G161" s="3" t="inlineStr">
        <is>
          <t>01459</t>
        </is>
      </c>
      <c r="H161" s="3" t="inlineStr">
        <is>
          <t>T0, T1, T2, T4, T5, T6, T7, T9</t>
        </is>
      </c>
      <c r="I161" s="3" t="inlineStr">
        <is>
          <t>T5-B0</t>
        </is>
      </c>
      <c r="J161" s="3" t="inlineStr">
        <is>
          <t>59 con</t>
        </is>
      </c>
      <c r="K161" s="3" t="inlineStr">
        <is>
          <t>05</t>
        </is>
      </c>
      <c r="L161" s="7" t="inlineStr">
        <is>
          <t>TRÚNG</t>
        </is>
      </c>
      <c r="M161" s="7" t="inlineStr">
        <is>
          <t>TRÚNG</t>
        </is>
      </c>
      <c r="N161" s="7" t="inlineStr">
        <is>
          <t>TRÚNG</t>
        </is>
      </c>
      <c r="O161" s="3" t="inlineStr">
        <is>
          <t>05 - 50</t>
        </is>
      </c>
      <c r="P161" s="3" t="inlineStr">
        <is>
          <t>2 nháy 🎯</t>
        </is>
      </c>
      <c r="Q161" s="3" t="inlineStr">
        <is>
          <t>16 nháy</t>
        </is>
      </c>
    </row>
    <row r="162">
      <c r="A162" s="2" t="n">
        <v>155</v>
      </c>
      <c r="B162" s="2" t="inlineStr">
        <is>
          <t>Thứ hai ngày 08-06-2026 (Thứ Hai)</t>
        </is>
      </c>
      <c r="C162" s="3" t="inlineStr">
        <is>
          <t>31</t>
        </is>
      </c>
      <c r="D162" s="3" t="inlineStr">
        <is>
          <t>21</t>
        </is>
      </c>
      <c r="E162" s="3" t="inlineStr">
        <is>
          <t>61</t>
        </is>
      </c>
      <c r="F162" s="3" t="inlineStr">
        <is>
          <t>07</t>
        </is>
      </c>
      <c r="G162" s="3" t="inlineStr">
        <is>
          <t>012367</t>
        </is>
      </c>
      <c r="H162" s="3" t="inlineStr">
        <is>
          <t>T2, T3, T4, T7, T8, T9</t>
        </is>
      </c>
      <c r="I162" s="3" t="inlineStr">
        <is>
          <t>T0-B5</t>
        </is>
      </c>
      <c r="J162" s="3" t="inlineStr">
        <is>
          <t>46 con</t>
        </is>
      </c>
      <c r="K162" s="3" t="inlineStr">
        <is>
          <t>51</t>
        </is>
      </c>
      <c r="L162" s="7" t="inlineStr">
        <is>
          <t>TRÚNG</t>
        </is>
      </c>
      <c r="M162" s="6" t="inlineStr">
        <is>
          <t>KHÔNG</t>
        </is>
      </c>
      <c r="N162" s="6" t="inlineStr">
        <is>
          <t>KHÔNG</t>
        </is>
      </c>
      <c r="O162" s="3" t="inlineStr">
        <is>
          <t>37 - 73</t>
        </is>
      </c>
      <c r="P162" s="3" t="inlineStr">
        <is>
          <t>0 nháy</t>
        </is>
      </c>
      <c r="Q162" s="3" t="inlineStr">
        <is>
          <t>16 nháy</t>
        </is>
      </c>
    </row>
    <row r="163">
      <c r="A163" s="2" t="n">
        <v>156</v>
      </c>
      <c r="B163" s="2" t="inlineStr">
        <is>
          <t>Thứ ba ngày 09-06-2026 (Thứ Ba)</t>
        </is>
      </c>
      <c r="C163" s="3" t="inlineStr">
        <is>
          <t>10</t>
        </is>
      </c>
      <c r="D163" s="3" t="inlineStr">
        <is>
          <t>90</t>
        </is>
      </c>
      <c r="E163" s="3" t="inlineStr">
        <is>
          <t>47</t>
        </is>
      </c>
      <c r="F163" s="3" t="inlineStr">
        <is>
          <t>49</t>
        </is>
      </c>
      <c r="G163" s="3" t="inlineStr">
        <is>
          <t>01479</t>
        </is>
      </c>
      <c r="H163" s="3" t="inlineStr">
        <is>
          <t>T1, T3, T4, T6, T8, T9</t>
        </is>
      </c>
      <c r="I163" s="3" t="inlineStr">
        <is>
          <t>T0-B5</t>
        </is>
      </c>
      <c r="J163" s="3" t="inlineStr">
        <is>
          <t>43 con</t>
        </is>
      </c>
      <c r="K163" s="3" t="inlineStr">
        <is>
          <t>08</t>
        </is>
      </c>
      <c r="L163" s="7" t="inlineStr">
        <is>
          <t>TRÚNG</t>
        </is>
      </c>
      <c r="M163" s="6" t="inlineStr">
        <is>
          <t>KHÔNG</t>
        </is>
      </c>
      <c r="N163" s="7" t="inlineStr">
        <is>
          <t>TRÚNG</t>
        </is>
      </c>
      <c r="O163" s="3" t="inlineStr">
        <is>
          <t>19 - 91</t>
        </is>
      </c>
      <c r="P163" s="3" t="inlineStr">
        <is>
          <t>1 nháy 🎯</t>
        </is>
      </c>
      <c r="Q163" s="3" t="inlineStr">
        <is>
          <t>10 nháy</t>
        </is>
      </c>
    </row>
    <row r="164">
      <c r="A164" s="2" t="n">
        <v>157</v>
      </c>
      <c r="B164" s="2" t="inlineStr">
        <is>
          <t>Thứ tư ngày 10-06-2026 (Thứ Tư)</t>
        </is>
      </c>
      <c r="C164" s="3" t="inlineStr">
        <is>
          <t>52</t>
        </is>
      </c>
      <c r="D164" s="3" t="inlineStr">
        <is>
          <t>13</t>
        </is>
      </c>
      <c r="E164" s="3" t="inlineStr">
        <is>
          <t>05</t>
        </is>
      </c>
      <c r="F164" s="3" t="inlineStr">
        <is>
          <t>07</t>
        </is>
      </c>
      <c r="G164" s="3" t="inlineStr">
        <is>
          <t>012357</t>
        </is>
      </c>
      <c r="H164" s="3" t="inlineStr">
        <is>
          <t>T0, T2, T4, T5, T7, T9</t>
        </is>
      </c>
      <c r="I164" s="3" t="inlineStr">
        <is>
          <t>T2-B7</t>
        </is>
      </c>
      <c r="J164" s="3" t="inlineStr">
        <is>
          <t>49 con</t>
        </is>
      </c>
      <c r="K164" s="3" t="inlineStr">
        <is>
          <t>83</t>
        </is>
      </c>
      <c r="L164" s="7" t="inlineStr">
        <is>
          <t>TRÚNG</t>
        </is>
      </c>
      <c r="M164" s="6" t="inlineStr">
        <is>
          <t>KHÔNG</t>
        </is>
      </c>
      <c r="N164" s="6" t="inlineStr">
        <is>
          <t>KHÔNG</t>
        </is>
      </c>
      <c r="O164" s="3" t="inlineStr">
        <is>
          <t>57 - 75</t>
        </is>
      </c>
      <c r="P164" s="3" t="inlineStr">
        <is>
          <t>1 nháy 🎯</t>
        </is>
      </c>
      <c r="Q164" s="3" t="inlineStr">
        <is>
          <t>15 nháy</t>
        </is>
      </c>
    </row>
    <row r="165">
      <c r="A165" s="2" t="n">
        <v>158</v>
      </c>
      <c r="B165" s="2" t="inlineStr">
        <is>
          <t>Thứ năm ngày 11-06-2026 (Thứ Năm)</t>
        </is>
      </c>
      <c r="C165" s="3" t="inlineStr">
        <is>
          <t>20</t>
        </is>
      </c>
      <c r="D165" s="3" t="inlineStr">
        <is>
          <t>56</t>
        </is>
      </c>
      <c r="E165" s="3" t="inlineStr">
        <is>
          <t>59</t>
        </is>
      </c>
      <c r="F165" s="3" t="inlineStr">
        <is>
          <t>54</t>
        </is>
      </c>
      <c r="G165" s="3" t="inlineStr">
        <is>
          <t>024569</t>
        </is>
      </c>
      <c r="H165" s="3" t="inlineStr">
        <is>
          <t>T1, T2, T4, T6, T7, T9</t>
        </is>
      </c>
      <c r="I165" s="3" t="inlineStr">
        <is>
          <t>T6-B1</t>
        </is>
      </c>
      <c r="J165" s="3" t="inlineStr">
        <is>
          <t>50 con</t>
        </is>
      </c>
      <c r="K165" s="3" t="inlineStr">
        <is>
          <t>89</t>
        </is>
      </c>
      <c r="L165" s="7" t="inlineStr">
        <is>
          <t>TRÚNG</t>
        </is>
      </c>
      <c r="M165" s="6" t="inlineStr">
        <is>
          <t>KHÔNG</t>
        </is>
      </c>
      <c r="N165" s="7" t="inlineStr">
        <is>
          <t>TRÚNG</t>
        </is>
      </c>
      <c r="O165" s="3" t="inlineStr">
        <is>
          <t>24 - 42</t>
        </is>
      </c>
      <c r="P165" s="3" t="inlineStr">
        <is>
          <t>0 nháy</t>
        </is>
      </c>
      <c r="Q165" s="3" t="inlineStr">
        <is>
          <t>9 nháy</t>
        </is>
      </c>
    </row>
    <row r="166">
      <c r="A166" s="2" t="n">
        <v>159</v>
      </c>
      <c r="B166" s="2" t="inlineStr">
        <is>
          <t>Thứ sáu ngày 12-06-2026 (Thứ Sáu)</t>
        </is>
      </c>
      <c r="C166" s="3" t="inlineStr">
        <is>
          <t>76</t>
        </is>
      </c>
      <c r="D166" s="3" t="inlineStr">
        <is>
          <t>89</t>
        </is>
      </c>
      <c r="E166" s="3" t="inlineStr">
        <is>
          <t>26</t>
        </is>
      </c>
      <c r="F166" s="3" t="inlineStr">
        <is>
          <t>47</t>
        </is>
      </c>
      <c r="G166" s="3" t="inlineStr">
        <is>
          <t>246789</t>
        </is>
      </c>
      <c r="H166" s="3" t="inlineStr">
        <is>
          <t>T1, T2, T3, T6, T7, T8</t>
        </is>
      </c>
      <c r="I166" s="3" t="inlineStr">
        <is>
          <t>T4-B9</t>
        </is>
      </c>
      <c r="J166" s="3" t="inlineStr">
        <is>
          <t>50 con</t>
        </is>
      </c>
      <c r="K166" s="3" t="inlineStr">
        <is>
          <t>14</t>
        </is>
      </c>
      <c r="L166" s="7" t="inlineStr">
        <is>
          <t>TRÚNG</t>
        </is>
      </c>
      <c r="M166" s="6" t="inlineStr">
        <is>
          <t>KHÔNG</t>
        </is>
      </c>
      <c r="N166" s="6" t="inlineStr">
        <is>
          <t>KHÔNG</t>
        </is>
      </c>
      <c r="O166" s="3" t="inlineStr">
        <is>
          <t>77</t>
        </is>
      </c>
      <c r="P166" s="3" t="inlineStr">
        <is>
          <t>1 nháy 🎯</t>
        </is>
      </c>
      <c r="Q166" s="3" t="inlineStr">
        <is>
          <t>13 nháy</t>
        </is>
      </c>
    </row>
    <row r="167">
      <c r="A167" s="2" t="n">
        <v>160</v>
      </c>
      <c r="B167" s="2" t="inlineStr">
        <is>
          <t>Thứ bảy ngày 13-06-2026 (Thứ Bảy)</t>
        </is>
      </c>
      <c r="C167" s="3" t="inlineStr">
        <is>
          <t>01</t>
        </is>
      </c>
      <c r="D167" s="3" t="inlineStr">
        <is>
          <t>44</t>
        </is>
      </c>
      <c r="E167" s="3" t="inlineStr">
        <is>
          <t>93</t>
        </is>
      </c>
      <c r="F167" s="3" t="inlineStr">
        <is>
          <t>72</t>
        </is>
      </c>
      <c r="G167" s="3" t="inlineStr">
        <is>
          <t>0123479</t>
        </is>
      </c>
      <c r="H167" s="3" t="inlineStr">
        <is>
          <t>T1, T2, T3, T4, T6, T7, T8, T9</t>
        </is>
      </c>
      <c r="I167" s="3" t="inlineStr">
        <is>
          <t>T2-B7</t>
        </is>
      </c>
      <c r="J167" s="3" t="inlineStr">
        <is>
          <t>72 con</t>
        </is>
      </c>
      <c r="K167" s="3" t="inlineStr">
        <is>
          <t>00</t>
        </is>
      </c>
      <c r="L167" s="7" t="inlineStr">
        <is>
          <t>TRÚNG</t>
        </is>
      </c>
      <c r="M167" s="6" t="inlineStr">
        <is>
          <t>KHÔNG</t>
        </is>
      </c>
      <c r="N167" s="6" t="inlineStr">
        <is>
          <t>KHÔNG</t>
        </is>
      </c>
      <c r="O167" s="3" t="inlineStr">
        <is>
          <t>02 - 20</t>
        </is>
      </c>
      <c r="P167" s="3" t="inlineStr">
        <is>
          <t>2 nháy 🎯</t>
        </is>
      </c>
      <c r="Q167" s="3" t="inlineStr">
        <is>
          <t>19 nháy</t>
        </is>
      </c>
    </row>
    <row r="168">
      <c r="A168" s="2" t="n">
        <v>161</v>
      </c>
      <c r="B168" s="2" t="inlineStr">
        <is>
          <t>Chủ nhật ngày 14-06-2026 (Chủ Nhật)</t>
        </is>
      </c>
      <c r="C168" s="3" t="inlineStr">
        <is>
          <t>48</t>
        </is>
      </c>
      <c r="D168" s="3" t="inlineStr">
        <is>
          <t>99</t>
        </is>
      </c>
      <c r="E168" s="3" t="inlineStr">
        <is>
          <t>69</t>
        </is>
      </c>
      <c r="F168" s="3" t="inlineStr">
        <is>
          <t>38</t>
        </is>
      </c>
      <c r="G168" s="3" t="inlineStr">
        <is>
          <t>34689</t>
        </is>
      </c>
      <c r="H168" s="3" t="inlineStr">
        <is>
          <t>T0, T1, T2, T3, T5, T6, T7, T8</t>
        </is>
      </c>
      <c r="I168" s="3" t="inlineStr">
        <is>
          <t>T2-B7</t>
        </is>
      </c>
      <c r="J168" s="3" t="inlineStr">
        <is>
          <t>59 con</t>
        </is>
      </c>
      <c r="K168" s="3" t="inlineStr">
        <is>
          <t>80</t>
        </is>
      </c>
      <c r="L168" s="7" t="inlineStr">
        <is>
          <t>TRÚNG</t>
        </is>
      </c>
      <c r="M168" s="6" t="inlineStr">
        <is>
          <t>KHÔNG</t>
        </is>
      </c>
      <c r="N168" s="7" t="inlineStr">
        <is>
          <t>TRÚNG</t>
        </is>
      </c>
      <c r="O168" s="3" t="inlineStr">
        <is>
          <t>48 - 84</t>
        </is>
      </c>
      <c r="P168" s="3" t="inlineStr">
        <is>
          <t>0 nháy</t>
        </is>
      </c>
      <c r="Q168" s="3" t="inlineStr">
        <is>
          <t>16 nháy</t>
        </is>
      </c>
    </row>
    <row r="169">
      <c r="A169" s="2" t="n">
        <v>162</v>
      </c>
      <c r="B169" s="2" t="inlineStr">
        <is>
          <t>Thứ hai ngày 15-06-2026 (Thứ Hai)</t>
        </is>
      </c>
      <c r="C169" s="3" t="inlineStr">
        <is>
          <t>62</t>
        </is>
      </c>
      <c r="D169" s="3" t="inlineStr">
        <is>
          <t>86</t>
        </is>
      </c>
      <c r="E169" s="3" t="inlineStr">
        <is>
          <t>27</t>
        </is>
      </c>
      <c r="F169" s="3" t="inlineStr">
        <is>
          <t>00</t>
        </is>
      </c>
      <c r="G169" s="3" t="inlineStr">
        <is>
          <t>02678</t>
        </is>
      </c>
      <c r="H169" s="3" t="inlineStr">
        <is>
          <t>T0, T3, T4, T5, T8, T9</t>
        </is>
      </c>
      <c r="I169" s="3" t="inlineStr">
        <is>
          <t>T6-B1</t>
        </is>
      </c>
      <c r="J169" s="3" t="inlineStr">
        <is>
          <t>43 con</t>
        </is>
      </c>
      <c r="K169" s="3" t="inlineStr">
        <is>
          <t>84</t>
        </is>
      </c>
      <c r="L169" s="7" t="inlineStr">
        <is>
          <t>TRÚNG</t>
        </is>
      </c>
      <c r="M169" s="6" t="inlineStr">
        <is>
          <t>KHÔNG</t>
        </is>
      </c>
      <c r="N169" s="6" t="inlineStr">
        <is>
          <t>KHÔNG</t>
        </is>
      </c>
      <c r="O169" s="3" t="inlineStr">
        <is>
          <t>60 - 06</t>
        </is>
      </c>
      <c r="P169" s="3" t="inlineStr">
        <is>
          <t>0 nháy</t>
        </is>
      </c>
      <c r="Q169" s="3" t="inlineStr">
        <is>
          <t>12 nháy</t>
        </is>
      </c>
    </row>
    <row r="170">
      <c r="A170" s="2" t="n">
        <v>163</v>
      </c>
      <c r="B170" s="2" t="inlineStr">
        <is>
          <t>Thứ ba ngày 16-06-2026 (Thứ Ba)</t>
        </is>
      </c>
      <c r="C170" s="3" t="inlineStr">
        <is>
          <t>11</t>
        </is>
      </c>
      <c r="D170" s="3" t="inlineStr">
        <is>
          <t>59</t>
        </is>
      </c>
      <c r="E170" s="3" t="inlineStr">
        <is>
          <t>55</t>
        </is>
      </c>
      <c r="F170" s="3" t="inlineStr">
        <is>
          <t>70</t>
        </is>
      </c>
      <c r="G170" s="3" t="inlineStr">
        <is>
          <t>01579</t>
        </is>
      </c>
      <c r="H170" s="3" t="inlineStr">
        <is>
          <t>T0, T2, T4, T5, T7, T9</t>
        </is>
      </c>
      <c r="I170" s="3" t="inlineStr">
        <is>
          <t>T1-B6</t>
        </is>
      </c>
      <c r="J170" s="3" t="inlineStr">
        <is>
          <t>44 con</t>
        </is>
      </c>
      <c r="K170" s="3" t="inlineStr">
        <is>
          <t>03</t>
        </is>
      </c>
      <c r="L170" s="7" t="inlineStr">
        <is>
          <t>TRÚNG</t>
        </is>
      </c>
      <c r="M170" s="6" t="inlineStr">
        <is>
          <t>KHÔNG</t>
        </is>
      </c>
      <c r="N170" s="6" t="inlineStr">
        <is>
          <t>KHÔNG</t>
        </is>
      </c>
      <c r="O170" s="3" t="inlineStr">
        <is>
          <t>10 - 01</t>
        </is>
      </c>
      <c r="P170" s="3" t="inlineStr">
        <is>
          <t>1 nháy 🎯</t>
        </is>
      </c>
      <c r="Q170" s="3" t="inlineStr">
        <is>
          <t>11 nháy</t>
        </is>
      </c>
    </row>
    <row r="171">
      <c r="A171" s="2" t="n">
        <v>164</v>
      </c>
      <c r="B171" s="2" t="inlineStr">
        <is>
          <t>Thứ tư ngày 17-06-2026 (Thứ Tư)</t>
        </is>
      </c>
      <c r="C171" s="3" t="inlineStr">
        <is>
          <t>21</t>
        </is>
      </c>
      <c r="D171" s="3" t="inlineStr">
        <is>
          <t>16</t>
        </is>
      </c>
      <c r="E171" s="3" t="inlineStr">
        <is>
          <t>61</t>
        </is>
      </c>
      <c r="F171" s="3" t="inlineStr">
        <is>
          <t>97</t>
        </is>
      </c>
      <c r="G171" s="3" t="inlineStr">
        <is>
          <t>12679</t>
        </is>
      </c>
      <c r="H171" s="3" t="inlineStr">
        <is>
          <t>T1, T2, T3, T6, T7, T8</t>
        </is>
      </c>
      <c r="I171" s="3" t="inlineStr">
        <is>
          <t>T9-B4</t>
        </is>
      </c>
      <c r="J171" s="3" t="inlineStr">
        <is>
          <t>43 con</t>
        </is>
      </c>
      <c r="K171" s="3" t="inlineStr">
        <is>
          <t>32</t>
        </is>
      </c>
      <c r="L171" s="7" t="inlineStr">
        <is>
          <t>TRÚNG</t>
        </is>
      </c>
      <c r="M171" s="6" t="inlineStr">
        <is>
          <t>KHÔNG</t>
        </is>
      </c>
      <c r="N171" s="6" t="inlineStr">
        <is>
          <t>KHÔNG</t>
        </is>
      </c>
      <c r="O171" s="3" t="inlineStr">
        <is>
          <t>27 - 72</t>
        </is>
      </c>
      <c r="P171" s="3" t="inlineStr">
        <is>
          <t>1 nháy 🎯</t>
        </is>
      </c>
      <c r="Q171" s="3" t="inlineStr">
        <is>
          <t>8 nháy</t>
        </is>
      </c>
    </row>
    <row r="172">
      <c r="A172" s="2" t="n">
        <v>165</v>
      </c>
      <c r="B172" s="2" t="inlineStr">
        <is>
          <t>Thứ năm ngày 18-06-2026 (Thứ Năm)</t>
        </is>
      </c>
      <c r="C172" s="3" t="inlineStr">
        <is>
          <t>33</t>
        </is>
      </c>
      <c r="D172" s="3" t="inlineStr">
        <is>
          <t>08</t>
        </is>
      </c>
      <c r="E172" s="3" t="inlineStr">
        <is>
          <t>05</t>
        </is>
      </c>
      <c r="F172" s="3" t="inlineStr">
        <is>
          <t>68</t>
        </is>
      </c>
      <c r="G172" s="3" t="inlineStr">
        <is>
          <t>03568</t>
        </is>
      </c>
      <c r="H172" s="3" t="inlineStr">
        <is>
          <t>T0, T1, T3, T4, T5, T6, T8, T9</t>
        </is>
      </c>
      <c r="I172" s="3" t="inlineStr">
        <is>
          <t>T1-B6</t>
        </is>
      </c>
      <c r="J172" s="3" t="inlineStr">
        <is>
          <t>56 con</t>
        </is>
      </c>
      <c r="K172" s="3" t="inlineStr">
        <is>
          <t>55</t>
        </is>
      </c>
      <c r="L172" s="7" t="inlineStr">
        <is>
          <t>TRÚNG</t>
        </is>
      </c>
      <c r="M172" s="6" t="inlineStr">
        <is>
          <t>KHÔNG</t>
        </is>
      </c>
      <c r="N172" s="7" t="inlineStr">
        <is>
          <t>TRÚNG</t>
        </is>
      </c>
      <c r="O172" s="3" t="inlineStr">
        <is>
          <t>38 - 83</t>
        </is>
      </c>
      <c r="P172" s="3" t="inlineStr">
        <is>
          <t>0 nháy</t>
        </is>
      </c>
      <c r="Q172" s="3" t="inlineStr">
        <is>
          <t>14 nháy</t>
        </is>
      </c>
    </row>
    <row r="173">
      <c r="A173" s="2" t="n">
        <v>166</v>
      </c>
      <c r="B173" s="2" t="inlineStr">
        <is>
          <t>Thứ sáu ngày 19-06-2026 (Thứ Sáu)</t>
        </is>
      </c>
      <c r="C173" s="3" t="inlineStr">
        <is>
          <t>50</t>
        </is>
      </c>
      <c r="D173" s="3" t="inlineStr">
        <is>
          <t>64</t>
        </is>
      </c>
      <c r="E173" s="3" t="inlineStr">
        <is>
          <t>44</t>
        </is>
      </c>
      <c r="F173" s="3" t="inlineStr">
        <is>
          <t>35</t>
        </is>
      </c>
      <c r="G173" s="3" t="inlineStr">
        <is>
          <t>03456</t>
        </is>
      </c>
      <c r="H173" s="3" t="inlineStr">
        <is>
          <t>T0, T3, T5, T8</t>
        </is>
      </c>
      <c r="I173" s="3" t="inlineStr">
        <is>
          <t>T0-B5</t>
        </is>
      </c>
      <c r="J173" s="3" t="inlineStr">
        <is>
          <t>29 con</t>
        </is>
      </c>
      <c r="K173" s="3" t="inlineStr">
        <is>
          <t>60</t>
        </is>
      </c>
      <c r="L173" s="7" t="inlineStr">
        <is>
          <t>TRÚNG</t>
        </is>
      </c>
      <c r="M173" s="6" t="inlineStr">
        <is>
          <t>KHÔNG</t>
        </is>
      </c>
      <c r="N173" s="6" t="inlineStr">
        <is>
          <t>KHÔNG</t>
        </is>
      </c>
      <c r="O173" s="3" t="inlineStr">
        <is>
          <t>55</t>
        </is>
      </c>
      <c r="P173" s="3" t="inlineStr">
        <is>
          <t>0 nháy</t>
        </is>
      </c>
      <c r="Q173" s="3" t="inlineStr">
        <is>
          <t>11 nháy</t>
        </is>
      </c>
    </row>
    <row r="174">
      <c r="A174" s="2" t="n">
        <v>167</v>
      </c>
      <c r="B174" s="2" t="inlineStr">
        <is>
          <t>Thứ bảy ngày 20-06-2026 (Thứ Bảy)</t>
        </is>
      </c>
      <c r="C174" s="3" t="inlineStr">
        <is>
          <t>96</t>
        </is>
      </c>
      <c r="D174" s="3" t="inlineStr">
        <is>
          <t>76</t>
        </is>
      </c>
      <c r="E174" s="3" t="inlineStr">
        <is>
          <t>85</t>
        </is>
      </c>
      <c r="F174" s="3" t="inlineStr">
        <is>
          <t>68</t>
        </is>
      </c>
      <c r="G174" s="3" t="inlineStr">
        <is>
          <t>56789</t>
        </is>
      </c>
      <c r="H174" s="3" t="inlineStr">
        <is>
          <t>T0, T3, T4, T5, T8, T9</t>
        </is>
      </c>
      <c r="I174" s="3" t="inlineStr">
        <is>
          <t>T7-B2</t>
        </is>
      </c>
      <c r="J174" s="3" t="inlineStr">
        <is>
          <t>45 con</t>
        </is>
      </c>
      <c r="K174" s="3" t="inlineStr">
        <is>
          <t>83</t>
        </is>
      </c>
      <c r="L174" s="7" t="inlineStr">
        <is>
          <t>TRÚNG</t>
        </is>
      </c>
      <c r="M174" s="6" t="inlineStr">
        <is>
          <t>KHÔNG</t>
        </is>
      </c>
      <c r="N174" s="6" t="inlineStr">
        <is>
          <t>KHÔNG</t>
        </is>
      </c>
      <c r="O174" s="3" t="inlineStr">
        <is>
          <t>98 - 89</t>
        </is>
      </c>
      <c r="P174" s="3" t="inlineStr">
        <is>
          <t>0 nháy</t>
        </is>
      </c>
      <c r="Q174" s="3" t="inlineStr">
        <is>
          <t>11 nháy</t>
        </is>
      </c>
    </row>
    <row r="175">
      <c r="A175" s="2" t="n">
        <v>168</v>
      </c>
      <c r="B175" s="2" t="inlineStr">
        <is>
          <t>Chủ nhật ngày 21-06-2026 (Chủ Nhật)</t>
        </is>
      </c>
      <c r="C175" s="3" t="inlineStr">
        <is>
          <t>94</t>
        </is>
      </c>
      <c r="D175" s="3" t="inlineStr">
        <is>
          <t>33</t>
        </is>
      </c>
      <c r="E175" s="3" t="inlineStr">
        <is>
          <t>07</t>
        </is>
      </c>
      <c r="F175" s="3" t="inlineStr">
        <is>
          <t>13</t>
        </is>
      </c>
      <c r="G175" s="3" t="inlineStr">
        <is>
          <t>013479</t>
        </is>
      </c>
      <c r="H175" s="3" t="inlineStr">
        <is>
          <t>T1, T2, T3, T4, T6, T7, T8, T9</t>
        </is>
      </c>
      <c r="I175" s="3" t="inlineStr">
        <is>
          <t>T2-B7</t>
        </is>
      </c>
      <c r="J175" s="3" t="inlineStr">
        <is>
          <t>67 con</t>
        </is>
      </c>
      <c r="K175" s="3" t="inlineStr">
        <is>
          <t>36</t>
        </is>
      </c>
      <c r="L175" s="7" t="inlineStr">
        <is>
          <t>TRÚNG</t>
        </is>
      </c>
      <c r="M175" s="6" t="inlineStr">
        <is>
          <t>KHÔNG</t>
        </is>
      </c>
      <c r="N175" s="7" t="inlineStr">
        <is>
          <t>TRÚNG</t>
        </is>
      </c>
      <c r="O175" s="3" t="inlineStr">
        <is>
          <t>93 - 39</t>
        </is>
      </c>
      <c r="P175" s="3" t="inlineStr">
        <is>
          <t>0 nháy</t>
        </is>
      </c>
      <c r="Q175" s="3" t="inlineStr">
        <is>
          <t>17 nháy</t>
        </is>
      </c>
    </row>
    <row r="176">
      <c r="A176" s="2" t="n">
        <v>169</v>
      </c>
      <c r="B176" s="2" t="inlineStr">
        <is>
          <t>Thứ hai ngày 22-06-2026 (Thứ Hai)</t>
        </is>
      </c>
      <c r="C176" s="3" t="inlineStr">
        <is>
          <t>92</t>
        </is>
      </c>
      <c r="D176" s="3" t="inlineStr">
        <is>
          <t>54</t>
        </is>
      </c>
      <c r="E176" s="3" t="inlineStr">
        <is>
          <t>23</t>
        </is>
      </c>
      <c r="F176" s="3" t="inlineStr">
        <is>
          <t>47</t>
        </is>
      </c>
      <c r="G176" s="3" t="inlineStr">
        <is>
          <t>234579</t>
        </is>
      </c>
      <c r="H176" s="3" t="inlineStr">
        <is>
          <t>T0, T1, T4, T5, T6, T9</t>
        </is>
      </c>
      <c r="I176" s="3" t="inlineStr">
        <is>
          <t>T6-B1</t>
        </is>
      </c>
      <c r="J176" s="3" t="inlineStr">
        <is>
          <t>50 con</t>
        </is>
      </c>
      <c r="K176" s="3" t="inlineStr">
        <is>
          <t>37</t>
        </is>
      </c>
      <c r="L176" s="7" t="inlineStr">
        <is>
          <t>TRÚNG</t>
        </is>
      </c>
      <c r="M176" s="6" t="inlineStr">
        <is>
          <t>KHÔNG</t>
        </is>
      </c>
      <c r="N176" s="7" t="inlineStr">
        <is>
          <t>TRÚNG</t>
        </is>
      </c>
      <c r="O176" s="3" t="inlineStr">
        <is>
          <t>97 - 79</t>
        </is>
      </c>
      <c r="P176" s="3" t="inlineStr">
        <is>
          <t>2 nháy 🎯</t>
        </is>
      </c>
      <c r="Q176" s="3" t="inlineStr">
        <is>
          <t>15 nháy</t>
        </is>
      </c>
    </row>
    <row r="177">
      <c r="A177" s="2" t="n">
        <v>170</v>
      </c>
      <c r="B177" s="2" t="inlineStr">
        <is>
          <t>Thứ ba ngày 23-06-2026 (Thứ Ba)</t>
        </is>
      </c>
      <c r="C177" s="3" t="inlineStr">
        <is>
          <t>38</t>
        </is>
      </c>
      <c r="D177" s="3" t="inlineStr">
        <is>
          <t>83</t>
        </is>
      </c>
      <c r="E177" s="3" t="inlineStr">
        <is>
          <t>93</t>
        </is>
      </c>
      <c r="F177" s="3" t="inlineStr">
        <is>
          <t>62</t>
        </is>
      </c>
      <c r="G177" s="3" t="inlineStr">
        <is>
          <t>23689</t>
        </is>
      </c>
      <c r="H177" s="3" t="inlineStr">
        <is>
          <t>T1, T2, T3, T6, T7, T8</t>
        </is>
      </c>
      <c r="I177" s="3" t="inlineStr">
        <is>
          <t>T5-B0</t>
        </is>
      </c>
      <c r="J177" s="3" t="inlineStr">
        <is>
          <t>46 con</t>
        </is>
      </c>
      <c r="K177" s="3" t="inlineStr">
        <is>
          <t>51</t>
        </is>
      </c>
      <c r="L177" s="6" t="inlineStr">
        <is>
          <t>KHÔNG</t>
        </is>
      </c>
      <c r="M177" s="6" t="inlineStr">
        <is>
          <t>KHÔNG</t>
        </is>
      </c>
      <c r="N177" s="6" t="inlineStr">
        <is>
          <t>KHÔNG</t>
        </is>
      </c>
      <c r="O177" s="3" t="inlineStr">
        <is>
          <t>32 - 23</t>
        </is>
      </c>
      <c r="P177" s="3" t="inlineStr">
        <is>
          <t>0 nháy</t>
        </is>
      </c>
      <c r="Q177" s="3" t="inlineStr">
        <is>
          <t>13 nháy</t>
        </is>
      </c>
    </row>
    <row r="178">
      <c r="A178" s="2" t="n">
        <v>171</v>
      </c>
      <c r="B178" s="2" t="inlineStr">
        <is>
          <t>Thứ tư ngày 24-06-2026 (Thứ Tư)</t>
        </is>
      </c>
      <c r="C178" s="3" t="inlineStr">
        <is>
          <t>98</t>
        </is>
      </c>
      <c r="D178" s="3" t="inlineStr">
        <is>
          <t>54</t>
        </is>
      </c>
      <c r="E178" s="3" t="inlineStr">
        <is>
          <t>66</t>
        </is>
      </c>
      <c r="F178" s="3" t="inlineStr">
        <is>
          <t>21</t>
        </is>
      </c>
      <c r="G178" s="3" t="inlineStr">
        <is>
          <t>1245689</t>
        </is>
      </c>
      <c r="H178" s="3" t="inlineStr">
        <is>
          <t>T2, T3, T4, T7, T8, T9</t>
        </is>
      </c>
      <c r="I178" s="3" t="inlineStr">
        <is>
          <t>T0-B5</t>
        </is>
      </c>
      <c r="J178" s="3" t="inlineStr">
        <is>
          <t>55 con</t>
        </is>
      </c>
      <c r="K178" s="3" t="inlineStr">
        <is>
          <t>16</t>
        </is>
      </c>
      <c r="L178" s="7" t="inlineStr">
        <is>
          <t>TRÚNG</t>
        </is>
      </c>
      <c r="M178" s="6" t="inlineStr">
        <is>
          <t>KHÔNG</t>
        </is>
      </c>
      <c r="N178" s="7" t="inlineStr">
        <is>
          <t>TRÚNG</t>
        </is>
      </c>
      <c r="O178" s="3" t="inlineStr">
        <is>
          <t>91 - 19</t>
        </is>
      </c>
      <c r="P178" s="3" t="inlineStr">
        <is>
          <t>0 nháy</t>
        </is>
      </c>
      <c r="Q178" s="3" t="inlineStr">
        <is>
          <t>14 nháy</t>
        </is>
      </c>
    </row>
    <row r="179">
      <c r="A179" s="2" t="n">
        <v>172</v>
      </c>
      <c r="B179" s="2" t="inlineStr">
        <is>
          <t>Thứ năm ngày 25-06-2026 (Thứ Năm)</t>
        </is>
      </c>
      <c r="C179" s="3" t="inlineStr">
        <is>
          <t>38</t>
        </is>
      </c>
      <c r="D179" s="3" t="inlineStr">
        <is>
          <t>03</t>
        </is>
      </c>
      <c r="E179" s="3" t="inlineStr">
        <is>
          <t>36</t>
        </is>
      </c>
      <c r="F179" s="3" t="inlineStr">
        <is>
          <t>50</t>
        </is>
      </c>
      <c r="G179" s="3" t="inlineStr">
        <is>
          <t>03568</t>
        </is>
      </c>
      <c r="H179" s="3" t="inlineStr">
        <is>
          <t>T0, T1, T3, T4, T5, T6, T8, T9</t>
        </is>
      </c>
      <c r="I179" s="3" t="inlineStr">
        <is>
          <t>T3-B8</t>
        </is>
      </c>
      <c r="J179" s="3" t="inlineStr">
        <is>
          <t>56 con</t>
        </is>
      </c>
      <c r="K179" s="3" t="inlineStr">
        <is>
          <t>04</t>
        </is>
      </c>
      <c r="L179" s="7" t="inlineStr">
        <is>
          <t>TRÚNG</t>
        </is>
      </c>
      <c r="M179" s="6" t="inlineStr">
        <is>
          <t>KHÔNG</t>
        </is>
      </c>
      <c r="N179" s="7" t="inlineStr">
        <is>
          <t>TRÚNG</t>
        </is>
      </c>
      <c r="O179" s="3" t="inlineStr">
        <is>
          <t>30 - 03</t>
        </is>
      </c>
      <c r="P179" s="3" t="inlineStr">
        <is>
          <t>0 nháy</t>
        </is>
      </c>
      <c r="Q179" s="3" t="inlineStr">
        <is>
          <t>13 nháy</t>
        </is>
      </c>
    </row>
    <row r="180">
      <c r="A180" s="2" t="n">
        <v>173</v>
      </c>
      <c r="B180" s="2" t="inlineStr">
        <is>
          <t>Thứ sáu ngày 26-06-2026 (Thứ Sáu)</t>
        </is>
      </c>
      <c r="C180" s="3" t="inlineStr">
        <is>
          <t>32</t>
        </is>
      </c>
      <c r="D180" s="3" t="inlineStr">
        <is>
          <t>75</t>
        </is>
      </c>
      <c r="E180" s="3" t="inlineStr">
        <is>
          <t>34</t>
        </is>
      </c>
      <c r="F180" s="3" t="inlineStr">
        <is>
          <t>07</t>
        </is>
      </c>
      <c r="G180" s="3" t="inlineStr">
        <is>
          <t>023457</t>
        </is>
      </c>
      <c r="H180" s="3" t="inlineStr">
        <is>
          <t>T0, T2, T5, T7</t>
        </is>
      </c>
      <c r="I180" s="3" t="inlineStr">
        <is>
          <t>T0-B5</t>
        </is>
      </c>
      <c r="J180" s="3" t="inlineStr">
        <is>
          <t>30 con</t>
        </is>
      </c>
      <c r="K180" s="3" t="inlineStr">
        <is>
          <t>53</t>
        </is>
      </c>
      <c r="L180" s="7" t="inlineStr">
        <is>
          <t>TRÚNG</t>
        </is>
      </c>
      <c r="M180" s="6" t="inlineStr">
        <is>
          <t>KHÔNG</t>
        </is>
      </c>
      <c r="N180" s="6" t="inlineStr">
        <is>
          <t>KHÔNG</t>
        </is>
      </c>
      <c r="O180" s="3" t="inlineStr">
        <is>
          <t>37 - 73</t>
        </is>
      </c>
      <c r="P180" s="3" t="inlineStr">
        <is>
          <t>0 nháy</t>
        </is>
      </c>
      <c r="Q180" s="3" t="inlineStr">
        <is>
          <t>7 nháy</t>
        </is>
      </c>
    </row>
    <row r="181">
      <c r="A181" s="2" t="n">
        <v>174</v>
      </c>
      <c r="B181" s="2" t="inlineStr">
        <is>
          <t>Thứ bảy ngày 27-06-2026 (Thứ Bảy)</t>
        </is>
      </c>
      <c r="C181" s="3" t="inlineStr">
        <is>
          <t>95</t>
        </is>
      </c>
      <c r="D181" s="3" t="inlineStr">
        <is>
          <t>48</t>
        </is>
      </c>
      <c r="E181" s="3" t="inlineStr">
        <is>
          <t>91</t>
        </is>
      </c>
      <c r="F181" s="3" t="inlineStr">
        <is>
          <t>68</t>
        </is>
      </c>
      <c r="G181" s="3" t="inlineStr">
        <is>
          <t>145689</t>
        </is>
      </c>
      <c r="H181" s="3" t="inlineStr">
        <is>
          <t>T0, T2, T4, T5, T7, T9</t>
        </is>
      </c>
      <c r="I181" s="3" t="inlineStr">
        <is>
          <t>T7-B2</t>
        </is>
      </c>
      <c r="J181" s="3" t="inlineStr">
        <is>
          <t>47 con</t>
        </is>
      </c>
      <c r="K181" s="3" t="inlineStr">
        <is>
          <t>52</t>
        </is>
      </c>
      <c r="L181" s="7" t="inlineStr">
        <is>
          <t>TRÚNG</t>
        </is>
      </c>
      <c r="M181" s="7" t="inlineStr">
        <is>
          <t>TRÚNG</t>
        </is>
      </c>
      <c r="N181" s="7" t="inlineStr">
        <is>
          <t>TRÚNG</t>
        </is>
      </c>
      <c r="O181" s="3" t="inlineStr">
        <is>
          <t>98 - 89</t>
        </is>
      </c>
      <c r="P181" s="3" t="inlineStr">
        <is>
          <t>1 nháy 🎯</t>
        </is>
      </c>
      <c r="Q181" s="3" t="inlineStr">
        <is>
          <t>15 nháy</t>
        </is>
      </c>
    </row>
    <row r="182">
      <c r="A182" s="2" t="n">
        <v>175</v>
      </c>
      <c r="B182" s="2" t="inlineStr">
        <is>
          <t>Chủ nhật ngày 28-06-2026 (Chủ Nhật)</t>
        </is>
      </c>
      <c r="C182" s="3" t="inlineStr">
        <is>
          <t>85</t>
        </is>
      </c>
      <c r="D182" s="3" t="inlineStr">
        <is>
          <t>41</t>
        </is>
      </c>
      <c r="E182" s="3" t="inlineStr">
        <is>
          <t>55</t>
        </is>
      </c>
      <c r="F182" s="3" t="inlineStr">
        <is>
          <t>36</t>
        </is>
      </c>
      <c r="G182" s="3" t="inlineStr">
        <is>
          <t>134568</t>
        </is>
      </c>
      <c r="H182" s="3" t="inlineStr">
        <is>
          <t>T0, T3, T4, T5, T8, T9</t>
        </is>
      </c>
      <c r="I182" s="3" t="inlineStr">
        <is>
          <t>T4-B9</t>
        </is>
      </c>
      <c r="J182" s="3" t="inlineStr">
        <is>
          <t>52 con</t>
        </is>
      </c>
      <c r="K182" s="3" t="inlineStr">
        <is>
          <t>42</t>
        </is>
      </c>
      <c r="L182" s="7" t="inlineStr">
        <is>
          <t>TRÚNG</t>
        </is>
      </c>
      <c r="M182" s="6" t="inlineStr">
        <is>
          <t>KHÔNG</t>
        </is>
      </c>
      <c r="N182" s="6" t="inlineStr">
        <is>
          <t>KHÔNG</t>
        </is>
      </c>
      <c r="O182" s="3" t="inlineStr">
        <is>
          <t>86 - 68</t>
        </is>
      </c>
      <c r="P182" s="3" t="inlineStr">
        <is>
          <t>0 nháy</t>
        </is>
      </c>
      <c r="Q182" s="3" t="inlineStr">
        <is>
          <t>10 nháy</t>
        </is>
      </c>
    </row>
    <row r="183">
      <c r="A183" s="2" t="n">
        <v>176</v>
      </c>
      <c r="B183" s="2" t="inlineStr">
        <is>
          <t>Thứ hai ngày 29-06-2026 (Thứ Hai)</t>
        </is>
      </c>
      <c r="C183" s="3" t="inlineStr">
        <is>
          <t>94</t>
        </is>
      </c>
      <c r="D183" s="3" t="inlineStr">
        <is>
          <t>08</t>
        </is>
      </c>
      <c r="E183" s="3" t="inlineStr">
        <is>
          <t>93</t>
        </is>
      </c>
      <c r="F183" s="3" t="inlineStr">
        <is>
          <t>70</t>
        </is>
      </c>
      <c r="G183" s="3" t="inlineStr">
        <is>
          <t>034789</t>
        </is>
      </c>
      <c r="H183" s="3" t="inlineStr">
        <is>
          <t>T2, T3, T7, T8</t>
        </is>
      </c>
      <c r="I183" s="3" t="inlineStr">
        <is>
          <t>T9-B4</t>
        </is>
      </c>
      <c r="J183" s="3" t="inlineStr">
        <is>
          <t>30 con</t>
        </is>
      </c>
      <c r="K183" s="3" t="inlineStr">
        <is>
          <t>68</t>
        </is>
      </c>
      <c r="L183" s="7" t="inlineStr">
        <is>
          <t>TRÚNG</t>
        </is>
      </c>
      <c r="M183" s="7" t="inlineStr">
        <is>
          <t>TRÚNG</t>
        </is>
      </c>
      <c r="N183" s="6" t="inlineStr">
        <is>
          <t>KHÔNG</t>
        </is>
      </c>
      <c r="O183" s="3" t="inlineStr">
        <is>
          <t>90 - 09</t>
        </is>
      </c>
      <c r="P183" s="3" t="inlineStr">
        <is>
          <t>1 nháy 🎯</t>
        </is>
      </c>
      <c r="Q183" s="3" t="inlineStr">
        <is>
          <t>4 nháy</t>
        </is>
      </c>
    </row>
    <row r="184">
      <c r="A184" s="2" t="n">
        <v>177</v>
      </c>
      <c r="B184" s="2" t="inlineStr">
        <is>
          <t>Thứ ba ngày 30-06-2026 (Thứ Ba)</t>
        </is>
      </c>
      <c r="C184" s="3" t="inlineStr">
        <is>
          <t>33</t>
        </is>
      </c>
      <c r="D184" s="3" t="inlineStr">
        <is>
          <t>90</t>
        </is>
      </c>
      <c r="E184" s="3" t="inlineStr">
        <is>
          <t>97</t>
        </is>
      </c>
      <c r="F184" s="3" t="inlineStr">
        <is>
          <t>12</t>
        </is>
      </c>
      <c r="G184" s="3" t="inlineStr">
        <is>
          <t>012379</t>
        </is>
      </c>
      <c r="H184" s="3" t="inlineStr">
        <is>
          <t>T1, T3, T4, T6, T8, T9</t>
        </is>
      </c>
      <c r="I184" s="3" t="inlineStr">
        <is>
          <t>T5-B0</t>
        </is>
      </c>
      <c r="J184" s="3" t="inlineStr">
        <is>
          <t>50 con</t>
        </is>
      </c>
      <c r="K184" s="3" t="inlineStr">
        <is>
          <t>54</t>
        </is>
      </c>
      <c r="L184" s="6" t="inlineStr">
        <is>
          <t>KHÔNG</t>
        </is>
      </c>
      <c r="M184" s="6" t="inlineStr">
        <is>
          <t>KHÔNG</t>
        </is>
      </c>
      <c r="N184" s="6" t="inlineStr">
        <is>
          <t>KHÔNG</t>
        </is>
      </c>
      <c r="O184" s="3" t="inlineStr">
        <is>
          <t>32 - 23</t>
        </is>
      </c>
      <c r="P184" s="3" t="inlineStr">
        <is>
          <t>1 nháy 🎯</t>
        </is>
      </c>
      <c r="Q184" s="3" t="inlineStr">
        <is>
          <t>13 nháy</t>
        </is>
      </c>
    </row>
    <row r="185">
      <c r="A185" s="2" t="n">
        <v>178</v>
      </c>
      <c r="B185" s="2" t="inlineStr">
        <is>
          <t>Thứ tư ngày 01-07-2026 (Thứ Tư)</t>
        </is>
      </c>
      <c r="C185" s="3" t="inlineStr">
        <is>
          <t>91</t>
        </is>
      </c>
      <c r="D185" s="3" t="inlineStr">
        <is>
          <t>07</t>
        </is>
      </c>
      <c r="E185" s="3" t="inlineStr">
        <is>
          <t>35</t>
        </is>
      </c>
      <c r="F185" s="3" t="inlineStr">
        <is>
          <t>80</t>
        </is>
      </c>
      <c r="G185" s="3" t="inlineStr">
        <is>
          <t>0135789</t>
        </is>
      </c>
      <c r="H185" s="3" t="inlineStr">
        <is>
          <t>T0, T2, T3, T5, T7, T8</t>
        </is>
      </c>
      <c r="I185" s="3" t="inlineStr">
        <is>
          <t>T9-B4</t>
        </is>
      </c>
      <c r="J185" s="3" t="inlineStr">
        <is>
          <t>54 con</t>
        </is>
      </c>
      <c r="K185" s="3" t="inlineStr">
        <is>
          <t>39</t>
        </is>
      </c>
      <c r="L185" s="7" t="inlineStr">
        <is>
          <t>TRÚNG</t>
        </is>
      </c>
      <c r="M185" s="6" t="inlineStr">
        <is>
          <t>KHÔNG</t>
        </is>
      </c>
      <c r="N185" s="7" t="inlineStr">
        <is>
          <t>TRÚNG</t>
        </is>
      </c>
      <c r="O185" s="3" t="inlineStr">
        <is>
          <t>90 - 09</t>
        </is>
      </c>
      <c r="P185" s="3" t="inlineStr">
        <is>
          <t>0 nháy</t>
        </is>
      </c>
      <c r="Q185" s="3" t="inlineStr">
        <is>
          <t>15 nháy</t>
        </is>
      </c>
    </row>
    <row r="186">
      <c r="A186" s="2" t="n">
        <v>179</v>
      </c>
      <c r="B186" s="2" t="inlineStr">
        <is>
          <t>Thứ năm ngày 02-07-2026 (Thứ Năm)</t>
        </is>
      </c>
      <c r="C186" s="3" t="inlineStr">
        <is>
          <t>59</t>
        </is>
      </c>
      <c r="D186" s="3" t="inlineStr">
        <is>
          <t>78</t>
        </is>
      </c>
      <c r="E186" s="3" t="inlineStr">
        <is>
          <t>33</t>
        </is>
      </c>
      <c r="F186" s="3" t="inlineStr">
        <is>
          <t>70</t>
        </is>
      </c>
      <c r="G186" s="3" t="inlineStr">
        <is>
          <t>035789</t>
        </is>
      </c>
      <c r="H186" s="3" t="inlineStr">
        <is>
          <t>T0, T1, T2, T4, T5, T6, T7, T9</t>
        </is>
      </c>
      <c r="I186" s="3" t="inlineStr">
        <is>
          <t>T5-B0</t>
        </is>
      </c>
      <c r="J186" s="3" t="inlineStr">
        <is>
          <t>69 con</t>
        </is>
      </c>
      <c r="K186" s="3" t="inlineStr">
        <is>
          <t>65</t>
        </is>
      </c>
      <c r="L186" s="7" t="inlineStr">
        <is>
          <t>TRÚNG</t>
        </is>
      </c>
      <c r="M186" s="6" t="inlineStr">
        <is>
          <t>KHÔNG</t>
        </is>
      </c>
      <c r="N186" s="7" t="inlineStr">
        <is>
          <t>TRÚNG</t>
        </is>
      </c>
      <c r="O186" s="3" t="inlineStr">
        <is>
          <t>50 - 05</t>
        </is>
      </c>
      <c r="P186" s="3" t="inlineStr">
        <is>
          <t>0 nháy</t>
        </is>
      </c>
      <c r="Q186" s="3" t="inlineStr">
        <is>
          <t>20 nháy</t>
        </is>
      </c>
    </row>
    <row r="187">
      <c r="A187" s="2" t="n">
        <v>180</v>
      </c>
      <c r="B187" s="2" t="inlineStr">
        <is>
          <t>Thứ sáu ngày 03-07-2026 (Thứ Sáu)</t>
        </is>
      </c>
      <c r="C187" s="3" t="inlineStr">
        <is>
          <t>90</t>
        </is>
      </c>
      <c r="D187" s="3" t="inlineStr">
        <is>
          <t>68</t>
        </is>
      </c>
      <c r="E187" s="3" t="inlineStr">
        <is>
          <t>92</t>
        </is>
      </c>
      <c r="F187" s="3" t="inlineStr">
        <is>
          <t>13</t>
        </is>
      </c>
      <c r="G187" s="3" t="inlineStr">
        <is>
          <t>0123689</t>
        </is>
      </c>
      <c r="H187" s="3" t="inlineStr">
        <is>
          <t>T1, T4, T6, T9</t>
        </is>
      </c>
      <c r="I187" s="3" t="inlineStr">
        <is>
          <t>T2-B7</t>
        </is>
      </c>
      <c r="J187" s="3" t="inlineStr">
        <is>
          <t>35 con</t>
        </is>
      </c>
      <c r="K187" s="3" t="inlineStr">
        <is>
          <t>87</t>
        </is>
      </c>
      <c r="L187" s="7" t="inlineStr">
        <is>
          <t>TRÚNG</t>
        </is>
      </c>
      <c r="M187" s="6" t="inlineStr">
        <is>
          <t>KHÔNG</t>
        </is>
      </c>
      <c r="N187" s="6" t="inlineStr">
        <is>
          <t>KHÔNG</t>
        </is>
      </c>
      <c r="O187" s="3" t="inlineStr">
        <is>
          <t>93 - 39</t>
        </is>
      </c>
      <c r="P187" s="3" t="inlineStr">
        <is>
          <t>0 nháy</t>
        </is>
      </c>
      <c r="Q187" s="3" t="inlineStr">
        <is>
          <t>9 nháy</t>
        </is>
      </c>
    </row>
    <row r="188">
      <c r="A188" s="2" t="n">
        <v>181</v>
      </c>
      <c r="B188" s="2" t="inlineStr">
        <is>
          <t>Thứ bảy ngày 04-07-2026 (Thứ Bảy)</t>
        </is>
      </c>
      <c r="C188" s="3" t="inlineStr">
        <is>
          <t>73</t>
        </is>
      </c>
      <c r="D188" s="3" t="inlineStr">
        <is>
          <t>54</t>
        </is>
      </c>
      <c r="E188" s="3" t="inlineStr">
        <is>
          <t>87</t>
        </is>
      </c>
      <c r="F188" s="3" t="inlineStr">
        <is>
          <t>91</t>
        </is>
      </c>
      <c r="G188" s="3" t="inlineStr">
        <is>
          <t>1345789</t>
        </is>
      </c>
      <c r="H188" s="3" t="inlineStr">
        <is>
          <t>T0, T4, T5, T9</t>
        </is>
      </c>
      <c r="I188" s="3" t="inlineStr">
        <is>
          <t>T8-B3</t>
        </is>
      </c>
      <c r="J188" s="3" t="inlineStr">
        <is>
          <t>38 con</t>
        </is>
      </c>
      <c r="K188" s="3" t="inlineStr">
        <is>
          <t>71</t>
        </is>
      </c>
      <c r="L188" s="7" t="inlineStr">
        <is>
          <t>TRÚNG</t>
        </is>
      </c>
      <c r="M188" s="7" t="inlineStr">
        <is>
          <t>TRÚNG</t>
        </is>
      </c>
      <c r="N188" s="6" t="inlineStr">
        <is>
          <t>KHÔNG</t>
        </is>
      </c>
      <c r="O188" s="3" t="inlineStr">
        <is>
          <t>71 - 17</t>
        </is>
      </c>
      <c r="P188" s="3" t="inlineStr">
        <is>
          <t>2 nháy 🎯</t>
        </is>
      </c>
      <c r="Q188" s="3" t="inlineStr">
        <is>
          <t>14 nháy</t>
        </is>
      </c>
    </row>
    <row r="189">
      <c r="A189" s="2" t="n">
        <v>182</v>
      </c>
      <c r="B189" s="2" t="inlineStr">
        <is>
          <t>Chủ nhật ngày 05-07-2026 (Chủ Nhật)</t>
        </is>
      </c>
      <c r="C189" s="3" t="inlineStr">
        <is>
          <t>99</t>
        </is>
      </c>
      <c r="D189" s="3" t="inlineStr">
        <is>
          <t>35</t>
        </is>
      </c>
      <c r="E189" s="3" t="inlineStr">
        <is>
          <t>03</t>
        </is>
      </c>
      <c r="F189" s="3" t="inlineStr">
        <is>
          <t>86</t>
        </is>
      </c>
      <c r="G189" s="3" t="inlineStr">
        <is>
          <t>035689</t>
        </is>
      </c>
      <c r="H189" s="3" t="inlineStr">
        <is>
          <t>T3, T4, T8, T9</t>
        </is>
      </c>
      <c r="I189" s="3" t="inlineStr">
        <is>
          <t>T5-B0</t>
        </is>
      </c>
      <c r="J189" s="3" t="inlineStr">
        <is>
          <t>31 con</t>
        </is>
      </c>
      <c r="K189" s="3" t="inlineStr">
        <is>
          <t>97</t>
        </is>
      </c>
      <c r="L189" s="7" t="inlineStr">
        <is>
          <t>TRÚNG</t>
        </is>
      </c>
      <c r="M189" s="6" t="inlineStr">
        <is>
          <t>KHÔNG</t>
        </is>
      </c>
      <c r="N189" s="6" t="inlineStr">
        <is>
          <t>KHÔNG</t>
        </is>
      </c>
      <c r="O189" s="3" t="inlineStr">
        <is>
          <t>96 - 69</t>
        </is>
      </c>
      <c r="P189" s="3" t="inlineStr">
        <is>
          <t>0 nháy</t>
        </is>
      </c>
      <c r="Q189" s="3" t="inlineStr">
        <is>
          <t>7 nháy</t>
        </is>
      </c>
    </row>
    <row r="190">
      <c r="A190" s="2" t="n">
        <v>183</v>
      </c>
      <c r="B190" s="2" t="inlineStr">
        <is>
          <t>Thứ hai ngày 06-07-2026 (Thứ Hai)</t>
        </is>
      </c>
      <c r="C190" s="3" t="inlineStr">
        <is>
          <t>30</t>
        </is>
      </c>
      <c r="D190" s="3" t="inlineStr">
        <is>
          <t>55</t>
        </is>
      </c>
      <c r="E190" s="3" t="inlineStr">
        <is>
          <t>89</t>
        </is>
      </c>
      <c r="F190" s="3" t="inlineStr">
        <is>
          <t>20</t>
        </is>
      </c>
      <c r="G190" s="3" t="inlineStr">
        <is>
          <t>023589</t>
        </is>
      </c>
      <c r="H190" s="3" t="inlineStr">
        <is>
          <t>T0, T2, T3, T5, T7, T8</t>
        </is>
      </c>
      <c r="I190" s="3" t="inlineStr">
        <is>
          <t>T3-B8</t>
        </is>
      </c>
      <c r="J190" s="3" t="inlineStr">
        <is>
          <t>47 con</t>
        </is>
      </c>
      <c r="K190" s="3" t="inlineStr">
        <is>
          <t>79</t>
        </is>
      </c>
      <c r="L190" s="7" t="inlineStr">
        <is>
          <t>TRÚNG</t>
        </is>
      </c>
      <c r="M190" s="6" t="inlineStr">
        <is>
          <t>KHÔNG</t>
        </is>
      </c>
      <c r="N190" s="6" t="inlineStr">
        <is>
          <t>KHÔNG</t>
        </is>
      </c>
      <c r="O190" s="3" t="inlineStr">
        <is>
          <t>30 - 03</t>
        </is>
      </c>
      <c r="P190" s="3" t="inlineStr">
        <is>
          <t>0 nháy</t>
        </is>
      </c>
      <c r="Q190" s="3" t="inlineStr">
        <is>
          <t>10 nháy</t>
        </is>
      </c>
    </row>
    <row r="191">
      <c r="A191" s="2" t="n">
        <v>184</v>
      </c>
      <c r="B191" s="2" t="inlineStr">
        <is>
          <t>Thứ ba ngày 07-07-2026 (Thứ Ba)</t>
        </is>
      </c>
      <c r="C191" s="3" t="inlineStr">
        <is>
          <t>80</t>
        </is>
      </c>
      <c r="D191" s="3" t="inlineStr">
        <is>
          <t>62</t>
        </is>
      </c>
      <c r="E191" s="3" t="inlineStr">
        <is>
          <t>54</t>
        </is>
      </c>
      <c r="F191" s="3" t="inlineStr">
        <is>
          <t>81</t>
        </is>
      </c>
      <c r="G191" s="3" t="inlineStr">
        <is>
          <t>0124568</t>
        </is>
      </c>
      <c r="H191" s="3" t="inlineStr">
        <is>
          <t>T3, T4, T8, T9</t>
        </is>
      </c>
      <c r="I191" s="3" t="inlineStr">
        <is>
          <t>T9-B4</t>
        </is>
      </c>
      <c r="J191" s="3" t="inlineStr">
        <is>
          <t>38 con</t>
        </is>
      </c>
      <c r="K191" s="3" t="inlineStr">
        <is>
          <t>89</t>
        </is>
      </c>
      <c r="L191" s="7" t="inlineStr">
        <is>
          <t>TRÚNG</t>
        </is>
      </c>
      <c r="M191" s="6" t="inlineStr">
        <is>
          <t>KHÔNG</t>
        </is>
      </c>
      <c r="N191" s="6" t="inlineStr">
        <is>
          <t>KHÔNG</t>
        </is>
      </c>
      <c r="O191" s="3" t="inlineStr">
        <is>
          <t>81 - 18</t>
        </is>
      </c>
      <c r="P191" s="3" t="inlineStr">
        <is>
          <t>1 nháy 🎯</t>
        </is>
      </c>
      <c r="Q191" s="3" t="inlineStr">
        <is>
          <t>9 nháy</t>
        </is>
      </c>
    </row>
    <row r="192">
      <c r="A192" s="2" t="n">
        <v>185</v>
      </c>
      <c r="B192" s="2" t="inlineStr">
        <is>
          <t>Thứ tư ngày 08-07-2026 (Thứ Tư)</t>
        </is>
      </c>
      <c r="C192" s="3" t="inlineStr">
        <is>
          <t>20</t>
        </is>
      </c>
      <c r="D192" s="3" t="inlineStr">
        <is>
          <t>01</t>
        </is>
      </c>
      <c r="E192" s="3" t="inlineStr">
        <is>
          <t>81</t>
        </is>
      </c>
      <c r="F192" s="3" t="inlineStr">
        <is>
          <t>19</t>
        </is>
      </c>
      <c r="G192" s="3" t="inlineStr">
        <is>
          <t>01289</t>
        </is>
      </c>
      <c r="H192" s="3" t="inlineStr">
        <is>
          <t>T0, T1, T2, T4, T5, T6, T7, T9</t>
        </is>
      </c>
      <c r="I192" s="3" t="inlineStr">
        <is>
          <t>T1-B6</t>
        </is>
      </c>
      <c r="J192" s="3" t="inlineStr">
        <is>
          <t>60 con</t>
        </is>
      </c>
      <c r="K192" s="3" t="inlineStr">
        <is>
          <t>85</t>
        </is>
      </c>
      <c r="L192" s="7" t="inlineStr">
        <is>
          <t>TRÚNG</t>
        </is>
      </c>
      <c r="M192" s="6" t="inlineStr">
        <is>
          <t>KHÔNG</t>
        </is>
      </c>
      <c r="N192" s="6" t="inlineStr">
        <is>
          <t>KHÔNG</t>
        </is>
      </c>
      <c r="O192" s="3" t="inlineStr">
        <is>
          <t>29 - 92</t>
        </is>
      </c>
      <c r="P192" s="3" t="inlineStr">
        <is>
          <t>1 nháy 🎯</t>
        </is>
      </c>
      <c r="Q192" s="3" t="inlineStr">
        <is>
          <t>18 nháy</t>
        </is>
      </c>
    </row>
    <row r="193">
      <c r="A193" s="2" t="n">
        <v>186</v>
      </c>
      <c r="B193" s="2" t="inlineStr">
        <is>
          <t>Thứ năm ngày 09-07-2026 (Thứ Năm)</t>
        </is>
      </c>
      <c r="C193" s="3" t="inlineStr">
        <is>
          <t>13</t>
        </is>
      </c>
      <c r="D193" s="3" t="inlineStr">
        <is>
          <t>05</t>
        </is>
      </c>
      <c r="E193" s="3" t="inlineStr">
        <is>
          <t>64</t>
        </is>
      </c>
      <c r="F193" s="3" t="inlineStr">
        <is>
          <t>46</t>
        </is>
      </c>
      <c r="G193" s="3" t="inlineStr">
        <is>
          <t>013456</t>
        </is>
      </c>
      <c r="H193" s="3" t="inlineStr">
        <is>
          <t>T0, T4, T5, T9</t>
        </is>
      </c>
      <c r="I193" s="3" t="inlineStr">
        <is>
          <t>T7-B2</t>
        </is>
      </c>
      <c r="J193" s="3" t="inlineStr">
        <is>
          <t>32 con</t>
        </is>
      </c>
      <c r="K193" s="3" t="inlineStr">
        <is>
          <t>67</t>
        </is>
      </c>
      <c r="L193" s="7" t="inlineStr">
        <is>
          <t>TRÚNG</t>
        </is>
      </c>
      <c r="M193" s="6" t="inlineStr">
        <is>
          <t>KHÔNG</t>
        </is>
      </c>
      <c r="N193" s="6" t="inlineStr">
        <is>
          <t>KHÔNG</t>
        </is>
      </c>
      <c r="O193" s="3" t="inlineStr">
        <is>
          <t>16 - 61</t>
        </is>
      </c>
      <c r="P193" s="3" t="inlineStr">
        <is>
          <t>2 nháy 🎯</t>
        </is>
      </c>
      <c r="Q193" s="3" t="inlineStr">
        <is>
          <t>12 nháy</t>
        </is>
      </c>
    </row>
    <row r="194">
      <c r="A194" s="2" t="n">
        <v>187</v>
      </c>
      <c r="B194" s="2" t="inlineStr">
        <is>
          <t>Thứ sáu ngày 10-07-2026 (Thứ Sáu)</t>
        </is>
      </c>
      <c r="C194" s="3" t="inlineStr">
        <is>
          <t>96</t>
        </is>
      </c>
      <c r="D194" s="3" t="inlineStr">
        <is>
          <t>20</t>
        </is>
      </c>
      <c r="E194" s="3" t="inlineStr">
        <is>
          <t>31</t>
        </is>
      </c>
      <c r="F194" s="3" t="inlineStr">
        <is>
          <t>73</t>
        </is>
      </c>
      <c r="G194" s="3" t="inlineStr">
        <is>
          <t>0123679</t>
        </is>
      </c>
      <c r="H194" s="3" t="inlineStr">
        <is>
          <t>T0, T2, T4, T5, T7, T9</t>
        </is>
      </c>
      <c r="I194" s="3" t="inlineStr">
        <is>
          <t>T2-B7</t>
        </is>
      </c>
      <c r="J194" s="3" t="inlineStr">
        <is>
          <t>55 con</t>
        </is>
      </c>
      <c r="K194" s="3" t="inlineStr">
        <is>
          <t>01</t>
        </is>
      </c>
      <c r="L194" s="7" t="inlineStr">
        <is>
          <t>TRÚNG</t>
        </is>
      </c>
      <c r="M194" s="6" t="inlineStr">
        <is>
          <t>KHÔNG</t>
        </is>
      </c>
      <c r="N194" s="6" t="inlineStr">
        <is>
          <t>KHÔNG</t>
        </is>
      </c>
      <c r="O194" s="3" t="inlineStr">
        <is>
          <t>93 - 39</t>
        </is>
      </c>
      <c r="P194" s="3" t="inlineStr">
        <is>
          <t>0 nháy</t>
        </is>
      </c>
      <c r="Q194" s="3" t="inlineStr">
        <is>
          <t>19 nháy</t>
        </is>
      </c>
    </row>
    <row r="195">
      <c r="A195" s="2" t="n">
        <v>188</v>
      </c>
      <c r="B195" s="2" t="inlineStr">
        <is>
          <t>Thứ bảy ngày 11-07-2026 (Thứ Bảy)</t>
        </is>
      </c>
      <c r="C195" s="3" t="inlineStr">
        <is>
          <t>06</t>
        </is>
      </c>
      <c r="D195" s="3" t="inlineStr">
        <is>
          <t>26</t>
        </is>
      </c>
      <c r="E195" s="3" t="inlineStr">
        <is>
          <t>73</t>
        </is>
      </c>
      <c r="F195" s="3" t="inlineStr">
        <is>
          <t>72</t>
        </is>
      </c>
      <c r="G195" s="3" t="inlineStr">
        <is>
          <t>02367</t>
        </is>
      </c>
      <c r="H195" s="3" t="inlineStr">
        <is>
          <t>T0, T1, T3, T4, T5, T6, T8, T9</t>
        </is>
      </c>
      <c r="I195" s="3" t="inlineStr">
        <is>
          <t>T2-B7</t>
        </is>
      </c>
      <c r="J195" s="3" t="inlineStr">
        <is>
          <t>60 con</t>
        </is>
      </c>
      <c r="K195" s="3" t="inlineStr">
        <is>
          <t>94</t>
        </is>
      </c>
      <c r="L195" s="6" t="inlineStr">
        <is>
          <t>KHÔNG</t>
        </is>
      </c>
      <c r="M195" s="6" t="inlineStr">
        <is>
          <t>KHÔNG</t>
        </is>
      </c>
      <c r="N195" s="6" t="inlineStr">
        <is>
          <t>KHÔNG</t>
        </is>
      </c>
      <c r="O195" s="3" t="inlineStr">
        <is>
          <t>02 - 20</t>
        </is>
      </c>
      <c r="P195" s="3" t="inlineStr">
        <is>
          <t>1 nháy 🎯</t>
        </is>
      </c>
      <c r="Q195" s="3" t="inlineStr">
        <is>
          <t>19 nháy</t>
        </is>
      </c>
    </row>
    <row r="196">
      <c r="A196" s="2" t="n">
        <v>189</v>
      </c>
      <c r="B196" s="2" t="inlineStr">
        <is>
          <t>Chủ nhật ngày 12-07-2026 (Chủ Nhật)</t>
        </is>
      </c>
      <c r="C196" s="3" t="inlineStr">
        <is>
          <t>59</t>
        </is>
      </c>
      <c r="D196" s="3" t="inlineStr">
        <is>
          <t>34</t>
        </is>
      </c>
      <c r="E196" s="3" t="inlineStr">
        <is>
          <t>05</t>
        </is>
      </c>
      <c r="F196" s="3" t="inlineStr">
        <is>
          <t>62</t>
        </is>
      </c>
      <c r="G196" s="3" t="inlineStr">
        <is>
          <t>0234569</t>
        </is>
      </c>
      <c r="H196" s="3" t="inlineStr">
        <is>
          <t>T0, T2, T3, T4, T5, T7, T8, T9</t>
        </is>
      </c>
      <c r="I196" s="3" t="inlineStr">
        <is>
          <t>T7-B2</t>
        </is>
      </c>
      <c r="J196" s="3" t="inlineStr">
        <is>
          <t>72 con</t>
        </is>
      </c>
      <c r="K196" s="3" t="inlineStr">
        <is>
          <t>99</t>
        </is>
      </c>
      <c r="L196" s="7" t="inlineStr">
        <is>
          <t>TRÚNG</t>
        </is>
      </c>
      <c r="M196" s="6" t="inlineStr">
        <is>
          <t>KHÔNG</t>
        </is>
      </c>
      <c r="N196" s="7" t="inlineStr">
        <is>
          <t>TRÚNG</t>
        </is>
      </c>
      <c r="O196" s="3" t="inlineStr">
        <is>
          <t>52 - 25</t>
        </is>
      </c>
      <c r="P196" s="3" t="inlineStr">
        <is>
          <t>0 nháy</t>
        </is>
      </c>
      <c r="Q196" s="3" t="inlineStr">
        <is>
          <t>19 nháy</t>
        </is>
      </c>
    </row>
    <row r="197">
      <c r="A197" s="2" t="n">
        <v>190</v>
      </c>
      <c r="B197" s="2" t="inlineStr">
        <is>
          <t>Thứ hai ngày 13-07-2026 (Thứ Hai)</t>
        </is>
      </c>
      <c r="C197" s="3" t="inlineStr">
        <is>
          <t>97</t>
        </is>
      </c>
      <c r="D197" s="3" t="inlineStr">
        <is>
          <t>76</t>
        </is>
      </c>
      <c r="E197" s="3" t="inlineStr">
        <is>
          <t>05</t>
        </is>
      </c>
      <c r="F197" s="3" t="inlineStr">
        <is>
          <t>75</t>
        </is>
      </c>
      <c r="G197" s="3" t="inlineStr">
        <is>
          <t>05679</t>
        </is>
      </c>
      <c r="H197" s="3" t="inlineStr">
        <is>
          <t>T0, T1, T2, T3, T5, T6, T7, T8</t>
        </is>
      </c>
      <c r="I197" s="3" t="inlineStr">
        <is>
          <t>T4-B9</t>
        </is>
      </c>
      <c r="J197" s="3" t="inlineStr">
        <is>
          <t>60 con</t>
        </is>
      </c>
      <c r="K197" s="3" t="inlineStr">
        <is>
          <t>47</t>
        </is>
      </c>
      <c r="L197" s="7" t="inlineStr">
        <is>
          <t>TRÚNG</t>
        </is>
      </c>
      <c r="M197" s="6" t="inlineStr">
        <is>
          <t>KHÔNG</t>
        </is>
      </c>
      <c r="N197" s="7" t="inlineStr">
        <is>
          <t>TRÚNG</t>
        </is>
      </c>
      <c r="O197" s="3" t="inlineStr">
        <is>
          <t>95 - 59</t>
        </is>
      </c>
      <c r="P197" s="3" t="inlineStr">
        <is>
          <t>0 nháy</t>
        </is>
      </c>
      <c r="Q197" s="3" t="inlineStr">
        <is>
          <t>19 nháy</t>
        </is>
      </c>
    </row>
    <row r="198">
      <c r="A198" s="2" t="n">
        <v>191</v>
      </c>
      <c r="B198" s="2" t="inlineStr">
        <is>
          <t>Thứ ba ngày 14-07-2026 (Thứ Ba)</t>
        </is>
      </c>
      <c r="C198" s="3" t="inlineStr">
        <is>
          <t>68</t>
        </is>
      </c>
      <c r="D198" s="3" t="inlineStr">
        <is>
          <t>39</t>
        </is>
      </c>
      <c r="E198" s="3" t="inlineStr">
        <is>
          <t>05</t>
        </is>
      </c>
      <c r="F198" s="3" t="inlineStr">
        <is>
          <t>75</t>
        </is>
      </c>
      <c r="G198" s="3" t="inlineStr">
        <is>
          <t>0356789</t>
        </is>
      </c>
      <c r="H198" s="3" t="inlineStr">
        <is>
          <t>T0, T2, T4, T5, T7, T9</t>
        </is>
      </c>
      <c r="I198" s="3" t="inlineStr">
        <is>
          <t>T1-B6</t>
        </is>
      </c>
      <c r="J198" s="3" t="inlineStr">
        <is>
          <t>56 con</t>
        </is>
      </c>
      <c r="K198" s="3" t="inlineStr">
        <is>
          <t>19</t>
        </is>
      </c>
      <c r="L198" s="7" t="inlineStr">
        <is>
          <t>TRÚNG</t>
        </is>
      </c>
      <c r="M198" s="6" t="inlineStr">
        <is>
          <t>KHÔNG</t>
        </is>
      </c>
      <c r="N198" s="7" t="inlineStr">
        <is>
          <t>TRÚNG</t>
        </is>
      </c>
      <c r="O198" s="3" t="inlineStr">
        <is>
          <t>65 - 56</t>
        </is>
      </c>
      <c r="P198" s="3" t="inlineStr">
        <is>
          <t>0 nháy</t>
        </is>
      </c>
      <c r="Q198" s="3" t="inlineStr">
        <is>
          <t>12 nháy</t>
        </is>
      </c>
    </row>
    <row r="199">
      <c r="A199" s="2" t="n">
        <v>192</v>
      </c>
      <c r="B199" s="2" t="inlineStr">
        <is>
          <t>Thứ tư ngày 15-07-2026 (Thứ Tư)</t>
        </is>
      </c>
      <c r="C199" s="3" t="inlineStr">
        <is>
          <t>72</t>
        </is>
      </c>
      <c r="D199" s="3" t="inlineStr">
        <is>
          <t>53</t>
        </is>
      </c>
      <c r="E199" s="3" t="inlineStr">
        <is>
          <t>05</t>
        </is>
      </c>
      <c r="F199" s="3" t="inlineStr">
        <is>
          <t>92</t>
        </is>
      </c>
      <c r="G199" s="3" t="inlineStr">
        <is>
          <t>023579</t>
        </is>
      </c>
      <c r="H199" s="3" t="inlineStr">
        <is>
          <t>T0, T1, T3, T4, T5, T6, T8, T9</t>
        </is>
      </c>
      <c r="I199" s="3" t="inlineStr">
        <is>
          <t>T9-B4</t>
        </is>
      </c>
      <c r="J199" s="3" t="inlineStr">
        <is>
          <t>70 con</t>
        </is>
      </c>
      <c r="K199" s="3" t="inlineStr">
        <is>
          <t>63</t>
        </is>
      </c>
      <c r="L199" s="7" t="inlineStr">
        <is>
          <t>TRÚNG</t>
        </is>
      </c>
      <c r="M199" s="7" t="inlineStr">
        <is>
          <t>TRÚNG</t>
        </is>
      </c>
      <c r="N199" s="7" t="inlineStr">
        <is>
          <t>TRÚNG</t>
        </is>
      </c>
      <c r="O199" s="3" t="inlineStr">
        <is>
          <t>72 - 27</t>
        </is>
      </c>
      <c r="P199" s="3" t="inlineStr">
        <is>
          <t>0 nháy</t>
        </is>
      </c>
      <c r="Q199" s="3" t="inlineStr">
        <is>
          <t>21 nháy</t>
        </is>
      </c>
    </row>
    <row r="200">
      <c r="A200" s="2" t="n">
        <v>193</v>
      </c>
      <c r="B200" s="2" t="inlineStr">
        <is>
          <t>Thứ năm ngày 16-07-2026 (Thứ Năm)</t>
        </is>
      </c>
      <c r="C200" s="3" t="inlineStr">
        <is>
          <t>66</t>
        </is>
      </c>
      <c r="D200" s="3" t="inlineStr">
        <is>
          <t>80</t>
        </is>
      </c>
      <c r="E200" s="3" t="inlineStr">
        <is>
          <t>49</t>
        </is>
      </c>
      <c r="F200" s="3" t="inlineStr">
        <is>
          <t>61</t>
        </is>
      </c>
      <c r="G200" s="3" t="inlineStr">
        <is>
          <t>014689</t>
        </is>
      </c>
      <c r="H200" s="3" t="inlineStr">
        <is>
          <t>T2, T3, T7, T8</t>
        </is>
      </c>
      <c r="I200" s="3" t="inlineStr">
        <is>
          <t>T7-B2</t>
        </is>
      </c>
      <c r="J200" s="3" t="inlineStr">
        <is>
          <t>34 con</t>
        </is>
      </c>
      <c r="K200" s="3" t="inlineStr">
        <is>
          <t>39</t>
        </is>
      </c>
      <c r="L200" s="7" t="inlineStr">
        <is>
          <t>TRÚNG</t>
        </is>
      </c>
      <c r="M200" s="7" t="inlineStr">
        <is>
          <t>TRÚNG</t>
        </is>
      </c>
      <c r="N200" s="7" t="inlineStr">
        <is>
          <t>TRÚNG</t>
        </is>
      </c>
      <c r="O200" s="3" t="inlineStr">
        <is>
          <t>61 - 16</t>
        </is>
      </c>
      <c r="P200" s="3" t="inlineStr">
        <is>
          <t>0 nháy</t>
        </is>
      </c>
      <c r="Q200" s="3" t="inlineStr">
        <is>
          <t>12 nháy</t>
        </is>
      </c>
    </row>
    <row r="201">
      <c r="A201" s="2" t="n">
        <v>194</v>
      </c>
      <c r="B201" s="2" t="inlineStr">
        <is>
          <t>Thứ sáu ngày 17-07-2026 (Thứ Sáu)</t>
        </is>
      </c>
      <c r="C201" s="3" t="inlineStr">
        <is>
          <t>10</t>
        </is>
      </c>
      <c r="D201" s="3" t="inlineStr">
        <is>
          <t>13</t>
        </is>
      </c>
      <c r="E201" s="3" t="inlineStr">
        <is>
          <t>46</t>
        </is>
      </c>
      <c r="F201" s="3" t="inlineStr">
        <is>
          <t>77</t>
        </is>
      </c>
      <c r="G201" s="3" t="inlineStr">
        <is>
          <t>013467</t>
        </is>
      </c>
      <c r="H201" s="3" t="inlineStr">
        <is>
          <t>T0, T1, T4, T5, T6, T9</t>
        </is>
      </c>
      <c r="I201" s="3" t="inlineStr">
        <is>
          <t>T8-B3</t>
        </is>
      </c>
      <c r="J201" s="3" t="inlineStr">
        <is>
          <t>51 con</t>
        </is>
      </c>
      <c r="K201" s="3" t="inlineStr">
        <is>
          <t>90</t>
        </is>
      </c>
      <c r="L201" s="7" t="inlineStr">
        <is>
          <t>TRÚNG</t>
        </is>
      </c>
      <c r="M201" s="6" t="inlineStr">
        <is>
          <t>KHÔNG</t>
        </is>
      </c>
      <c r="N201" s="7" t="inlineStr">
        <is>
          <t>TRÚNG</t>
        </is>
      </c>
      <c r="O201" s="3" t="inlineStr">
        <is>
          <t>17 - 71</t>
        </is>
      </c>
      <c r="P201" s="3" t="inlineStr">
        <is>
          <t>1 nháy 🎯</t>
        </is>
      </c>
      <c r="Q201" s="3" t="inlineStr">
        <is>
          <t>15 nháy</t>
        </is>
      </c>
    </row>
    <row r="202">
      <c r="A202" s="2" t="n">
        <v>195</v>
      </c>
      <c r="B202" s="2" t="inlineStr">
        <is>
          <t>Thứ bảy ngày 18-07-2026 (Thứ Bảy)</t>
        </is>
      </c>
      <c r="C202" s="3" t="inlineStr">
        <is>
          <t>09</t>
        </is>
      </c>
      <c r="D202" s="3" t="inlineStr">
        <is>
          <t>19</t>
        </is>
      </c>
      <c r="E202" s="3" t="inlineStr">
        <is>
          <t>18</t>
        </is>
      </c>
      <c r="F202" s="3" t="inlineStr">
        <is>
          <t>68</t>
        </is>
      </c>
      <c r="G202" s="3" t="inlineStr">
        <is>
          <t>01689</t>
        </is>
      </c>
      <c r="H202" s="3" t="inlineStr">
        <is>
          <t>T0, T4, T5, T9</t>
        </is>
      </c>
      <c r="I202" s="3" t="inlineStr">
        <is>
          <t>T8-B3</t>
        </is>
      </c>
      <c r="J202" s="3" t="inlineStr">
        <is>
          <t>29 con</t>
        </is>
      </c>
      <c r="K202" s="3" t="inlineStr">
        <is>
          <t>38</t>
        </is>
      </c>
      <c r="L202" s="7" t="inlineStr">
        <is>
          <t>TRÚNG</t>
        </is>
      </c>
      <c r="M202" s="6" t="inlineStr">
        <is>
          <t>KHÔNG</t>
        </is>
      </c>
      <c r="N202" s="6" t="inlineStr">
        <is>
          <t>KHÔNG</t>
        </is>
      </c>
      <c r="O202" s="3" t="inlineStr">
        <is>
          <t>08 - 80</t>
        </is>
      </c>
      <c r="P202" s="3" t="inlineStr">
        <is>
          <t>0 nháy</t>
        </is>
      </c>
      <c r="Q202" s="3" t="inlineStr">
        <is>
          <t>15 nháy</t>
        </is>
      </c>
    </row>
    <row r="203">
      <c r="A203" s="2" t="n">
        <v>196</v>
      </c>
      <c r="B203" s="2" t="inlineStr">
        <is>
          <t>Chủ nhật ngày 19-07-2026 (Chủ Nhật)</t>
        </is>
      </c>
      <c r="C203" s="3" t="inlineStr">
        <is>
          <t>81</t>
        </is>
      </c>
      <c r="D203" s="3" t="inlineStr">
        <is>
          <t>26</t>
        </is>
      </c>
      <c r="E203" s="3" t="inlineStr">
        <is>
          <t>57</t>
        </is>
      </c>
      <c r="F203" s="3" t="inlineStr">
        <is>
          <t>87</t>
        </is>
      </c>
      <c r="G203" s="3" t="inlineStr">
        <is>
          <t>125678</t>
        </is>
      </c>
      <c r="H203" s="3" t="inlineStr">
        <is>
          <t>T0, T2, T3, T4, T5, T7, T8, T9</t>
        </is>
      </c>
      <c r="I203" s="3" t="inlineStr">
        <is>
          <t>T5-B0</t>
        </is>
      </c>
      <c r="J203" s="3" t="inlineStr">
        <is>
          <t>65 con</t>
        </is>
      </c>
      <c r="K203" s="3" t="inlineStr">
        <is>
          <t>28</t>
        </is>
      </c>
      <c r="L203" s="7" t="inlineStr">
        <is>
          <t>TRÚNG</t>
        </is>
      </c>
      <c r="M203" s="7" t="inlineStr">
        <is>
          <t>TRÚNG</t>
        </is>
      </c>
      <c r="N203" s="7" t="inlineStr">
        <is>
          <t>TRÚNG</t>
        </is>
      </c>
      <c r="O203" s="3" t="inlineStr">
        <is>
          <t>87 - 78</t>
        </is>
      </c>
      <c r="P203" s="3" t="inlineStr">
        <is>
          <t>0 nháy</t>
        </is>
      </c>
      <c r="Q203" s="3" t="inlineStr">
        <is>
          <t>15 nháy</t>
        </is>
      </c>
    </row>
    <row r="204">
      <c r="A204" s="2" t="n">
        <v>197</v>
      </c>
      <c r="B204" s="2" t="inlineStr">
        <is>
          <t>Thứ hai ngày 20-07-2026 (Thứ Hai)</t>
        </is>
      </c>
      <c r="C204" s="3" t="inlineStr">
        <is>
          <t>01</t>
        </is>
      </c>
      <c r="D204" s="3" t="inlineStr">
        <is>
          <t>44</t>
        </is>
      </c>
      <c r="E204" s="3" t="inlineStr">
        <is>
          <t>89</t>
        </is>
      </c>
      <c r="F204" s="3" t="inlineStr">
        <is>
          <t>63</t>
        </is>
      </c>
      <c r="G204" s="3" t="inlineStr">
        <is>
          <t>0134689</t>
        </is>
      </c>
      <c r="H204" s="3" t="inlineStr">
        <is>
          <t>T1, T2, T3, T4, T6, T7, T8, T9</t>
        </is>
      </c>
      <c r="I204" s="3" t="inlineStr">
        <is>
          <t>T3-B8</t>
        </is>
      </c>
      <c r="J204" s="3" t="inlineStr">
        <is>
          <t>72 con</t>
        </is>
      </c>
      <c r="K204" s="3" t="inlineStr">
        <is>
          <t>70</t>
        </is>
      </c>
      <c r="L204" s="7" t="inlineStr">
        <is>
          <t>TRÚNG</t>
        </is>
      </c>
      <c r="M204" s="6" t="inlineStr">
        <is>
          <t>KHÔNG</t>
        </is>
      </c>
      <c r="N204" s="7" t="inlineStr">
        <is>
          <t>TRÚNG</t>
        </is>
      </c>
      <c r="O204" s="3" t="inlineStr">
        <is>
          <t>03 - 30</t>
        </is>
      </c>
      <c r="P204" s="3" t="inlineStr">
        <is>
          <t>0 nháy</t>
        </is>
      </c>
      <c r="Q204" s="3" t="inlineStr">
        <is>
          <t>25 nháy</t>
        </is>
      </c>
    </row>
    <row r="205">
      <c r="A205" s="2" t="n">
        <v>198</v>
      </c>
      <c r="B205" s="2" t="inlineStr">
        <is>
          <t>Thứ ba ngày 21-07-2026 (Thứ Ba)</t>
        </is>
      </c>
      <c r="C205" s="3" t="inlineStr">
        <is>
          <t>97</t>
        </is>
      </c>
      <c r="D205" s="3" t="inlineStr">
        <is>
          <t>94</t>
        </is>
      </c>
      <c r="E205" s="3" t="inlineStr">
        <is>
          <t>83</t>
        </is>
      </c>
      <c r="F205" s="3" t="inlineStr">
        <is>
          <t>09</t>
        </is>
      </c>
      <c r="G205" s="3" t="inlineStr">
        <is>
          <t>034789</t>
        </is>
      </c>
      <c r="H205" s="3" t="inlineStr">
        <is>
          <t>T1, T3, T4, T6, T8, T9</t>
        </is>
      </c>
      <c r="I205" s="3" t="inlineStr">
        <is>
          <t>T8-B3</t>
        </is>
      </c>
      <c r="J205" s="3" t="inlineStr">
        <is>
          <t>51 con</t>
        </is>
      </c>
      <c r="K205" s="3" t="inlineStr">
        <is>
          <t>54</t>
        </is>
      </c>
      <c r="L205" s="7" t="inlineStr">
        <is>
          <t>TRÚNG</t>
        </is>
      </c>
      <c r="M205" s="6" t="inlineStr">
        <is>
          <t>KHÔNG</t>
        </is>
      </c>
      <c r="N205" s="7" t="inlineStr">
        <is>
          <t>TRÚNG</t>
        </is>
      </c>
      <c r="O205" s="3" t="inlineStr">
        <is>
          <t>99</t>
        </is>
      </c>
      <c r="P205" s="3" t="inlineStr">
        <is>
          <t>0 nháy</t>
        </is>
      </c>
      <c r="Q205" s="3" t="inlineStr">
        <is>
          <t>17 nháy</t>
        </is>
      </c>
    </row>
    <row r="206">
      <c r="A206" s="2" t="n">
        <v>199</v>
      </c>
      <c r="B206" s="2" t="inlineStr">
        <is>
          <t>Thứ tư ngày 22-07-2026 (Thứ Tư)</t>
        </is>
      </c>
      <c r="C206" s="3" t="inlineStr">
        <is>
          <t>12</t>
        </is>
      </c>
      <c r="D206" s="3" t="inlineStr">
        <is>
          <t>54</t>
        </is>
      </c>
      <c r="E206" s="3" t="inlineStr">
        <is>
          <t>05</t>
        </is>
      </c>
      <c r="F206" s="3" t="inlineStr">
        <is>
          <t>91</t>
        </is>
      </c>
      <c r="G206" s="3" t="inlineStr">
        <is>
          <t>012459</t>
        </is>
      </c>
      <c r="H206" s="3" t="inlineStr">
        <is>
          <t>T0, T3, T4, T5, T8, T9</t>
        </is>
      </c>
      <c r="I206" s="3" t="inlineStr">
        <is>
          <t>T2-B7</t>
        </is>
      </c>
      <c r="J206" s="3" t="inlineStr">
        <is>
          <t>49 con</t>
        </is>
      </c>
      <c r="K206" s="3" t="inlineStr">
        <is>
          <t>54</t>
        </is>
      </c>
      <c r="L206" s="7" t="inlineStr">
        <is>
          <t>TRÚNG</t>
        </is>
      </c>
      <c r="M206" s="6" t="inlineStr">
        <is>
          <t>KHÔNG</t>
        </is>
      </c>
      <c r="N206" s="7" t="inlineStr">
        <is>
          <t>TRÚNG</t>
        </is>
      </c>
      <c r="O206" s="3" t="inlineStr">
        <is>
          <t>11</t>
        </is>
      </c>
      <c r="P206" s="3" t="inlineStr">
        <is>
          <t>0 nháy</t>
        </is>
      </c>
      <c r="Q206" s="3" t="inlineStr">
        <is>
          <t>13 nháy</t>
        </is>
      </c>
    </row>
    <row r="207">
      <c r="A207" s="2" t="n">
        <v>200</v>
      </c>
      <c r="B207" s="2" t="inlineStr">
        <is>
          <t>Thứ năm ngày 23-07-2026 (Thứ Năm)</t>
        </is>
      </c>
      <c r="C207" s="3" t="inlineStr">
        <is>
          <t>63</t>
        </is>
      </c>
      <c r="D207" s="3" t="inlineStr">
        <is>
          <t>75</t>
        </is>
      </c>
      <c r="E207" s="3" t="inlineStr">
        <is>
          <t>67</t>
        </is>
      </c>
      <c r="F207" s="3" t="inlineStr">
        <is>
          <t>99</t>
        </is>
      </c>
      <c r="G207" s="3" t="inlineStr">
        <is>
          <t>35679</t>
        </is>
      </c>
      <c r="H207" s="3" t="inlineStr">
        <is>
          <t>T2, T3, T4, T7, T8, T9</t>
        </is>
      </c>
      <c r="I207" s="3" t="inlineStr">
        <is>
          <t>T5-B0</t>
        </is>
      </c>
      <c r="J207" s="3" t="inlineStr">
        <is>
          <t>45 con</t>
        </is>
      </c>
      <c r="K207" s="3" t="inlineStr">
        <is>
          <t>38</t>
        </is>
      </c>
      <c r="L207" s="7" t="inlineStr">
        <is>
          <t>TRÚNG</t>
        </is>
      </c>
      <c r="M207" s="6" t="inlineStr">
        <is>
          <t>KHÔNG</t>
        </is>
      </c>
      <c r="N207" s="6" t="inlineStr">
        <is>
          <t>KHÔNG</t>
        </is>
      </c>
      <c r="O207" s="3" t="inlineStr">
        <is>
          <t>69 - 96</t>
        </is>
      </c>
      <c r="P207" s="3" t="inlineStr">
        <is>
          <t>0 nháy</t>
        </is>
      </c>
      <c r="Q207" s="3" t="inlineStr">
        <is>
          <t>13 nháy</t>
        </is>
      </c>
    </row>
    <row r="208">
      <c r="A208" s="2" t="n">
        <v>201</v>
      </c>
      <c r="B208" s="2" t="inlineStr">
        <is>
          <t>Thứ sáu ngày 24-07-2026 (Thứ Sáu)</t>
        </is>
      </c>
      <c r="C208" s="3" t="inlineStr">
        <is>
          <t>24</t>
        </is>
      </c>
      <c r="D208" s="3" t="inlineStr">
        <is>
          <t>68</t>
        </is>
      </c>
      <c r="E208" s="3" t="inlineStr">
        <is>
          <t>85</t>
        </is>
      </c>
      <c r="F208" s="3" t="inlineStr">
        <is>
          <t>50</t>
        </is>
      </c>
      <c r="G208" s="3" t="inlineStr">
        <is>
          <t>024568</t>
        </is>
      </c>
      <c r="H208" s="3" t="inlineStr">
        <is>
          <t>T0, T1, T3, T4, T5, T6, T8, T9</t>
        </is>
      </c>
      <c r="I208" s="3" t="inlineStr">
        <is>
          <t>T2-B7</t>
        </is>
      </c>
      <c r="J208" s="3" t="inlineStr">
        <is>
          <t>67 con</t>
        </is>
      </c>
      <c r="K208" s="3" t="inlineStr">
        <is>
          <t>28</t>
        </is>
      </c>
      <c r="L208" s="7" t="inlineStr">
        <is>
          <t>TRÚNG</t>
        </is>
      </c>
      <c r="M208" s="6" t="inlineStr">
        <is>
          <t>KHÔNG</t>
        </is>
      </c>
      <c r="N208" s="7" t="inlineStr">
        <is>
          <t>TRÚNG</t>
        </is>
      </c>
      <c r="O208" s="3" t="inlineStr">
        <is>
          <t>20 - 02</t>
        </is>
      </c>
      <c r="P208" s="3" t="inlineStr">
        <is>
          <t>1 nháy 🎯</t>
        </is>
      </c>
      <c r="Q208" s="3" t="inlineStr">
        <is>
          <t>18 nháy</t>
        </is>
      </c>
    </row>
    <row r="209">
      <c r="A209" s="2" t="n">
        <v>202</v>
      </c>
      <c r="B209" s="2" t="inlineStr">
        <is>
          <t>Thứ bảy ngày 25-07-2026 (Thứ Bảy)</t>
        </is>
      </c>
      <c r="C209" s="3" t="inlineStr">
        <is>
          <t>35</t>
        </is>
      </c>
      <c r="D209" s="3" t="inlineStr">
        <is>
          <t>66</t>
        </is>
      </c>
      <c r="E209" s="3" t="inlineStr">
        <is>
          <t>69</t>
        </is>
      </c>
      <c r="F209" s="3" t="inlineStr">
        <is>
          <t>02</t>
        </is>
      </c>
      <c r="G209" s="3" t="inlineStr">
        <is>
          <t>023569</t>
        </is>
      </c>
      <c r="H209" s="3" t="inlineStr">
        <is>
          <t>T0, T2, T3, T5, T7, T8</t>
        </is>
      </c>
      <c r="I209" s="3" t="inlineStr">
        <is>
          <t>T5-B0</t>
        </is>
      </c>
      <c r="J209" s="3" t="inlineStr">
        <is>
          <t>50 con</t>
        </is>
      </c>
      <c r="K209" s="3" t="inlineStr">
        <is>
          <t>16</t>
        </is>
      </c>
      <c r="L209" s="7" t="inlineStr">
        <is>
          <t>TRÚNG</t>
        </is>
      </c>
      <c r="M209" s="6" t="inlineStr">
        <is>
          <t>KHÔNG</t>
        </is>
      </c>
      <c r="N209" s="7" t="inlineStr">
        <is>
          <t>TRÚNG</t>
        </is>
      </c>
      <c r="O209" s="3" t="inlineStr">
        <is>
          <t>32 - 23</t>
        </is>
      </c>
      <c r="P209" s="3" t="inlineStr">
        <is>
          <t>1 nháy 🎯</t>
        </is>
      </c>
      <c r="Q209" s="3" t="inlineStr">
        <is>
          <t>18 nháy</t>
        </is>
      </c>
    </row>
    <row r="210">
      <c r="A210" s="2" t="n">
        <v>203</v>
      </c>
      <c r="B210" s="2" t="inlineStr">
        <is>
          <t>Chủ nhật ngày 26-07-2026 (Chủ Nhật)</t>
        </is>
      </c>
      <c r="C210" s="3" t="inlineStr">
        <is>
          <t>32</t>
        </is>
      </c>
      <c r="D210" s="3" t="inlineStr">
        <is>
          <t>37</t>
        </is>
      </c>
      <c r="E210" s="3" t="inlineStr">
        <is>
          <t>25</t>
        </is>
      </c>
      <c r="F210" s="3" t="inlineStr">
        <is>
          <t>60</t>
        </is>
      </c>
      <c r="G210" s="3" t="inlineStr">
        <is>
          <t>023567</t>
        </is>
      </c>
      <c r="H210" s="3" t="inlineStr">
        <is>
          <t>T0, T1, T2, T5, T6, T7</t>
        </is>
      </c>
      <c r="I210" s="3" t="inlineStr">
        <is>
          <t>T3-B8</t>
        </is>
      </c>
      <c r="J210" s="3" t="inlineStr">
        <is>
          <t>50 con</t>
        </is>
      </c>
      <c r="K210" s="3" t="inlineStr">
        <is>
          <t>96</t>
        </is>
      </c>
      <c r="L210" s="7" t="inlineStr">
        <is>
          <t>TRÚNG</t>
        </is>
      </c>
      <c r="M210" s="6" t="inlineStr">
        <is>
          <t>KHÔNG</t>
        </is>
      </c>
      <c r="N210" s="7" t="inlineStr">
        <is>
          <t>TRÚNG</t>
        </is>
      </c>
      <c r="O210" s="3" t="inlineStr">
        <is>
          <t>30 - 03</t>
        </is>
      </c>
      <c r="P210" s="3" t="inlineStr">
        <is>
          <t>1 nháy 🎯</t>
        </is>
      </c>
      <c r="Q210" s="3" t="inlineStr">
        <is>
          <t>22 nháy</t>
        </is>
      </c>
    </row>
    <row r="211">
      <c r="A211" s="2" t="n">
        <v>204</v>
      </c>
      <c r="B211" s="2" t="inlineStr">
        <is>
          <t>Thứ hai ngày 27-07-2026 (Thứ Hai)</t>
        </is>
      </c>
      <c r="C211" s="3" t="inlineStr">
        <is>
          <t>87</t>
        </is>
      </c>
      <c r="D211" s="3" t="inlineStr">
        <is>
          <t>29</t>
        </is>
      </c>
      <c r="E211" s="3" t="inlineStr">
        <is>
          <t>55</t>
        </is>
      </c>
      <c r="F211" s="3" t="inlineStr">
        <is>
          <t>52</t>
        </is>
      </c>
      <c r="G211" s="3" t="inlineStr">
        <is>
          <t>25789</t>
        </is>
      </c>
      <c r="H211" s="3" t="inlineStr">
        <is>
          <t>T0, T1, T2, T5, T6, T7</t>
        </is>
      </c>
      <c r="I211" s="3" t="inlineStr">
        <is>
          <t>T0-B5</t>
        </is>
      </c>
      <c r="J211" s="3" t="inlineStr">
        <is>
          <t>44 con</t>
        </is>
      </c>
      <c r="K211" s="3" t="inlineStr">
        <is>
          <t>00</t>
        </is>
      </c>
      <c r="L211" s="6" t="inlineStr">
        <is>
          <t>KHÔNG</t>
        </is>
      </c>
      <c r="M211" s="7" t="inlineStr">
        <is>
          <t>TRÚNG</t>
        </is>
      </c>
      <c r="N211" s="6" t="inlineStr">
        <is>
          <t>KHÔNG</t>
        </is>
      </c>
      <c r="O211" s="3" t="inlineStr">
        <is>
          <t>82 - 28</t>
        </is>
      </c>
      <c r="P211" s="3" t="inlineStr">
        <is>
          <t>0 nháy</t>
        </is>
      </c>
      <c r="Q211" s="3" t="inlineStr">
        <is>
          <t>11 nháy</t>
        </is>
      </c>
    </row>
    <row r="212">
      <c r="A212" s="2" t="n">
        <v>205</v>
      </c>
      <c r="B212" s="2" t="inlineStr">
        <is>
          <t>Thứ ba ngày 28-07-2026 (Thứ Ba)</t>
        </is>
      </c>
      <c r="C212" s="3" t="inlineStr">
        <is>
          <t>08</t>
        </is>
      </c>
      <c r="D212" s="3" t="inlineStr">
        <is>
          <t>63</t>
        </is>
      </c>
      <c r="E212" s="3" t="inlineStr">
        <is>
          <t>56</t>
        </is>
      </c>
      <c r="F212" s="3" t="inlineStr">
        <is>
          <t>46</t>
        </is>
      </c>
      <c r="G212" s="3" t="inlineStr">
        <is>
          <t>034568</t>
        </is>
      </c>
      <c r="H212" s="3" t="inlineStr">
        <is>
          <t>T0, T1, T3, T4, T5, T6, T8, T9</t>
        </is>
      </c>
      <c r="I212" s="3" t="inlineStr">
        <is>
          <t>T6-B1</t>
        </is>
      </c>
      <c r="J212" s="3" t="inlineStr">
        <is>
          <t>65 con</t>
        </is>
      </c>
      <c r="K212" s="3" t="inlineStr">
        <is>
          <t>83</t>
        </is>
      </c>
      <c r="L212" s="7" t="inlineStr">
        <is>
          <t>TRÚNG</t>
        </is>
      </c>
      <c r="M212" s="7" t="inlineStr">
        <is>
          <t>TRÚNG</t>
        </is>
      </c>
      <c r="N212" s="7" t="inlineStr">
        <is>
          <t>TRÚNG</t>
        </is>
      </c>
      <c r="O212" s="3" t="inlineStr">
        <is>
          <t>06 - 60</t>
        </is>
      </c>
      <c r="P212" s="3" t="inlineStr">
        <is>
          <t>0 nháy</t>
        </is>
      </c>
      <c r="Q212" s="3" t="inlineStr">
        <is>
          <t>16 nháy</t>
        </is>
      </c>
    </row>
    <row r="213">
      <c r="A213" s="2" t="n">
        <v>206</v>
      </c>
      <c r="B213" s="2" t="inlineStr">
        <is>
          <t>Thứ tư ngày 29-07-2026 (Thứ Tư)</t>
        </is>
      </c>
      <c r="C213" s="3" t="inlineStr">
        <is>
          <t>75</t>
        </is>
      </c>
      <c r="D213" s="3" t="inlineStr">
        <is>
          <t>43</t>
        </is>
      </c>
      <c r="E213" s="3" t="inlineStr">
        <is>
          <t>48</t>
        </is>
      </c>
      <c r="F213" s="3" t="inlineStr">
        <is>
          <t>81</t>
        </is>
      </c>
      <c r="G213" s="3" t="inlineStr">
        <is>
          <t>134578</t>
        </is>
      </c>
      <c r="H213" s="3" t="inlineStr">
        <is>
          <t>T2, T4, T7, T9</t>
        </is>
      </c>
      <c r="I213" s="3" t="inlineStr">
        <is>
          <t>T8-B3</t>
        </is>
      </c>
      <c r="J213" s="3" t="inlineStr">
        <is>
          <t>34 con</t>
        </is>
      </c>
      <c r="K213" s="3" t="inlineStr">
        <is>
          <t>34</t>
        </is>
      </c>
      <c r="L213" s="7" t="inlineStr">
        <is>
          <t>TRÚNG</t>
        </is>
      </c>
      <c r="M213" s="6" t="inlineStr">
        <is>
          <t>KHÔNG</t>
        </is>
      </c>
      <c r="N213" s="7" t="inlineStr">
        <is>
          <t>TRÚNG</t>
        </is>
      </c>
      <c r="O213" s="3" t="inlineStr">
        <is>
          <t>71 - 17</t>
        </is>
      </c>
      <c r="P213" s="3" t="inlineStr">
        <is>
          <t>0 nháy</t>
        </is>
      </c>
      <c r="Q213" s="3" t="inlineStr">
        <is>
          <t>9 nháy</t>
        </is>
      </c>
    </row>
    <row r="214">
      <c r="A214" s="2" t="n">
        <v>207</v>
      </c>
      <c r="B214" s="2" t="inlineStr">
        <is>
          <t>Thứ năm ngày 30-07-2026 (Thứ Năm)</t>
        </is>
      </c>
      <c r="C214" s="3" t="inlineStr">
        <is>
          <t>06</t>
        </is>
      </c>
      <c r="D214" s="3" t="inlineStr">
        <is>
          <t>82</t>
        </is>
      </c>
      <c r="E214" s="3" t="inlineStr">
        <is>
          <t>36</t>
        </is>
      </c>
      <c r="F214" s="3" t="inlineStr">
        <is>
          <t>90</t>
        </is>
      </c>
      <c r="G214" s="3" t="inlineStr">
        <is>
          <t>023689</t>
        </is>
      </c>
      <c r="H214" s="3" t="inlineStr">
        <is>
          <t>T0, T1, T4, T5, T6, T9</t>
        </is>
      </c>
      <c r="I214" s="3" t="inlineStr">
        <is>
          <t>T0-B5</t>
        </is>
      </c>
      <c r="J214" s="3" t="inlineStr">
        <is>
          <t>50 con</t>
        </is>
      </c>
      <c r="K214" s="3" t="inlineStr">
        <is>
          <t>10</t>
        </is>
      </c>
      <c r="L214" s="7" t="inlineStr">
        <is>
          <t>TRÚNG</t>
        </is>
      </c>
      <c r="M214" s="6" t="inlineStr">
        <is>
          <t>KHÔNG</t>
        </is>
      </c>
      <c r="N214" s="7" t="inlineStr">
        <is>
          <t>TRÚNG</t>
        </is>
      </c>
      <c r="O214" s="3" t="inlineStr">
        <is>
          <t>00</t>
        </is>
      </c>
      <c r="P214" s="3" t="inlineStr">
        <is>
          <t>0 nháy</t>
        </is>
      </c>
      <c r="Q214" s="3" t="inlineStr">
        <is>
          <t>13 nháy</t>
        </is>
      </c>
    </row>
    <row r="215">
      <c r="A215" s="2" t="n">
        <v>208</v>
      </c>
      <c r="B215" s="2" t="inlineStr">
        <is>
          <t>Thứ sáu ngày 31-07-2026 (Thứ Sáu)</t>
        </is>
      </c>
      <c r="C215" s="3" t="inlineStr">
        <is>
          <t>15</t>
        </is>
      </c>
      <c r="D215" s="3" t="inlineStr">
        <is>
          <t>90</t>
        </is>
      </c>
      <c r="E215" s="3" t="inlineStr">
        <is>
          <t>04</t>
        </is>
      </c>
      <c r="F215" s="3" t="inlineStr">
        <is>
          <t>83</t>
        </is>
      </c>
      <c r="G215" s="3" t="inlineStr">
        <is>
          <t>0134589</t>
        </is>
      </c>
      <c r="H215" s="3" t="inlineStr">
        <is>
          <t>T1, T4, T6, T9</t>
        </is>
      </c>
      <c r="I215" s="3" t="inlineStr">
        <is>
          <t>T4-B9</t>
        </is>
      </c>
      <c r="J215" s="3" t="inlineStr">
        <is>
          <t>36 con</t>
        </is>
      </c>
      <c r="K215" s="3" t="inlineStr">
        <is>
          <t>23</t>
        </is>
      </c>
      <c r="L215" s="7" t="inlineStr">
        <is>
          <t>TRÚNG</t>
        </is>
      </c>
      <c r="M215" s="6" t="inlineStr">
        <is>
          <t>KHÔNG</t>
        </is>
      </c>
      <c r="N215" s="6" t="inlineStr">
        <is>
          <t>KHÔNG</t>
        </is>
      </c>
      <c r="O215" s="3" t="inlineStr">
        <is>
          <t>13 - 31</t>
        </is>
      </c>
      <c r="P215" s="3" t="inlineStr">
        <is>
          <t>0 nháy</t>
        </is>
      </c>
      <c r="Q215" s="3" t="inlineStr">
        <is>
          <t>11 nháy</t>
        </is>
      </c>
    </row>
    <row r="216">
      <c r="A216" s="2" t="n">
        <v>209</v>
      </c>
      <c r="B216" s="2" t="inlineStr">
        <is>
          <t>Thứ bảy ngày 01-08-2026 (Thứ Bảy)</t>
        </is>
      </c>
      <c r="C216" s="3" t="inlineStr">
        <is>
          <t>56</t>
        </is>
      </c>
      <c r="D216" s="3" t="inlineStr">
        <is>
          <t>80</t>
        </is>
      </c>
      <c r="E216" s="3" t="inlineStr">
        <is>
          <t>52</t>
        </is>
      </c>
      <c r="F216" s="3" t="inlineStr">
        <is>
          <t>90</t>
        </is>
      </c>
      <c r="G216" s="3" t="inlineStr">
        <is>
          <t>025689</t>
        </is>
      </c>
      <c r="H216" s="3" t="inlineStr">
        <is>
          <t>T1, T2, T3, T4, T6, T7, T8, T9</t>
        </is>
      </c>
      <c r="I216" s="3" t="inlineStr">
        <is>
          <t>T5-B0</t>
        </is>
      </c>
      <c r="J216" s="3" t="inlineStr">
        <is>
          <t>68 con</t>
        </is>
      </c>
      <c r="K216" s="3" t="inlineStr">
        <is>
          <t>09</t>
        </is>
      </c>
      <c r="L216" s="7" t="inlineStr">
        <is>
          <t>TRÚNG</t>
        </is>
      </c>
      <c r="M216" s="6" t="inlineStr">
        <is>
          <t>KHÔNG</t>
        </is>
      </c>
      <c r="N216" s="7" t="inlineStr">
        <is>
          <t>TRÚNG</t>
        </is>
      </c>
      <c r="O216" s="3" t="inlineStr">
        <is>
          <t>50 - 05</t>
        </is>
      </c>
      <c r="P216" s="3" t="inlineStr">
        <is>
          <t>0 nháy</t>
        </is>
      </c>
      <c r="Q216" s="3" t="inlineStr">
        <is>
          <t>18 nháy</t>
        </is>
      </c>
    </row>
    <row r="217">
      <c r="A217" s="2" t="n">
        <v>210</v>
      </c>
      <c r="B217" s="2" t="inlineStr">
        <is>
          <t>Chủ nhật ngày 02-08-2026 (Chủ Nhật)</t>
        </is>
      </c>
      <c r="C217" s="3" t="inlineStr">
        <is>
          <t>52</t>
        </is>
      </c>
      <c r="D217" s="3" t="inlineStr">
        <is>
          <t>80</t>
        </is>
      </c>
      <c r="E217" s="3" t="inlineStr">
        <is>
          <t>91</t>
        </is>
      </c>
      <c r="F217" s="3" t="inlineStr">
        <is>
          <t>54</t>
        </is>
      </c>
      <c r="G217" s="3" t="inlineStr">
        <is>
          <t>0124589</t>
        </is>
      </c>
      <c r="H217" s="3" t="inlineStr">
        <is>
          <t>T0, T2, T3, T4, T5, T7, T8, T9</t>
        </is>
      </c>
      <c r="I217" s="3" t="inlineStr">
        <is>
          <t>T9-B4</t>
        </is>
      </c>
      <c r="J217" s="3" t="inlineStr">
        <is>
          <t>72 con</t>
        </is>
      </c>
      <c r="K217" s="3" t="inlineStr">
        <is>
          <t>47</t>
        </is>
      </c>
      <c r="L217" s="7" t="inlineStr">
        <is>
          <t>TRÚNG</t>
        </is>
      </c>
      <c r="M217" s="6" t="inlineStr">
        <is>
          <t>KHÔNG</t>
        </is>
      </c>
      <c r="N217" s="6" t="inlineStr">
        <is>
          <t>KHÔNG</t>
        </is>
      </c>
      <c r="O217" s="3" t="inlineStr">
        <is>
          <t>54 - 45</t>
        </is>
      </c>
      <c r="P217" s="3" t="inlineStr">
        <is>
          <t>0 nháy</t>
        </is>
      </c>
      <c r="Q217" s="3" t="inlineStr">
        <is>
          <t>18 nháy</t>
        </is>
      </c>
    </row>
    <row r="218">
      <c r="A218" s="2" t="n">
        <v>211</v>
      </c>
      <c r="B218" s="2" t="inlineStr">
        <is>
          <t>Thứ hai ngày 03-08-2026 (Thứ Hai)</t>
        </is>
      </c>
      <c r="C218" s="3" t="inlineStr">
        <is>
          <t>04</t>
        </is>
      </c>
      <c r="D218" s="3" t="inlineStr">
        <is>
          <t>63</t>
        </is>
      </c>
      <c r="E218" s="3" t="inlineStr">
        <is>
          <t>29</t>
        </is>
      </c>
      <c r="F218" s="3" t="inlineStr">
        <is>
          <t>46</t>
        </is>
      </c>
      <c r="G218" s="3" t="inlineStr">
        <is>
          <t>023469</t>
        </is>
      </c>
      <c r="H218" s="3" t="inlineStr">
        <is>
          <t>T0, T1, T4, T5, T6, T9</t>
        </is>
      </c>
      <c r="I218" s="3" t="inlineStr">
        <is>
          <t>T6-B1</t>
        </is>
      </c>
      <c r="J218" s="3" t="inlineStr">
        <is>
          <t>51 con</t>
        </is>
      </c>
      <c r="K218" s="3" t="inlineStr">
        <is>
          <t>25</t>
        </is>
      </c>
      <c r="L218" s="7" t="inlineStr">
        <is>
          <t>TRÚNG</t>
        </is>
      </c>
      <c r="M218" s="6" t="inlineStr">
        <is>
          <t>KHÔNG</t>
        </is>
      </c>
      <c r="N218" s="6" t="inlineStr">
        <is>
          <t>KHÔNG</t>
        </is>
      </c>
      <c r="O218" s="3" t="inlineStr">
        <is>
          <t>06 - 60</t>
        </is>
      </c>
      <c r="P218" s="3" t="inlineStr">
        <is>
          <t>0 nháy</t>
        </is>
      </c>
      <c r="Q218" s="3" t="inlineStr">
        <is>
          <t>12 nháy</t>
        </is>
      </c>
    </row>
    <row r="219">
      <c r="A219" s="2" t="n">
        <v>212</v>
      </c>
      <c r="B219" s="2" t="inlineStr">
        <is>
          <t>Thứ ba ngày 04-08-2026 (Thứ Ba)</t>
        </is>
      </c>
      <c r="C219" s="3" t="inlineStr">
        <is>
          <t>78</t>
        </is>
      </c>
      <c r="D219" s="3" t="inlineStr">
        <is>
          <t>84</t>
        </is>
      </c>
      <c r="E219" s="3" t="inlineStr">
        <is>
          <t>44</t>
        </is>
      </c>
      <c r="F219" s="3" t="inlineStr">
        <is>
          <t>82</t>
        </is>
      </c>
      <c r="G219" s="3" t="inlineStr">
        <is>
          <t>2478</t>
        </is>
      </c>
      <c r="H219" s="3" t="inlineStr">
        <is>
          <t>T0, T2, T3, T5, T7, T8</t>
        </is>
      </c>
      <c r="I219" s="3" t="inlineStr">
        <is>
          <t>T9-B4</t>
        </is>
      </c>
      <c r="J219" s="3" t="inlineStr">
        <is>
          <t>41 con</t>
        </is>
      </c>
      <c r="K219" s="3" t="inlineStr">
        <is>
          <t>60</t>
        </is>
      </c>
      <c r="L219" s="6" t="inlineStr">
        <is>
          <t>KHÔNG</t>
        </is>
      </c>
      <c r="M219" s="6" t="inlineStr">
        <is>
          <t>KHÔNG</t>
        </is>
      </c>
      <c r="N219" s="6" t="inlineStr">
        <is>
          <t>KHÔNG</t>
        </is>
      </c>
      <c r="O219" s="3" t="inlineStr">
        <is>
          <t>72 - 27</t>
        </is>
      </c>
      <c r="P219" s="3" t="inlineStr">
        <is>
          <t>0 nháy</t>
        </is>
      </c>
      <c r="Q219" s="3" t="inlineStr">
        <is>
          <t>7 nháy</t>
        </is>
      </c>
    </row>
    <row r="220">
      <c r="A220" s="2" t="n">
        <v>213</v>
      </c>
      <c r="B220" s="2" t="inlineStr">
        <is>
          <t>Thứ tư ngày 05-08-2026 (Thứ Tư)</t>
        </is>
      </c>
      <c r="C220" s="3" t="inlineStr">
        <is>
          <t>75</t>
        </is>
      </c>
      <c r="D220" s="3" t="inlineStr">
        <is>
          <t>18</t>
        </is>
      </c>
      <c r="E220" s="3" t="inlineStr">
        <is>
          <t>95</t>
        </is>
      </c>
      <c r="F220" s="3" t="inlineStr">
        <is>
          <t>83</t>
        </is>
      </c>
      <c r="G220" s="3" t="inlineStr">
        <is>
          <t>135789</t>
        </is>
      </c>
      <c r="H220" s="3" t="inlineStr">
        <is>
          <t>T1, T2, T4, T6, T7, T9</t>
        </is>
      </c>
      <c r="I220" s="3" t="inlineStr">
        <is>
          <t>T0-B5</t>
        </is>
      </c>
      <c r="J220" s="3" t="inlineStr">
        <is>
          <t>50 con</t>
        </is>
      </c>
      <c r="K220" s="3" t="inlineStr">
        <is>
          <t>67</t>
        </is>
      </c>
      <c r="L220" s="7" t="inlineStr">
        <is>
          <t>TRÚNG</t>
        </is>
      </c>
      <c r="M220" s="6" t="inlineStr">
        <is>
          <t>KHÔNG</t>
        </is>
      </c>
      <c r="N220" s="6" t="inlineStr">
        <is>
          <t>KHÔNG</t>
        </is>
      </c>
      <c r="O220" s="3" t="inlineStr">
        <is>
          <t>73 - 37</t>
        </is>
      </c>
      <c r="P220" s="3" t="inlineStr">
        <is>
          <t>0 nháy</t>
        </is>
      </c>
      <c r="Q220" s="3" t="inlineStr">
        <is>
          <t>11 nháy</t>
        </is>
      </c>
    </row>
    <row r="221">
      <c r="A221" s="2" t="n">
        <v>214</v>
      </c>
      <c r="B221" s="2" t="inlineStr">
        <is>
          <t>Thứ năm ngày 06-08-2026 (Thứ Năm)</t>
        </is>
      </c>
      <c r="C221" s="3" t="inlineStr">
        <is>
          <t>35</t>
        </is>
      </c>
      <c r="D221" s="3" t="inlineStr">
        <is>
          <t>69</t>
        </is>
      </c>
      <c r="E221" s="3" t="inlineStr">
        <is>
          <t>95</t>
        </is>
      </c>
      <c r="F221" s="3" t="inlineStr">
        <is>
          <t>89</t>
        </is>
      </c>
      <c r="G221" s="3" t="inlineStr">
        <is>
          <t>35689</t>
        </is>
      </c>
      <c r="H221" s="3" t="inlineStr">
        <is>
          <t>T0, T2, T3, T4, T5, T7, T8, T9</t>
        </is>
      </c>
      <c r="I221" s="3" t="inlineStr">
        <is>
          <t>T2-B7</t>
        </is>
      </c>
      <c r="J221" s="3" t="inlineStr">
        <is>
          <t>61 con</t>
        </is>
      </c>
      <c r="K221" s="3" t="inlineStr">
        <is>
          <t>79</t>
        </is>
      </c>
      <c r="L221" s="7" t="inlineStr">
        <is>
          <t>TRÚNG</t>
        </is>
      </c>
      <c r="M221" s="6" t="inlineStr">
        <is>
          <t>KHÔNG</t>
        </is>
      </c>
      <c r="N221" s="6" t="inlineStr">
        <is>
          <t>KHÔNG</t>
        </is>
      </c>
      <c r="O221" s="3" t="inlineStr">
        <is>
          <t>39 - 93</t>
        </is>
      </c>
      <c r="P221" s="3" t="inlineStr">
        <is>
          <t>0 nháy</t>
        </is>
      </c>
      <c r="Q221" s="3" t="inlineStr">
        <is>
          <t>14 nháy</t>
        </is>
      </c>
    </row>
    <row r="222">
      <c r="A222" s="2" t="n">
        <v>215</v>
      </c>
      <c r="B222" s="2" t="inlineStr">
        <is>
          <t>Thứ sáu ngày 07-08-2026 (Thứ Sáu)</t>
        </is>
      </c>
      <c r="C222" s="3" t="inlineStr">
        <is>
          <t>47</t>
        </is>
      </c>
      <c r="D222" s="3" t="inlineStr">
        <is>
          <t>81</t>
        </is>
      </c>
      <c r="E222" s="3" t="inlineStr">
        <is>
          <t>44</t>
        </is>
      </c>
      <c r="F222" s="3" t="inlineStr">
        <is>
          <t>80</t>
        </is>
      </c>
      <c r="G222" s="3" t="inlineStr">
        <is>
          <t>01478</t>
        </is>
      </c>
      <c r="H222" s="3" t="inlineStr">
        <is>
          <t>T1, T3, T4, T6, T8, T9</t>
        </is>
      </c>
      <c r="I222" s="3" t="inlineStr">
        <is>
          <t>T4-B9</t>
        </is>
      </c>
      <c r="J222" s="3" t="inlineStr">
        <is>
          <t>45 con</t>
        </is>
      </c>
      <c r="K222" s="3" t="inlineStr">
        <is>
          <t>22</t>
        </is>
      </c>
      <c r="L222" s="6" t="inlineStr">
        <is>
          <t>KHÔNG</t>
        </is>
      </c>
      <c r="M222" s="7" t="inlineStr">
        <is>
          <t>TRÚNG</t>
        </is>
      </c>
      <c r="N222" s="6" t="inlineStr">
        <is>
          <t>KHÔNG</t>
        </is>
      </c>
      <c r="O222" s="3" t="inlineStr">
        <is>
          <t>40 - 04</t>
        </is>
      </c>
      <c r="P222" s="3" t="inlineStr">
        <is>
          <t>0 nháy</t>
        </is>
      </c>
      <c r="Q222" s="3" t="inlineStr">
        <is>
          <t>10 nháy</t>
        </is>
      </c>
    </row>
    <row r="223">
      <c r="A223" s="2" t="n">
        <v>216</v>
      </c>
      <c r="B223" s="2" t="inlineStr">
        <is>
          <t>Thứ bảy ngày 08-08-2026 (Thứ Bảy)</t>
        </is>
      </c>
      <c r="C223" s="3" t="inlineStr">
        <is>
          <t>90</t>
        </is>
      </c>
      <c r="D223" s="3" t="inlineStr">
        <is>
          <t>78</t>
        </is>
      </c>
      <c r="E223" s="3" t="inlineStr">
        <is>
          <t>80</t>
        </is>
      </c>
      <c r="F223" s="3" t="inlineStr">
        <is>
          <t>95</t>
        </is>
      </c>
      <c r="G223" s="3" t="inlineStr">
        <is>
          <t>05789</t>
        </is>
      </c>
      <c r="H223" s="3" t="inlineStr">
        <is>
          <t>T0, T3, T4, T5, T8, T9</t>
        </is>
      </c>
      <c r="I223" s="3" t="inlineStr">
        <is>
          <t>T4-B9</t>
        </is>
      </c>
      <c r="J223" s="3" t="inlineStr">
        <is>
          <t>44 con</t>
        </is>
      </c>
      <c r="K223" s="3" t="inlineStr">
        <is>
          <t>21</t>
        </is>
      </c>
      <c r="L223" s="6" t="inlineStr">
        <is>
          <t>KHÔNG</t>
        </is>
      </c>
      <c r="M223" s="6" t="inlineStr">
        <is>
          <t>KHÔNG</t>
        </is>
      </c>
      <c r="N223" s="6" t="inlineStr">
        <is>
          <t>KHÔNG</t>
        </is>
      </c>
      <c r="O223" s="3" t="inlineStr">
        <is>
          <t>95 - 59</t>
        </is>
      </c>
      <c r="P223" s="3" t="inlineStr">
        <is>
          <t>0 nháy</t>
        </is>
      </c>
      <c r="Q223" s="3" t="inlineStr">
        <is>
          <t>11 nháy</t>
        </is>
      </c>
    </row>
    <row r="224">
      <c r="A224" s="2" t="n">
        <v>217</v>
      </c>
      <c r="B224" s="2" t="inlineStr">
        <is>
          <t>Chủ nhật ngày 09-08-2026 (Chủ Nhật)</t>
        </is>
      </c>
      <c r="C224" s="3" t="inlineStr">
        <is>
          <t>21</t>
        </is>
      </c>
      <c r="D224" s="3" t="inlineStr">
        <is>
          <t>77</t>
        </is>
      </c>
      <c r="E224" s="3" t="inlineStr">
        <is>
          <t>29</t>
        </is>
      </c>
      <c r="F224" s="3" t="inlineStr">
        <is>
          <t>97</t>
        </is>
      </c>
      <c r="G224" s="3" t="inlineStr">
        <is>
          <t>1279</t>
        </is>
      </c>
      <c r="H224" s="3" t="inlineStr">
        <is>
          <t>T1, T3, T4, T6, T8, T9</t>
        </is>
      </c>
      <c r="I224" s="3" t="inlineStr">
        <is>
          <t>T9-B4</t>
        </is>
      </c>
      <c r="J224" s="3" t="inlineStr">
        <is>
          <t>35 con</t>
        </is>
      </c>
      <c r="K224" s="3" t="inlineStr">
        <is>
          <t>57</t>
        </is>
      </c>
      <c r="L224" s="7" t="inlineStr">
        <is>
          <t>TRÚNG</t>
        </is>
      </c>
      <c r="M224" s="6" t="inlineStr">
        <is>
          <t>KHÔNG</t>
        </is>
      </c>
      <c r="N224" s="6" t="inlineStr">
        <is>
          <t>KHÔNG</t>
        </is>
      </c>
      <c r="O224" s="3" t="inlineStr">
        <is>
          <t>27 - 72</t>
        </is>
      </c>
      <c r="P224" s="3" t="inlineStr">
        <is>
          <t>0 nháy</t>
        </is>
      </c>
      <c r="Q224" s="3" t="inlineStr">
        <is>
          <t>8 nháy</t>
        </is>
      </c>
    </row>
    <row r="225">
      <c r="A225" s="2" t="n">
        <v>218</v>
      </c>
      <c r="B225" s="2" t="inlineStr">
        <is>
          <t>Thứ hai ngày 10-08-2026 (Thứ Hai)</t>
        </is>
      </c>
      <c r="C225" s="3" t="inlineStr">
        <is>
          <t>95</t>
        </is>
      </c>
      <c r="D225" s="3" t="inlineStr">
        <is>
          <t>02</t>
        </is>
      </c>
      <c r="E225" s="3" t="inlineStr">
        <is>
          <t>84</t>
        </is>
      </c>
      <c r="F225" s="3" t="inlineStr">
        <is>
          <t>06</t>
        </is>
      </c>
      <c r="G225" s="3" t="inlineStr">
        <is>
          <t>0245689</t>
        </is>
      </c>
      <c r="H225" s="3" t="inlineStr">
        <is>
          <t>T1, T2, T4, T6, T7, T9</t>
        </is>
      </c>
      <c r="I225" s="3" t="inlineStr">
        <is>
          <t>T5-B0</t>
        </is>
      </c>
      <c r="J225" s="3" t="inlineStr">
        <is>
          <t>55 con</t>
        </is>
      </c>
      <c r="K225" s="3" t="inlineStr">
        <is>
          <t>91</t>
        </is>
      </c>
      <c r="L225" s="7" t="inlineStr">
        <is>
          <t>TRÚNG</t>
        </is>
      </c>
      <c r="M225" s="7" t="inlineStr">
        <is>
          <t>TRÚNG</t>
        </is>
      </c>
      <c r="N225" s="6" t="inlineStr">
        <is>
          <t>KHÔNG</t>
        </is>
      </c>
      <c r="O225" s="3" t="inlineStr">
        <is>
          <t>96 - 69</t>
        </is>
      </c>
      <c r="P225" s="3" t="inlineStr">
        <is>
          <t>3 nháy 🎯</t>
        </is>
      </c>
      <c r="Q225" s="3" t="inlineStr">
        <is>
          <t>14 nháy</t>
        </is>
      </c>
    </row>
    <row r="226">
      <c r="A226" s="2" t="n">
        <v>219</v>
      </c>
      <c r="B226" s="2" t="inlineStr">
        <is>
          <t>Thứ ba ngày 11-08-2026 (Thứ Ba)</t>
        </is>
      </c>
      <c r="C226" s="3" t="inlineStr">
        <is>
          <t>22</t>
        </is>
      </c>
      <c r="D226" s="3" t="inlineStr">
        <is>
          <t>92</t>
        </is>
      </c>
      <c r="E226" s="3" t="inlineStr">
        <is>
          <t>40</t>
        </is>
      </c>
      <c r="F226" s="3" t="inlineStr">
        <is>
          <t>00</t>
        </is>
      </c>
      <c r="G226" s="3" t="inlineStr">
        <is>
          <t>0249</t>
        </is>
      </c>
      <c r="H226" s="3" t="inlineStr">
        <is>
          <t>T0, T1, T4, T5, T6, T9</t>
        </is>
      </c>
      <c r="I226" s="3" t="inlineStr">
        <is>
          <t>T2-B7</t>
        </is>
      </c>
      <c r="J226" s="3" t="inlineStr">
        <is>
          <t>38 con</t>
        </is>
      </c>
      <c r="K226" s="3" t="inlineStr">
        <is>
          <t>26</t>
        </is>
      </c>
      <c r="L226" s="7" t="inlineStr">
        <is>
          <t>TRÚNG</t>
        </is>
      </c>
      <c r="M226" s="6" t="inlineStr">
        <is>
          <t>KHÔNG</t>
        </is>
      </c>
      <c r="N226" s="6" t="inlineStr">
        <is>
          <t>KHÔNG</t>
        </is>
      </c>
      <c r="O226" s="3" t="inlineStr">
        <is>
          <t>20 - 02</t>
        </is>
      </c>
      <c r="P226" s="3" t="inlineStr">
        <is>
          <t>1 nháy 🎯</t>
        </is>
      </c>
      <c r="Q226" s="3" t="inlineStr">
        <is>
          <t>13 nháy</t>
        </is>
      </c>
    </row>
    <row r="227">
      <c r="A227" s="2" t="n">
        <v>220</v>
      </c>
      <c r="B227" s="2" t="inlineStr">
        <is>
          <t>Thứ tư ngày 12-08-2026 (Thứ Tư)</t>
        </is>
      </c>
      <c r="C227" s="3" t="inlineStr">
        <is>
          <t>21</t>
        </is>
      </c>
      <c r="D227" s="3" t="inlineStr">
        <is>
          <t>97</t>
        </is>
      </c>
      <c r="E227" s="3" t="inlineStr">
        <is>
          <t>42</t>
        </is>
      </c>
      <c r="F227" s="3" t="inlineStr">
        <is>
          <t>00</t>
        </is>
      </c>
      <c r="G227" s="3" t="inlineStr">
        <is>
          <t>012479</t>
        </is>
      </c>
      <c r="H227" s="3" t="inlineStr">
        <is>
          <t>T0, T1, T3, T5, T6, T8</t>
        </is>
      </c>
      <c r="I227" s="3" t="inlineStr">
        <is>
          <t>T2-B7</t>
        </is>
      </c>
      <c r="J227" s="3" t="inlineStr">
        <is>
          <t>49 con</t>
        </is>
      </c>
      <c r="K227" s="3" t="inlineStr">
        <is>
          <t>44</t>
        </is>
      </c>
      <c r="L227" s="7" t="inlineStr">
        <is>
          <t>TRÚNG</t>
        </is>
      </c>
      <c r="M227" s="6" t="inlineStr">
        <is>
          <t>KHÔNG</t>
        </is>
      </c>
      <c r="N227" s="7" t="inlineStr">
        <is>
          <t>TRÚNG</t>
        </is>
      </c>
      <c r="O227" s="3" t="inlineStr">
        <is>
          <t>20 - 02</t>
        </is>
      </c>
      <c r="P227" s="3" t="inlineStr">
        <is>
          <t>2 nháy 🎯</t>
        </is>
      </c>
      <c r="Q227" s="3" t="inlineStr">
        <is>
          <t>17 nháy</t>
        </is>
      </c>
    </row>
    <row r="228">
      <c r="A228" s="2" t="n">
        <v>221</v>
      </c>
      <c r="B228" s="2" t="inlineStr">
        <is>
          <t>Thứ năm ngày 13-08-2026 (Thứ Năm)</t>
        </is>
      </c>
      <c r="C228" s="3" t="inlineStr">
        <is>
          <t>14</t>
        </is>
      </c>
      <c r="D228" s="3" t="inlineStr">
        <is>
          <t>26</t>
        </is>
      </c>
      <c r="E228" s="3" t="inlineStr">
        <is>
          <t>19</t>
        </is>
      </c>
      <c r="F228" s="3" t="inlineStr">
        <is>
          <t>34</t>
        </is>
      </c>
      <c r="G228" s="3" t="inlineStr">
        <is>
          <t>123469</t>
        </is>
      </c>
      <c r="H228" s="3" t="inlineStr">
        <is>
          <t>T0, T2, T3, T5, T7, T8</t>
        </is>
      </c>
      <c r="I228" s="3" t="inlineStr">
        <is>
          <t>T5-B0</t>
        </is>
      </c>
      <c r="J228" s="3" t="inlineStr">
        <is>
          <t>46 con</t>
        </is>
      </c>
      <c r="K228" s="3" t="inlineStr">
        <is>
          <t>18</t>
        </is>
      </c>
      <c r="L228" s="7" t="inlineStr">
        <is>
          <t>TRÚNG</t>
        </is>
      </c>
      <c r="M228" s="6" t="inlineStr">
        <is>
          <t>KHÔNG</t>
        </is>
      </c>
      <c r="N228" s="6" t="inlineStr">
        <is>
          <t>KHÔNG</t>
        </is>
      </c>
      <c r="O228" s="3" t="inlineStr">
        <is>
          <t>14 - 41</t>
        </is>
      </c>
      <c r="P228" s="3" t="inlineStr">
        <is>
          <t>0 nháy</t>
        </is>
      </c>
      <c r="Q228" s="3" t="inlineStr">
        <is>
          <t>10 nháy</t>
        </is>
      </c>
    </row>
    <row r="229">
      <c r="A229" s="2" t="n">
        <v>222</v>
      </c>
      <c r="B229" s="2" t="inlineStr">
        <is>
          <t>Thứ sáu ngày 14-08-2026 (Thứ Sáu)</t>
        </is>
      </c>
      <c r="C229" s="3" t="inlineStr">
        <is>
          <t>43</t>
        </is>
      </c>
      <c r="D229" s="3" t="inlineStr">
        <is>
          <t>54</t>
        </is>
      </c>
      <c r="E229" s="3" t="inlineStr">
        <is>
          <t>69</t>
        </is>
      </c>
      <c r="F229" s="3" t="inlineStr">
        <is>
          <t>64</t>
        </is>
      </c>
      <c r="G229" s="3" t="inlineStr">
        <is>
          <t>34569</t>
        </is>
      </c>
      <c r="H229" s="3" t="inlineStr">
        <is>
          <t>T0, T2, T4, T5, T7, T9</t>
        </is>
      </c>
      <c r="I229" s="3" t="inlineStr">
        <is>
          <t>T8-B3</t>
        </is>
      </c>
      <c r="J229" s="3" t="inlineStr">
        <is>
          <t>44 con</t>
        </is>
      </c>
      <c r="K229" s="3" t="inlineStr">
        <is>
          <t>78</t>
        </is>
      </c>
      <c r="L229" s="6" t="inlineStr">
        <is>
          <t>KHÔNG</t>
        </is>
      </c>
      <c r="M229" s="6" t="inlineStr">
        <is>
          <t>KHÔNG</t>
        </is>
      </c>
      <c r="N229" s="6" t="inlineStr">
        <is>
          <t>KHÔNG</t>
        </is>
      </c>
      <c r="O229" s="3" t="inlineStr">
        <is>
          <t>44</t>
        </is>
      </c>
      <c r="P229" s="3" t="inlineStr">
        <is>
          <t>0 nháy</t>
        </is>
      </c>
      <c r="Q229" s="3" t="inlineStr">
        <is>
          <t>9 nháy</t>
        </is>
      </c>
    </row>
    <row r="230">
      <c r="A230" s="2" t="n">
        <v>223</v>
      </c>
      <c r="B230" s="2" t="inlineStr">
        <is>
          <t>Thứ bảy ngày 15-08-2026 (Thứ Bảy)</t>
        </is>
      </c>
      <c r="C230" s="3" t="inlineStr">
        <is>
          <t>33</t>
        </is>
      </c>
      <c r="D230" s="3" t="inlineStr">
        <is>
          <t>66</t>
        </is>
      </c>
      <c r="E230" s="3" t="inlineStr">
        <is>
          <t>52</t>
        </is>
      </c>
      <c r="F230" s="3" t="inlineStr">
        <is>
          <t>04</t>
        </is>
      </c>
      <c r="G230" s="3" t="inlineStr">
        <is>
          <t>023456</t>
        </is>
      </c>
      <c r="H230" s="3" t="inlineStr">
        <is>
          <t>T1, T2, T4, T6, T7, T9</t>
        </is>
      </c>
      <c r="I230" s="3" t="inlineStr">
        <is>
          <t>T7-B2</t>
        </is>
      </c>
      <c r="J230" s="3" t="inlineStr">
        <is>
          <t>51 con</t>
        </is>
      </c>
      <c r="K230" s="3" t="inlineStr">
        <is>
          <t>96</t>
        </is>
      </c>
      <c r="L230" s="7" t="inlineStr">
        <is>
          <t>TRÚNG</t>
        </is>
      </c>
      <c r="M230" s="6" t="inlineStr">
        <is>
          <t>KHÔNG</t>
        </is>
      </c>
      <c r="N230" s="6" t="inlineStr">
        <is>
          <t>KHÔNG</t>
        </is>
      </c>
      <c r="O230" s="3" t="inlineStr">
        <is>
          <t>34 - 43</t>
        </is>
      </c>
      <c r="P230" s="3" t="inlineStr">
        <is>
          <t>0 nháy</t>
        </is>
      </c>
      <c r="Q230" s="3" t="inlineStr">
        <is>
          <t>16 nháy</t>
        </is>
      </c>
    </row>
    <row r="231">
      <c r="A231" s="2" t="n">
        <v>224</v>
      </c>
      <c r="B231" s="2" t="inlineStr">
        <is>
          <t>Chủ nhật ngày 16-08-2026 (Chủ Nhật)</t>
        </is>
      </c>
      <c r="C231" s="3" t="inlineStr">
        <is>
          <t>73</t>
        </is>
      </c>
      <c r="D231" s="3" t="inlineStr">
        <is>
          <t>89</t>
        </is>
      </c>
      <c r="E231" s="3" t="inlineStr">
        <is>
          <t>52</t>
        </is>
      </c>
      <c r="F231" s="3" t="inlineStr">
        <is>
          <t>54</t>
        </is>
      </c>
      <c r="G231" s="3" t="inlineStr">
        <is>
          <t>2345789</t>
        </is>
      </c>
      <c r="H231" s="3" t="inlineStr">
        <is>
          <t>T0, T2, T4, T5, T7, T9</t>
        </is>
      </c>
      <c r="I231" s="3" t="inlineStr">
        <is>
          <t>T1-B6</t>
        </is>
      </c>
      <c r="J231" s="3" t="inlineStr">
        <is>
          <t>55 con</t>
        </is>
      </c>
      <c r="K231" s="3" t="inlineStr">
        <is>
          <t>39</t>
        </is>
      </c>
      <c r="L231" s="7" t="inlineStr">
        <is>
          <t>TRÚNG</t>
        </is>
      </c>
      <c r="M231" s="6" t="inlineStr">
        <is>
          <t>KHÔNG</t>
        </is>
      </c>
      <c r="N231" s="7" t="inlineStr">
        <is>
          <t>TRÚNG</t>
        </is>
      </c>
      <c r="O231" s="3" t="inlineStr">
        <is>
          <t>74 - 47</t>
        </is>
      </c>
      <c r="P231" s="3" t="inlineStr">
        <is>
          <t>1 nháy 🎯</t>
        </is>
      </c>
      <c r="Q231" s="3" t="inlineStr">
        <is>
          <t>13 nháy</t>
        </is>
      </c>
    </row>
    <row r="232">
      <c r="A232" s="2" t="n">
        <v>225</v>
      </c>
      <c r="B232" s="2" t="inlineStr">
        <is>
          <t>Thứ hai ngày 17-08-2026 (Thứ Hai)</t>
        </is>
      </c>
      <c r="C232" s="3" t="inlineStr">
        <is>
          <t>89</t>
        </is>
      </c>
      <c r="D232" s="3" t="inlineStr">
        <is>
          <t>61</t>
        </is>
      </c>
      <c r="E232" s="3" t="inlineStr">
        <is>
          <t>76</t>
        </is>
      </c>
      <c r="F232" s="3" t="inlineStr">
        <is>
          <t>71</t>
        </is>
      </c>
      <c r="G232" s="3" t="inlineStr">
        <is>
          <t>16789</t>
        </is>
      </c>
      <c r="H232" s="3" t="inlineStr">
        <is>
          <t>T2, T3, T7, T8</t>
        </is>
      </c>
      <c r="I232" s="3" t="inlineStr">
        <is>
          <t>T9-B4</t>
        </is>
      </c>
      <c r="J232" s="3" t="inlineStr">
        <is>
          <t>29 con</t>
        </is>
      </c>
      <c r="K232" s="3" t="inlineStr">
        <is>
          <t>83</t>
        </is>
      </c>
      <c r="L232" s="7" t="inlineStr">
        <is>
          <t>TRÚNG</t>
        </is>
      </c>
      <c r="M232" s="6" t="inlineStr">
        <is>
          <t>KHÔNG</t>
        </is>
      </c>
      <c r="N232" s="6" t="inlineStr">
        <is>
          <t>KHÔNG</t>
        </is>
      </c>
      <c r="O232" s="3" t="inlineStr">
        <is>
          <t>81 - 18</t>
        </is>
      </c>
      <c r="P232" s="3" t="inlineStr">
        <is>
          <t>0 nháy</t>
        </is>
      </c>
      <c r="Q232" s="3" t="inlineStr">
        <is>
          <t>7 nháy</t>
        </is>
      </c>
    </row>
    <row r="233">
      <c r="A233" s="2" t="n">
        <v>226</v>
      </c>
      <c r="B233" s="2" t="inlineStr">
        <is>
          <t>Thứ ba ngày 18-08-2026 (Thứ Ba)</t>
        </is>
      </c>
      <c r="C233" s="3" t="inlineStr">
        <is>
          <t>51</t>
        </is>
      </c>
      <c r="D233" s="3" t="inlineStr">
        <is>
          <t>04</t>
        </is>
      </c>
      <c r="E233" s="3" t="inlineStr">
        <is>
          <t>92</t>
        </is>
      </c>
      <c r="F233" s="3" t="inlineStr">
        <is>
          <t>13</t>
        </is>
      </c>
      <c r="G233" s="3" t="inlineStr">
        <is>
          <t>0123459</t>
        </is>
      </c>
      <c r="H233" s="3" t="inlineStr">
        <is>
          <t>T1, T4, T6, T9</t>
        </is>
      </c>
      <c r="I233" s="3" t="inlineStr">
        <is>
          <t>T8-B3</t>
        </is>
      </c>
      <c r="J233" s="3" t="inlineStr">
        <is>
          <t>36 con</t>
        </is>
      </c>
      <c r="K233" s="3" t="inlineStr">
        <is>
          <t>43</t>
        </is>
      </c>
      <c r="L233" s="7" t="inlineStr">
        <is>
          <t>TRÚNG</t>
        </is>
      </c>
      <c r="M233" s="6" t="inlineStr">
        <is>
          <t>KHÔNG</t>
        </is>
      </c>
      <c r="N233" s="6" t="inlineStr">
        <is>
          <t>KHÔNG</t>
        </is>
      </c>
      <c r="O233" s="3" t="inlineStr">
        <is>
          <t>53 - 35</t>
        </is>
      </c>
      <c r="P233" s="3" t="inlineStr">
        <is>
          <t>1 nháy 🎯</t>
        </is>
      </c>
      <c r="Q233" s="3" t="inlineStr">
        <is>
          <t>9 nháy</t>
        </is>
      </c>
    </row>
    <row r="234">
      <c r="A234" s="2" t="n">
        <v>227</v>
      </c>
      <c r="B234" s="2" t="inlineStr">
        <is>
          <t>Thứ tư ngày 19-08-2026 (Thứ Tư)</t>
        </is>
      </c>
      <c r="C234" s="3" t="inlineStr">
        <is>
          <t>19</t>
        </is>
      </c>
      <c r="D234" s="3" t="inlineStr">
        <is>
          <t>11</t>
        </is>
      </c>
      <c r="E234" s="3" t="inlineStr">
        <is>
          <t>73</t>
        </is>
      </c>
      <c r="F234" s="3" t="inlineStr">
        <is>
          <t>54</t>
        </is>
      </c>
      <c r="G234" s="3" t="inlineStr">
        <is>
          <t>134579</t>
        </is>
      </c>
      <c r="H234" s="3" t="inlineStr">
        <is>
          <t>T0, T2, T4, T5, T7, T9</t>
        </is>
      </c>
      <c r="I234" s="3" t="inlineStr">
        <is>
          <t>T5-B0</t>
        </is>
      </c>
      <c r="J234" s="3" t="inlineStr">
        <is>
          <t>51 con</t>
        </is>
      </c>
      <c r="K234" s="3" t="inlineStr">
        <is>
          <t>23</t>
        </is>
      </c>
      <c r="L234" s="7" t="inlineStr">
        <is>
          <t>TRÚNG</t>
        </is>
      </c>
      <c r="M234" s="7" t="inlineStr">
        <is>
          <t>TRÚNG</t>
        </is>
      </c>
      <c r="N234" s="7" t="inlineStr">
        <is>
          <t>TRÚNG</t>
        </is>
      </c>
      <c r="O234" s="3" t="inlineStr">
        <is>
          <t>14 - 41</t>
        </is>
      </c>
      <c r="P234" s="3" t="inlineStr">
        <is>
          <t>0 nháy</t>
        </is>
      </c>
      <c r="Q234" s="3" t="inlineStr">
        <is>
          <t>15 nháy</t>
        </is>
      </c>
    </row>
    <row r="235">
      <c r="A235" s="2" t="n">
        <v>228</v>
      </c>
      <c r="B235" s="2" t="inlineStr">
        <is>
          <t>Thứ năm ngày 20-08-2026 (Thứ Năm)</t>
        </is>
      </c>
      <c r="C235" s="3" t="inlineStr">
        <is>
          <t>88</t>
        </is>
      </c>
      <c r="D235" s="3" t="inlineStr">
        <is>
          <t>34</t>
        </is>
      </c>
      <c r="E235" s="3" t="inlineStr">
        <is>
          <t>47</t>
        </is>
      </c>
      <c r="F235" s="3" t="inlineStr">
        <is>
          <t>00</t>
        </is>
      </c>
      <c r="G235" s="3" t="inlineStr">
        <is>
          <t>03478</t>
        </is>
      </c>
      <c r="H235" s="3" t="inlineStr">
        <is>
          <t>T0, T1, T2, T5, T6, T7</t>
        </is>
      </c>
      <c r="I235" s="3" t="inlineStr">
        <is>
          <t>T8-B3</t>
        </is>
      </c>
      <c r="J235" s="3" t="inlineStr">
        <is>
          <t>43 con</t>
        </is>
      </c>
      <c r="K235" s="3" t="inlineStr">
        <is>
          <t>33</t>
        </is>
      </c>
      <c r="L235" s="7" t="inlineStr">
        <is>
          <t>TRÚNG</t>
        </is>
      </c>
      <c r="M235" s="6" t="inlineStr">
        <is>
          <t>KHÔNG</t>
        </is>
      </c>
      <c r="N235" s="7" t="inlineStr">
        <is>
          <t>TRÚNG</t>
        </is>
      </c>
      <c r="O235" s="3" t="inlineStr">
        <is>
          <t>80 - 08</t>
        </is>
      </c>
      <c r="P235" s="3" t="inlineStr">
        <is>
          <t>1 nháy 🎯</t>
        </is>
      </c>
      <c r="Q235" s="3" t="inlineStr">
        <is>
          <t>9 nháy</t>
        </is>
      </c>
    </row>
    <row r="236">
      <c r="A236" s="2" t="n">
        <v>229</v>
      </c>
      <c r="B236" s="2" t="inlineStr">
        <is>
          <t>Thứ sáu ngày 21-08-2026 (Thứ Sáu)</t>
        </is>
      </c>
      <c r="C236" s="3" t="inlineStr">
        <is>
          <t>95</t>
        </is>
      </c>
      <c r="D236" s="3" t="inlineStr">
        <is>
          <t>35</t>
        </is>
      </c>
      <c r="E236" s="3" t="inlineStr">
        <is>
          <t>99</t>
        </is>
      </c>
      <c r="F236" s="3" t="inlineStr">
        <is>
          <t>67</t>
        </is>
      </c>
      <c r="G236" s="3" t="inlineStr">
        <is>
          <t>35679</t>
        </is>
      </c>
      <c r="H236" s="3" t="inlineStr">
        <is>
          <t>T3, T4, T8, T9</t>
        </is>
      </c>
      <c r="I236" s="3" t="inlineStr">
        <is>
          <t>T6-B1</t>
        </is>
      </c>
      <c r="J236" s="3" t="inlineStr">
        <is>
          <t>30 con</t>
        </is>
      </c>
      <c r="K236" s="3" t="inlineStr">
        <is>
          <t>13</t>
        </is>
      </c>
      <c r="L236" s="7" t="inlineStr">
        <is>
          <t>TRÚNG</t>
        </is>
      </c>
      <c r="M236" s="6" t="inlineStr">
        <is>
          <t>KHÔNG</t>
        </is>
      </c>
      <c r="N236" s="7" t="inlineStr">
        <is>
          <t>TRÚNG</t>
        </is>
      </c>
      <c r="O236" s="3" t="inlineStr">
        <is>
          <t>97 - 79</t>
        </is>
      </c>
      <c r="P236" s="3" t="inlineStr">
        <is>
          <t>0 nháy</t>
        </is>
      </c>
      <c r="Q236" s="3" t="inlineStr">
        <is>
          <t>12 nháy</t>
        </is>
      </c>
    </row>
    <row r="237">
      <c r="A237" s="2" t="n">
        <v>230</v>
      </c>
      <c r="B237" s="2" t="inlineStr">
        <is>
          <t>Thứ bảy ngày 22-08-2026 (Thứ Bảy)</t>
        </is>
      </c>
      <c r="C237" s="3" t="inlineStr">
        <is>
          <t>26</t>
        </is>
      </c>
      <c r="D237" s="3" t="inlineStr">
        <is>
          <t>09</t>
        </is>
      </c>
      <c r="E237" s="3" t="inlineStr">
        <is>
          <t>06</t>
        </is>
      </c>
      <c r="F237" s="3" t="inlineStr">
        <is>
          <t>64</t>
        </is>
      </c>
      <c r="G237" s="3" t="inlineStr">
        <is>
          <t>02469</t>
        </is>
      </c>
      <c r="H237" s="3" t="inlineStr">
        <is>
          <t>T0, T1, T3, T4, T5, T6, T8, T9</t>
        </is>
      </c>
      <c r="I237" s="3" t="inlineStr">
        <is>
          <t>T6-B1</t>
        </is>
      </c>
      <c r="J237" s="3" t="inlineStr">
        <is>
          <t>58 con</t>
        </is>
      </c>
      <c r="K237" s="3" t="inlineStr">
        <is>
          <t>38</t>
        </is>
      </c>
      <c r="L237" s="6" t="inlineStr">
        <is>
          <t>KHÔNG</t>
        </is>
      </c>
      <c r="M237" s="7" t="inlineStr">
        <is>
          <t>TRÚNG</t>
        </is>
      </c>
      <c r="N237" s="6" t="inlineStr">
        <is>
          <t>KHÔNG</t>
        </is>
      </c>
      <c r="O237" s="3" t="inlineStr">
        <is>
          <t>24 - 42</t>
        </is>
      </c>
      <c r="P237" s="3" t="inlineStr">
        <is>
          <t>2 nháy 🎯</t>
        </is>
      </c>
      <c r="Q237" s="3" t="inlineStr">
        <is>
          <t>15 nháy</t>
        </is>
      </c>
    </row>
    <row r="238">
      <c r="A238" s="2" t="n">
        <v>231</v>
      </c>
      <c r="B238" s="2" t="inlineStr">
        <is>
          <t>Chủ nhật ngày 23-08-2026 (Chủ Nhật)</t>
        </is>
      </c>
      <c r="C238" s="3" t="inlineStr">
        <is>
          <t>68</t>
        </is>
      </c>
      <c r="D238" s="3" t="inlineStr">
        <is>
          <t>87</t>
        </is>
      </c>
      <c r="E238" s="3" t="inlineStr">
        <is>
          <t>38</t>
        </is>
      </c>
      <c r="F238" s="3" t="inlineStr">
        <is>
          <t>99</t>
        </is>
      </c>
      <c r="G238" s="3" t="inlineStr">
        <is>
          <t>36789</t>
        </is>
      </c>
      <c r="H238" s="3" t="inlineStr">
        <is>
          <t>T0, T1, T3, T4, T5, T6, T8, T9</t>
        </is>
      </c>
      <c r="I238" s="3" t="inlineStr">
        <is>
          <t>T5-B0</t>
        </is>
      </c>
      <c r="J238" s="3" t="inlineStr">
        <is>
          <t>60 con</t>
        </is>
      </c>
      <c r="K238" s="3" t="inlineStr">
        <is>
          <t>17</t>
        </is>
      </c>
      <c r="L238" s="7" t="inlineStr">
        <is>
          <t>TRÚNG</t>
        </is>
      </c>
      <c r="M238" s="6" t="inlineStr">
        <is>
          <t>KHÔNG</t>
        </is>
      </c>
      <c r="N238" s="7" t="inlineStr">
        <is>
          <t>TRÚNG</t>
        </is>
      </c>
      <c r="O238" s="3" t="inlineStr">
        <is>
          <t>69 - 96</t>
        </is>
      </c>
      <c r="P238" s="3" t="inlineStr">
        <is>
          <t>0 nháy</t>
        </is>
      </c>
      <c r="Q238" s="3" t="inlineStr">
        <is>
          <t>19 nháy</t>
        </is>
      </c>
    </row>
    <row r="239">
      <c r="A239" s="2" t="n">
        <v>232</v>
      </c>
      <c r="B239" s="2" t="inlineStr">
        <is>
          <t>Thứ hai ngày 24-08-2026 (Thứ Hai)</t>
        </is>
      </c>
      <c r="C239" s="3" t="inlineStr">
        <is>
          <t>19</t>
        </is>
      </c>
      <c r="D239" s="3" t="inlineStr">
        <is>
          <t>85</t>
        </is>
      </c>
      <c r="E239" s="3" t="inlineStr">
        <is>
          <t>40</t>
        </is>
      </c>
      <c r="F239" s="3" t="inlineStr">
        <is>
          <t>71</t>
        </is>
      </c>
      <c r="G239" s="3" t="inlineStr">
        <is>
          <t>0145789</t>
        </is>
      </c>
      <c r="H239" s="3" t="inlineStr">
        <is>
          <t>T0, T3, T4, T5, T8, T9</t>
        </is>
      </c>
      <c r="I239" s="3" t="inlineStr">
        <is>
          <t>T2-B7</t>
        </is>
      </c>
      <c r="J239" s="3" t="inlineStr">
        <is>
          <t>53 con</t>
        </is>
      </c>
      <c r="K239" s="3" t="inlineStr">
        <is>
          <t>80</t>
        </is>
      </c>
      <c r="L239" s="7" t="inlineStr">
        <is>
          <t>TRÚNG</t>
        </is>
      </c>
      <c r="M239" s="6" t="inlineStr">
        <is>
          <t>KHÔNG</t>
        </is>
      </c>
      <c r="N239" s="7" t="inlineStr">
        <is>
          <t>TRÚNG</t>
        </is>
      </c>
      <c r="O239" s="3" t="inlineStr">
        <is>
          <t>11</t>
        </is>
      </c>
      <c r="P239" s="3" t="inlineStr">
        <is>
          <t>0 nháy</t>
        </is>
      </c>
      <c r="Q239" s="3" t="inlineStr">
        <is>
          <t>14 nháy</t>
        </is>
      </c>
    </row>
    <row r="240">
      <c r="A240" s="2" t="n">
        <v>233</v>
      </c>
      <c r="B240" s="2" t="inlineStr">
        <is>
          <t>Thứ ba ngày 25-08-2026 (Thứ Ba)</t>
        </is>
      </c>
      <c r="C240" s="3" t="inlineStr">
        <is>
          <t>91</t>
        </is>
      </c>
      <c r="D240" s="3" t="inlineStr">
        <is>
          <t>09</t>
        </is>
      </c>
      <c r="E240" s="3" t="inlineStr">
        <is>
          <t>45</t>
        </is>
      </c>
      <c r="F240" s="3" t="inlineStr">
        <is>
          <t>84</t>
        </is>
      </c>
      <c r="G240" s="3" t="inlineStr">
        <is>
          <t>014589</t>
        </is>
      </c>
      <c r="H240" s="3" t="inlineStr">
        <is>
          <t>T0, T2, T4, T5, T7, T9</t>
        </is>
      </c>
      <c r="I240" s="3" t="inlineStr">
        <is>
          <t>T3-B8</t>
        </is>
      </c>
      <c r="J240" s="3" t="inlineStr">
        <is>
          <t>49 con</t>
        </is>
      </c>
      <c r="K240" s="3" t="inlineStr">
        <is>
          <t>61</t>
        </is>
      </c>
      <c r="L240" s="7" t="inlineStr">
        <is>
          <t>TRÚNG</t>
        </is>
      </c>
      <c r="M240" s="6" t="inlineStr">
        <is>
          <t>KHÔNG</t>
        </is>
      </c>
      <c r="N240" s="7" t="inlineStr">
        <is>
          <t>TRÚNG</t>
        </is>
      </c>
      <c r="O240" s="3" t="inlineStr">
        <is>
          <t>94 - 49</t>
        </is>
      </c>
      <c r="P240" s="3" t="inlineStr">
        <is>
          <t>0 nháy</t>
        </is>
      </c>
      <c r="Q240" s="3" t="inlineStr">
        <is>
          <t>15 nháy</t>
        </is>
      </c>
    </row>
    <row r="241">
      <c r="A241" s="2" t="n">
        <v>234</v>
      </c>
      <c r="B241" s="2" t="inlineStr">
        <is>
          <t>Thứ tư ngày 26-08-2026 (Thứ Tư)</t>
        </is>
      </c>
      <c r="C241" s="3" t="inlineStr">
        <is>
          <t>23</t>
        </is>
      </c>
      <c r="D241" s="3" t="inlineStr">
        <is>
          <t>68</t>
        </is>
      </c>
      <c r="E241" s="3" t="inlineStr">
        <is>
          <t>96</t>
        </is>
      </c>
      <c r="F241" s="3" t="inlineStr">
        <is>
          <t>69</t>
        </is>
      </c>
      <c r="G241" s="3" t="inlineStr">
        <is>
          <t>23689</t>
        </is>
      </c>
      <c r="H241" s="3" t="inlineStr">
        <is>
          <t>T0, T4, T5, T9</t>
        </is>
      </c>
      <c r="I241" s="3" t="inlineStr">
        <is>
          <t>T1-B6</t>
        </is>
      </c>
      <c r="J241" s="3" t="inlineStr">
        <is>
          <t>29 con</t>
        </is>
      </c>
      <c r="K241" s="3" t="inlineStr">
        <is>
          <t>45</t>
        </is>
      </c>
      <c r="L241" s="6" t="inlineStr">
        <is>
          <t>KHÔNG</t>
        </is>
      </c>
      <c r="M241" s="6" t="inlineStr">
        <is>
          <t>KHÔNG</t>
        </is>
      </c>
      <c r="N241" s="6" t="inlineStr">
        <is>
          <t>KHÔNG</t>
        </is>
      </c>
      <c r="O241" s="3" t="inlineStr">
        <is>
          <t>29 - 92</t>
        </is>
      </c>
      <c r="P241" s="3" t="inlineStr">
        <is>
          <t>0 nháy</t>
        </is>
      </c>
      <c r="Q241" s="3" t="inlineStr">
        <is>
          <t>9 nháy</t>
        </is>
      </c>
    </row>
    <row r="242">
      <c r="A242" s="2" t="n">
        <v>235</v>
      </c>
      <c r="B242" s="2" t="inlineStr">
        <is>
          <t>Thứ năm ngày 27-08-2026 (Thứ Năm)</t>
        </is>
      </c>
      <c r="C242" s="3" t="inlineStr">
        <is>
          <t>03</t>
        </is>
      </c>
      <c r="D242" s="3" t="inlineStr">
        <is>
          <t>86</t>
        </is>
      </c>
      <c r="E242" s="3" t="inlineStr">
        <is>
          <t>61</t>
        </is>
      </c>
      <c r="F242" s="3" t="inlineStr">
        <is>
          <t>71</t>
        </is>
      </c>
      <c r="G242" s="3" t="inlineStr">
        <is>
          <t>013678</t>
        </is>
      </c>
      <c r="H242" s="3" t="inlineStr">
        <is>
          <t>T2, T3, T4, T7, T8, T9</t>
        </is>
      </c>
      <c r="I242" s="3" t="inlineStr">
        <is>
          <t>T1-B6</t>
        </is>
      </c>
      <c r="J242" s="3" t="inlineStr">
        <is>
          <t>49 con</t>
        </is>
      </c>
      <c r="K242" s="3" t="inlineStr">
        <is>
          <t>68</t>
        </is>
      </c>
      <c r="L242" s="7" t="inlineStr">
        <is>
          <t>TRÚNG</t>
        </is>
      </c>
      <c r="M242" s="6" t="inlineStr">
        <is>
          <t>KHÔNG</t>
        </is>
      </c>
      <c r="N242" s="7" t="inlineStr">
        <is>
          <t>TRÚNG</t>
        </is>
      </c>
      <c r="O242" s="3" t="inlineStr">
        <is>
          <t>01 - 10</t>
        </is>
      </c>
      <c r="P242" s="3" t="inlineStr">
        <is>
          <t>0 nháy</t>
        </is>
      </c>
      <c r="Q242" s="3" t="inlineStr">
        <is>
          <t>12 nháy</t>
        </is>
      </c>
    </row>
    <row r="243">
      <c r="A243" s="2" t="n">
        <v>236</v>
      </c>
      <c r="B243" s="2" t="inlineStr">
        <is>
          <t>Thứ sáu ngày 28-08-2026 (Thứ Sáu)</t>
        </is>
      </c>
      <c r="C243" s="3" t="inlineStr">
        <is>
          <t>96</t>
        </is>
      </c>
      <c r="D243" s="3" t="inlineStr">
        <is>
          <t>59</t>
        </is>
      </c>
      <c r="E243" s="3" t="inlineStr">
        <is>
          <t>82</t>
        </is>
      </c>
      <c r="F243" s="3" t="inlineStr">
        <is>
          <t>07</t>
        </is>
      </c>
      <c r="G243" s="3" t="inlineStr">
        <is>
          <t>0256789</t>
        </is>
      </c>
      <c r="H243" s="3" t="inlineStr">
        <is>
          <t>T0, T2, T4, T5, T7, T9</t>
        </is>
      </c>
      <c r="I243" s="3" t="inlineStr">
        <is>
          <t>T6-B1</t>
        </is>
      </c>
      <c r="J243" s="3" t="inlineStr">
        <is>
          <t>53 con</t>
        </is>
      </c>
      <c r="K243" s="3" t="inlineStr">
        <is>
          <t>37</t>
        </is>
      </c>
      <c r="L243" s="7" t="inlineStr">
        <is>
          <t>TRÚNG</t>
        </is>
      </c>
      <c r="M243" s="6" t="inlineStr">
        <is>
          <t>KHÔNG</t>
        </is>
      </c>
      <c r="N243" s="7" t="inlineStr">
        <is>
          <t>TRÚNG</t>
        </is>
      </c>
      <c r="O243" s="3" t="inlineStr">
        <is>
          <t>97 - 79</t>
        </is>
      </c>
      <c r="P243" s="3" t="inlineStr">
        <is>
          <t>0 nháy</t>
        </is>
      </c>
      <c r="Q243" s="3" t="inlineStr">
        <is>
          <t>11 nháy</t>
        </is>
      </c>
    </row>
    <row r="244">
      <c r="A244" s="2" t="n">
        <v>237</v>
      </c>
      <c r="B244" s="2" t="inlineStr">
        <is>
          <t>Thứ bảy ngày 29-08-2026 (Thứ Bảy)</t>
        </is>
      </c>
      <c r="C244" s="3" t="inlineStr">
        <is>
          <t>62</t>
        </is>
      </c>
      <c r="D244" s="3" t="inlineStr">
        <is>
          <t>43</t>
        </is>
      </c>
      <c r="E244" s="3" t="inlineStr">
        <is>
          <t>34</t>
        </is>
      </c>
      <c r="F244" s="3" t="inlineStr">
        <is>
          <t>01</t>
        </is>
      </c>
      <c r="G244" s="3" t="inlineStr">
        <is>
          <t>012346</t>
        </is>
      </c>
      <c r="H244" s="3" t="inlineStr">
        <is>
          <t>T1, T2, T3, T6, T7, T8</t>
        </is>
      </c>
      <c r="I244" s="3" t="inlineStr">
        <is>
          <t>T7-B2</t>
        </is>
      </c>
      <c r="J244" s="3" t="inlineStr">
        <is>
          <t>50 con</t>
        </is>
      </c>
      <c r="K244" s="3" t="inlineStr">
        <is>
          <t>72</t>
        </is>
      </c>
      <c r="L244" s="7" t="inlineStr">
        <is>
          <t>TRÚNG</t>
        </is>
      </c>
      <c r="M244" s="6" t="inlineStr">
        <is>
          <t>KHÔNG</t>
        </is>
      </c>
      <c r="N244" s="6" t="inlineStr">
        <is>
          <t>KHÔNG</t>
        </is>
      </c>
      <c r="O244" s="3" t="inlineStr">
        <is>
          <t>61 - 16</t>
        </is>
      </c>
      <c r="P244" s="3" t="inlineStr">
        <is>
          <t>0 nháy</t>
        </is>
      </c>
      <c r="Q244" s="3" t="inlineStr">
        <is>
          <t>16 nháy</t>
        </is>
      </c>
    </row>
    <row r="245">
      <c r="A245" s="2" t="n">
        <v>238</v>
      </c>
      <c r="B245" s="2" t="inlineStr">
        <is>
          <t>Chủ nhật ngày 30-08-2026 (Chủ Nhật)</t>
        </is>
      </c>
      <c r="C245" s="3" t="inlineStr">
        <is>
          <t>66</t>
        </is>
      </c>
      <c r="D245" s="3" t="inlineStr">
        <is>
          <t>21</t>
        </is>
      </c>
      <c r="E245" s="3" t="inlineStr">
        <is>
          <t>34</t>
        </is>
      </c>
      <c r="F245" s="3" t="inlineStr">
        <is>
          <t>78</t>
        </is>
      </c>
      <c r="G245" s="3" t="inlineStr">
        <is>
          <t>1234678</t>
        </is>
      </c>
      <c r="H245" s="3" t="inlineStr">
        <is>
          <t>T0, T2, T3, T5, T7, T8</t>
        </is>
      </c>
      <c r="I245" s="3" t="inlineStr">
        <is>
          <t>T4-B9</t>
        </is>
      </c>
      <c r="J245" s="3" t="inlineStr">
        <is>
          <t>55 con</t>
        </is>
      </c>
      <c r="K245" s="3" t="inlineStr">
        <is>
          <t>44</t>
        </is>
      </c>
      <c r="L245" s="7" t="inlineStr">
        <is>
          <t>TRÚNG</t>
        </is>
      </c>
      <c r="M245" s="6" t="inlineStr">
        <is>
          <t>KHÔNG</t>
        </is>
      </c>
      <c r="N245" s="7" t="inlineStr">
        <is>
          <t>TRÚNG</t>
        </is>
      </c>
      <c r="O245" s="3" t="inlineStr">
        <is>
          <t>68 - 86</t>
        </is>
      </c>
      <c r="P245" s="3" t="inlineStr">
        <is>
          <t>0 nháy</t>
        </is>
      </c>
      <c r="Q245" s="3" t="inlineStr">
        <is>
          <t>20 nháy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0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30" customWidth="1" min="4" max="4"/>
    <col width="30" customWidth="1" min="5" max="5"/>
    <col width="12" customWidth="1" min="6" max="6"/>
    <col width="65" customWidth="1" min="7" max="7"/>
    <col width="19" customWidth="1" min="8" max="8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</t>
        </is>
      </c>
      <c r="D1" s="1" t="inlineStr">
        <is>
          <t>Số Đề (2 số)</t>
        </is>
      </c>
      <c r="E1" s="1" t="inlineStr">
        <is>
          <t>Đầu Đề</t>
        </is>
      </c>
      <c r="F1" s="1" t="inlineStr">
        <is>
          <t>Đuôi Đề</t>
        </is>
      </c>
      <c r="G1" s="1" t="inlineStr">
        <is>
          <t>Dàn Số Dự Đoán (G7 Top 1-3)</t>
        </is>
      </c>
      <c r="H1" s="1" t="inlineStr">
        <is>
          <t>Kết Quả Dự Đoán</t>
        </is>
      </c>
    </row>
    <row r="2">
      <c r="A2" s="2" t="inlineStr">
        <is>
          <t>TỔNG KẾT 2026</t>
        </is>
      </c>
      <c r="B2" s="2" t="inlineStr">
        <is>
          <t>Tổng: 238 Ngày</t>
        </is>
      </c>
      <c r="C2" s="3" t="inlineStr">
        <is>
          <t>Trúng K1: 130 Ngày (54.62%)</t>
        </is>
      </c>
      <c r="D2" s="3" t="inlineStr">
        <is>
          <t>Trúng K2: 208 Ngày (72.5%)</t>
        </is>
      </c>
      <c r="E2" s="3" t="inlineStr">
        <is>
          <t>Trúng K3: 257 Ngày (87.5%)</t>
        </is>
      </c>
      <c r="F2" s="3" t="inlineStr"/>
      <c r="G2" s="3" t="inlineStr">
        <is>
          <t>Dàn 40 Con Số Từ G7 Top 1-3 Ngày Trước</t>
        </is>
      </c>
      <c r="H2" s="3" t="inlineStr"/>
    </row>
    <row r="3">
      <c r="A3" s="2" t="n">
        <v>1</v>
      </c>
      <c r="B3" s="2" t="inlineStr">
        <is>
          <t>Thứ năm ngày 01-01-2026</t>
        </is>
      </c>
      <c r="C3" s="3" t="inlineStr">
        <is>
          <t>45748</t>
        </is>
      </c>
      <c r="D3" s="3" t="inlineStr">
        <is>
          <t>48</t>
        </is>
      </c>
      <c r="E3" s="3" t="inlineStr">
        <is>
          <t>Đầu 4</t>
        </is>
      </c>
      <c r="F3" s="3" t="inlineStr">
        <is>
          <t>Đuôi 8</t>
        </is>
      </c>
      <c r="G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3" s="7" t="inlineStr">
        <is>
          <t>TRÚNG 🎯</t>
        </is>
      </c>
    </row>
    <row r="4">
      <c r="A4" s="2" t="n">
        <v>2</v>
      </c>
      <c r="B4" s="2" t="inlineStr">
        <is>
          <t>Thứ sáu ngày 02-01-2026</t>
        </is>
      </c>
      <c r="C4" s="3" t="inlineStr">
        <is>
          <t>00949</t>
        </is>
      </c>
      <c r="D4" s="3" t="inlineStr">
        <is>
          <t>49</t>
        </is>
      </c>
      <c r="E4" s="3" t="inlineStr">
        <is>
          <t>Đầu 4</t>
        </is>
      </c>
      <c r="F4" s="3" t="inlineStr">
        <is>
          <t>Đuôi 9</t>
        </is>
      </c>
      <c r="G4" s="3" t="inlineStr">
        <is>
          <t>01, 04, 06, 09, 10, 13, 15, 18, 22, 24, 27, 29, 31, 33, 36, 38, 40, 42, 45, 47, 51, 54, 56, 59, 60, 63, 65, 68, 72, 74, 77, 79, 81, 83, 86, 88, 90, 92, 95, 97</t>
        </is>
      </c>
      <c r="H4" s="6" t="inlineStr">
        <is>
          <t>TRƯỢT ❌</t>
        </is>
      </c>
    </row>
    <row r="5">
      <c r="A5" s="2" t="n">
        <v>3</v>
      </c>
      <c r="B5" s="2" t="inlineStr">
        <is>
          <t>Thứ bảy ngày 03-01-2026</t>
        </is>
      </c>
      <c r="C5" s="3" t="inlineStr">
        <is>
          <t>72397</t>
        </is>
      </c>
      <c r="D5" s="3" t="inlineStr">
        <is>
          <t>97</t>
        </is>
      </c>
      <c r="E5" s="3" t="inlineStr">
        <is>
          <t>Đầu 9</t>
        </is>
      </c>
      <c r="F5" s="3" t="inlineStr">
        <is>
          <t>Đuôi 7</t>
        </is>
      </c>
      <c r="G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5" s="7" t="inlineStr">
        <is>
          <t>TRÚNG 🎯</t>
        </is>
      </c>
    </row>
    <row r="6">
      <c r="A6" s="2" t="n">
        <v>4</v>
      </c>
      <c r="B6" s="2" t="inlineStr">
        <is>
          <t>Chủ nhật ngày 04-01-2026</t>
        </is>
      </c>
      <c r="C6" s="3" t="inlineStr">
        <is>
          <t>70505</t>
        </is>
      </c>
      <c r="D6" s="3" t="inlineStr">
        <is>
          <t>05</t>
        </is>
      </c>
      <c r="E6" s="3" t="inlineStr">
        <is>
          <t>Đầu 0</t>
        </is>
      </c>
      <c r="F6" s="3" t="inlineStr">
        <is>
          <t>Đuôi 5</t>
        </is>
      </c>
      <c r="G6" s="3" t="inlineStr">
        <is>
          <t>02, 04, 07, 09, 11, 13, 16, 18, 20, 22, 25, 27, 31, 34, 36, 39, 40, 43, 45, 48, 52, 54, 57, 59, 61, 63, 66, 68, 70, 72, 75, 77, 81, 84, 86, 89, 90, 93, 95, 98</t>
        </is>
      </c>
      <c r="H6" s="6" t="inlineStr">
        <is>
          <t>TRƯỢT ❌</t>
        </is>
      </c>
    </row>
    <row r="7">
      <c r="A7" s="2" t="n">
        <v>5</v>
      </c>
      <c r="B7" s="2" t="inlineStr">
        <is>
          <t>Thứ hai ngày 05-01-2026</t>
        </is>
      </c>
      <c r="C7" s="3" t="inlineStr">
        <is>
          <t>78447</t>
        </is>
      </c>
      <c r="D7" s="3" t="inlineStr">
        <is>
          <t>47</t>
        </is>
      </c>
      <c r="E7" s="3" t="inlineStr">
        <is>
          <t>Đầu 4</t>
        </is>
      </c>
      <c r="F7" s="3" t="inlineStr">
        <is>
          <t>Đuôi 7</t>
        </is>
      </c>
      <c r="G7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7" s="7" t="inlineStr">
        <is>
          <t>TRÚNG 🎯</t>
        </is>
      </c>
    </row>
    <row r="8">
      <c r="A8" s="2" t="n">
        <v>6</v>
      </c>
      <c r="B8" s="2" t="inlineStr">
        <is>
          <t>Thứ ba ngày 06-01-2026</t>
        </is>
      </c>
      <c r="C8" s="3" t="inlineStr">
        <is>
          <t>14389</t>
        </is>
      </c>
      <c r="D8" s="3" t="inlineStr">
        <is>
          <t>89</t>
        </is>
      </c>
      <c r="E8" s="3" t="inlineStr">
        <is>
          <t>Đầu 8</t>
        </is>
      </c>
      <c r="F8" s="3" t="inlineStr">
        <is>
          <t>Đuôi 9</t>
        </is>
      </c>
      <c r="G8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8" s="6" t="inlineStr">
        <is>
          <t>TRƯỢT ❌</t>
        </is>
      </c>
    </row>
    <row r="9">
      <c r="A9" s="2" t="n">
        <v>7</v>
      </c>
      <c r="B9" s="2" t="inlineStr">
        <is>
          <t>Thứ tư ngày 07-01-2026</t>
        </is>
      </c>
      <c r="C9" s="3" t="inlineStr">
        <is>
          <t>40162</t>
        </is>
      </c>
      <c r="D9" s="3" t="inlineStr">
        <is>
          <t>62</t>
        </is>
      </c>
      <c r="E9" s="3" t="inlineStr">
        <is>
          <t>Đầu 6</t>
        </is>
      </c>
      <c r="F9" s="3" t="inlineStr">
        <is>
          <t>Đuôi 2</t>
        </is>
      </c>
      <c r="G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9" s="6" t="inlineStr">
        <is>
          <t>TRƯỢT ❌</t>
        </is>
      </c>
    </row>
    <row r="10">
      <c r="A10" s="2" t="n">
        <v>8</v>
      </c>
      <c r="B10" s="2" t="inlineStr">
        <is>
          <t>Thứ năm ngày 08-01-2026</t>
        </is>
      </c>
      <c r="C10" s="3" t="inlineStr">
        <is>
          <t>39523</t>
        </is>
      </c>
      <c r="D10" s="3" t="inlineStr">
        <is>
          <t>23</t>
        </is>
      </c>
      <c r="E10" s="3" t="inlineStr">
        <is>
          <t>Đầu 2</t>
        </is>
      </c>
      <c r="F10" s="3" t="inlineStr">
        <is>
          <t>Đuôi 3</t>
        </is>
      </c>
      <c r="G10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0" s="7" t="inlineStr">
        <is>
          <t>TRÚNG 🎯</t>
        </is>
      </c>
    </row>
    <row r="11">
      <c r="A11" s="2" t="n">
        <v>9</v>
      </c>
      <c r="B11" s="2" t="inlineStr">
        <is>
          <t>Thứ sáu ngày 09-01-2026</t>
        </is>
      </c>
      <c r="C11" s="3" t="inlineStr">
        <is>
          <t>67793</t>
        </is>
      </c>
      <c r="D11" s="3" t="inlineStr">
        <is>
          <t>93</t>
        </is>
      </c>
      <c r="E11" s="3" t="inlineStr">
        <is>
          <t>Đầu 9</t>
        </is>
      </c>
      <c r="F11" s="3" t="inlineStr">
        <is>
          <t>Đuôi 3</t>
        </is>
      </c>
      <c r="G1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1" s="7" t="inlineStr">
        <is>
          <t>TRÚNG 🎯</t>
        </is>
      </c>
    </row>
    <row r="12">
      <c r="A12" s="2" t="n">
        <v>10</v>
      </c>
      <c r="B12" s="2" t="inlineStr">
        <is>
          <t>Thứ bảy ngày 10-01-2026</t>
        </is>
      </c>
      <c r="C12" s="3" t="inlineStr">
        <is>
          <t>82438</t>
        </is>
      </c>
      <c r="D12" s="3" t="inlineStr">
        <is>
          <t>38</t>
        </is>
      </c>
      <c r="E12" s="3" t="inlineStr">
        <is>
          <t>Đầu 3</t>
        </is>
      </c>
      <c r="F12" s="3" t="inlineStr">
        <is>
          <t>Đuôi 8</t>
        </is>
      </c>
      <c r="G1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2" s="6" t="inlineStr">
        <is>
          <t>TRƯỢT ❌</t>
        </is>
      </c>
    </row>
    <row r="13">
      <c r="A13" s="2" t="n">
        <v>11</v>
      </c>
      <c r="B13" s="2" t="inlineStr">
        <is>
          <t>Chủ nhật ngày 11-01-2026</t>
        </is>
      </c>
      <c r="C13" s="3" t="inlineStr">
        <is>
          <t>31894</t>
        </is>
      </c>
      <c r="D13" s="3" t="inlineStr">
        <is>
          <t>94</t>
        </is>
      </c>
      <c r="E13" s="3" t="inlineStr">
        <is>
          <t>Đầu 9</t>
        </is>
      </c>
      <c r="F13" s="3" t="inlineStr">
        <is>
          <t>Đuôi 4</t>
        </is>
      </c>
      <c r="G13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3" s="6" t="inlineStr">
        <is>
          <t>TRƯỢT ❌</t>
        </is>
      </c>
    </row>
    <row r="14">
      <c r="A14" s="2" t="n">
        <v>12</v>
      </c>
      <c r="B14" s="2" t="inlineStr">
        <is>
          <t>Thứ hai ngày 12-01-2026</t>
        </is>
      </c>
      <c r="C14" s="3" t="inlineStr">
        <is>
          <t>28027</t>
        </is>
      </c>
      <c r="D14" s="3" t="inlineStr">
        <is>
          <t>27</t>
        </is>
      </c>
      <c r="E14" s="3" t="inlineStr">
        <is>
          <t>Đầu 2</t>
        </is>
      </c>
      <c r="F14" s="3" t="inlineStr">
        <is>
          <t>Đuôi 7</t>
        </is>
      </c>
      <c r="G1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4" s="7" t="inlineStr">
        <is>
          <t>TRÚNG 🎯</t>
        </is>
      </c>
    </row>
    <row r="15">
      <c r="A15" s="2" t="n">
        <v>13</v>
      </c>
      <c r="B15" s="2" t="inlineStr">
        <is>
          <t>Thứ ba ngày 13-01-2026</t>
        </is>
      </c>
      <c r="C15" s="3" t="inlineStr">
        <is>
          <t>02817</t>
        </is>
      </c>
      <c r="D15" s="3" t="inlineStr">
        <is>
          <t>17</t>
        </is>
      </c>
      <c r="E15" s="3" t="inlineStr">
        <is>
          <t>Đầu 1</t>
        </is>
      </c>
      <c r="F15" s="3" t="inlineStr">
        <is>
          <t>Đuôi 7</t>
        </is>
      </c>
      <c r="G1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5" s="6" t="inlineStr">
        <is>
          <t>TRƯỢT ❌</t>
        </is>
      </c>
    </row>
    <row r="16">
      <c r="A16" s="2" t="n">
        <v>14</v>
      </c>
      <c r="B16" s="2" t="inlineStr">
        <is>
          <t>Thứ tư ngày 14-01-2026</t>
        </is>
      </c>
      <c r="C16" s="3" t="inlineStr">
        <is>
          <t>84522</t>
        </is>
      </c>
      <c r="D16" s="3" t="inlineStr">
        <is>
          <t>22</t>
        </is>
      </c>
      <c r="E16" s="3" t="inlineStr">
        <is>
          <t>Đầu 2</t>
        </is>
      </c>
      <c r="F16" s="3" t="inlineStr">
        <is>
          <t>Đuôi 2</t>
        </is>
      </c>
      <c r="G16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</t>
        </is>
      </c>
      <c r="H16" s="6" t="inlineStr">
        <is>
          <t>TRƯỢT ❌</t>
        </is>
      </c>
    </row>
    <row r="17">
      <c r="A17" s="2" t="n">
        <v>15</v>
      </c>
      <c r="B17" s="2" t="inlineStr">
        <is>
          <t>Thứ năm ngày 15-01-2026</t>
        </is>
      </c>
      <c r="C17" s="3" t="inlineStr">
        <is>
          <t>90128</t>
        </is>
      </c>
      <c r="D17" s="3" t="inlineStr">
        <is>
          <t>28</t>
        </is>
      </c>
      <c r="E17" s="3" t="inlineStr">
        <is>
          <t>Đầu 2</t>
        </is>
      </c>
      <c r="F17" s="3" t="inlineStr">
        <is>
          <t>Đuôi 8</t>
        </is>
      </c>
      <c r="G17" s="3" t="inlineStr">
        <is>
          <t>00, 03, 05, 08, 12, 14, 17, 19, 21, 23, 26, 28, 30, 32, 35, 37, 41, 44, 46, 49, 50, 53, 55, 58, 62, 64, 67, 69, 71, 73, 76, 78, 80, 82, 85, 87, 91, 94, 96, 99</t>
        </is>
      </c>
      <c r="H17" s="7" t="inlineStr">
        <is>
          <t>TRÚNG 🎯</t>
        </is>
      </c>
    </row>
    <row r="18">
      <c r="A18" s="2" t="n">
        <v>16</v>
      </c>
      <c r="B18" s="2" t="inlineStr">
        <is>
          <t>Thứ sáu ngày 16-01-2026</t>
        </is>
      </c>
      <c r="C18" s="3" t="inlineStr">
        <is>
          <t>09824</t>
        </is>
      </c>
      <c r="D18" s="3" t="inlineStr">
        <is>
          <t>24</t>
        </is>
      </c>
      <c r="E18" s="3" t="inlineStr">
        <is>
          <t>Đầu 2</t>
        </is>
      </c>
      <c r="F18" s="3" t="inlineStr">
        <is>
          <t>Đuôi 4</t>
        </is>
      </c>
      <c r="G1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8" s="7" t="inlineStr">
        <is>
          <t>TRÚNG 🎯</t>
        </is>
      </c>
    </row>
    <row r="19">
      <c r="A19" s="2" t="n">
        <v>17</v>
      </c>
      <c r="B19" s="2" t="inlineStr">
        <is>
          <t>Thứ bảy ngày 17-01-2026</t>
        </is>
      </c>
      <c r="C19" s="3" t="inlineStr">
        <is>
          <t>17151</t>
        </is>
      </c>
      <c r="D19" s="3" t="inlineStr">
        <is>
          <t>51</t>
        </is>
      </c>
      <c r="E19" s="3" t="inlineStr">
        <is>
          <t>Đầu 5</t>
        </is>
      </c>
      <c r="F19" s="3" t="inlineStr">
        <is>
          <t>Đuôi 1</t>
        </is>
      </c>
      <c r="G19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</t>
        </is>
      </c>
      <c r="H19" s="7" t="inlineStr">
        <is>
          <t>TRÚNG 🎯</t>
        </is>
      </c>
    </row>
    <row r="20">
      <c r="A20" s="2" t="n">
        <v>18</v>
      </c>
      <c r="B20" s="2" t="inlineStr">
        <is>
          <t>Chủ nhật ngày 18-01-2026</t>
        </is>
      </c>
      <c r="C20" s="3" t="inlineStr">
        <is>
          <t>88286</t>
        </is>
      </c>
      <c r="D20" s="3" t="inlineStr">
        <is>
          <t>86</t>
        </is>
      </c>
      <c r="E20" s="3" t="inlineStr">
        <is>
          <t>Đầu 8</t>
        </is>
      </c>
      <c r="F20" s="3" t="inlineStr">
        <is>
          <t>Đuôi 6</t>
        </is>
      </c>
      <c r="G20" s="3" t="inlineStr">
        <is>
          <t>02, 03, 07, 08, 11, 12, 16, 17, 20, 21, 25, 26, 30, 34, 35, 39, 43, 44, 48, 49, 52, 53, 57, 58, 61, 62, 66, 67, 70, 71, 75, 76, 80, 84, 85, 89, 93, 94, 98, 99</t>
        </is>
      </c>
      <c r="H20" s="6" t="inlineStr">
        <is>
          <t>TRƯỢT ❌</t>
        </is>
      </c>
    </row>
    <row r="21">
      <c r="A21" s="2" t="n">
        <v>19</v>
      </c>
      <c r="B21" s="2" t="inlineStr">
        <is>
          <t>Thứ hai ngày 19-01-2026</t>
        </is>
      </c>
      <c r="C21" s="3" t="inlineStr">
        <is>
          <t>56878</t>
        </is>
      </c>
      <c r="D21" s="3" t="inlineStr">
        <is>
          <t>78</t>
        </is>
      </c>
      <c r="E21" s="3" t="inlineStr">
        <is>
          <t>Đầu 7</t>
        </is>
      </c>
      <c r="F21" s="3" t="inlineStr">
        <is>
          <t>Đuôi 8</t>
        </is>
      </c>
      <c r="G21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21" s="7" t="inlineStr">
        <is>
          <t>TRÚNG 🎯</t>
        </is>
      </c>
    </row>
    <row r="22">
      <c r="A22" s="2" t="n">
        <v>20</v>
      </c>
      <c r="B22" s="2" t="inlineStr">
        <is>
          <t>Thứ ba ngày 20-01-2026</t>
        </is>
      </c>
      <c r="C22" s="3" t="inlineStr">
        <is>
          <t>06186</t>
        </is>
      </c>
      <c r="D22" s="3" t="inlineStr">
        <is>
          <t>86</t>
        </is>
      </c>
      <c r="E22" s="3" t="inlineStr">
        <is>
          <t>Đầu 8</t>
        </is>
      </c>
      <c r="F22" s="3" t="inlineStr">
        <is>
          <t>Đuôi 6</t>
        </is>
      </c>
      <c r="G22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</t>
        </is>
      </c>
      <c r="H22" s="7" t="inlineStr">
        <is>
          <t>TRÚNG 🎯</t>
        </is>
      </c>
    </row>
    <row r="23">
      <c r="A23" s="2" t="n">
        <v>21</v>
      </c>
      <c r="B23" s="2" t="inlineStr">
        <is>
          <t>Thứ tư ngày 21-01-2026</t>
        </is>
      </c>
      <c r="C23" s="3" t="inlineStr">
        <is>
          <t>84063</t>
        </is>
      </c>
      <c r="D23" s="3" t="inlineStr">
        <is>
          <t>63</t>
        </is>
      </c>
      <c r="E23" s="3" t="inlineStr">
        <is>
          <t>Đầu 6</t>
        </is>
      </c>
      <c r="F23" s="3" t="inlineStr">
        <is>
          <t>Đuôi 3</t>
        </is>
      </c>
      <c r="G23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23" s="6" t="inlineStr">
        <is>
          <t>TRƯỢT ❌</t>
        </is>
      </c>
    </row>
    <row r="24">
      <c r="A24" s="2" t="n">
        <v>22</v>
      </c>
      <c r="B24" s="2" t="inlineStr">
        <is>
          <t>Thứ năm ngày 22-01-2026</t>
        </is>
      </c>
      <c r="C24" s="3" t="inlineStr">
        <is>
          <t>57022</t>
        </is>
      </c>
      <c r="D24" s="3" t="inlineStr">
        <is>
          <t>22</t>
        </is>
      </c>
      <c r="E24" s="3" t="inlineStr">
        <is>
          <t>Đầu 2</t>
        </is>
      </c>
      <c r="F24" s="3" t="inlineStr">
        <is>
          <t>Đuôi 2</t>
        </is>
      </c>
      <c r="G2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4" s="6" t="inlineStr">
        <is>
          <t>TRƯỢT ❌</t>
        </is>
      </c>
    </row>
    <row r="25">
      <c r="A25" s="2" t="n">
        <v>23</v>
      </c>
      <c r="B25" s="2" t="inlineStr">
        <is>
          <t>Thứ sáu ngày 23-01-2026</t>
        </is>
      </c>
      <c r="C25" s="3" t="inlineStr">
        <is>
          <t>52062</t>
        </is>
      </c>
      <c r="D25" s="3" t="inlineStr">
        <is>
          <t>62</t>
        </is>
      </c>
      <c r="E25" s="3" t="inlineStr">
        <is>
          <t>Đầu 6</t>
        </is>
      </c>
      <c r="F25" s="3" t="inlineStr">
        <is>
          <t>Đuôi 2</t>
        </is>
      </c>
      <c r="G25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25" s="6" t="inlineStr">
        <is>
          <t>TRƯỢT ❌</t>
        </is>
      </c>
    </row>
    <row r="26">
      <c r="A26" s="2" t="n">
        <v>24</v>
      </c>
      <c r="B26" s="2" t="inlineStr">
        <is>
          <t>Thứ bảy ngày 24-01-2026</t>
        </is>
      </c>
      <c r="C26" s="3" t="inlineStr">
        <is>
          <t>08230</t>
        </is>
      </c>
      <c r="D26" s="3" t="inlineStr">
        <is>
          <t>30</t>
        </is>
      </c>
      <c r="E26" s="3" t="inlineStr">
        <is>
          <t>Đầu 3</t>
        </is>
      </c>
      <c r="F26" s="3" t="inlineStr">
        <is>
          <t>Đuôi 0</t>
        </is>
      </c>
      <c r="G26" s="3" t="inlineStr">
        <is>
          <t>01, 02, 06, 07, 10, 11, 15, 16, 20, 24, 25, 29, 33, 34, 38, 39, 42, 43, 47, 48, 51, 52, 56, 57, 60, 61, 65, 66, 70, 74, 75, 79, 83, 84, 88, 89, 92, 93, 97, 98</t>
        </is>
      </c>
      <c r="H26" s="6" t="inlineStr">
        <is>
          <t>TRƯỢT ❌</t>
        </is>
      </c>
    </row>
    <row r="27">
      <c r="A27" s="2" t="n">
        <v>25</v>
      </c>
      <c r="B27" s="2" t="inlineStr">
        <is>
          <t>Chủ nhật ngày 25-01-2026</t>
        </is>
      </c>
      <c r="C27" s="3" t="inlineStr">
        <is>
          <t>00974</t>
        </is>
      </c>
      <c r="D27" s="3" t="inlineStr">
        <is>
          <t>74</t>
        </is>
      </c>
      <c r="E27" s="3" t="inlineStr">
        <is>
          <t>Đầu 7</t>
        </is>
      </c>
      <c r="F27" s="3" t="inlineStr">
        <is>
          <t>Đuôi 4</t>
        </is>
      </c>
      <c r="G27" s="3" t="inlineStr">
        <is>
          <t>01, 04, 06, 09, 10, 13, 15, 18, 22, 24, 27, 29, 31, 33, 36, 38, 40, 42, 45, 47, 51, 54, 56, 59, 60, 63, 65, 68, 72, 74, 77, 79, 81, 83, 86, 88, 90, 92, 95, 97</t>
        </is>
      </c>
      <c r="H27" s="7" t="inlineStr">
        <is>
          <t>TRÚNG 🎯</t>
        </is>
      </c>
    </row>
    <row r="28">
      <c r="A28" s="2" t="n">
        <v>26</v>
      </c>
      <c r="B28" s="2" t="inlineStr">
        <is>
          <t>Thứ hai ngày 26-01-2026</t>
        </is>
      </c>
      <c r="C28" s="3" t="inlineStr">
        <is>
          <t>39380</t>
        </is>
      </c>
      <c r="D28" s="3" t="inlineStr">
        <is>
          <t>80</t>
        </is>
      </c>
      <c r="E28" s="3" t="inlineStr">
        <is>
          <t>Đầu 8</t>
        </is>
      </c>
      <c r="F28" s="3" t="inlineStr">
        <is>
          <t>Đuôi 0</t>
        </is>
      </c>
      <c r="G2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8" s="7" t="inlineStr">
        <is>
          <t>TRÚNG 🎯</t>
        </is>
      </c>
    </row>
    <row r="29">
      <c r="A29" s="2" t="n">
        <v>27</v>
      </c>
      <c r="B29" s="2" t="inlineStr">
        <is>
          <t>Thứ ba ngày 27-01-2026</t>
        </is>
      </c>
      <c r="C29" s="3" t="inlineStr">
        <is>
          <t>24121</t>
        </is>
      </c>
      <c r="D29" s="3" t="inlineStr">
        <is>
          <t>21</t>
        </is>
      </c>
      <c r="E29" s="3" t="inlineStr">
        <is>
          <t>Đầu 2</t>
        </is>
      </c>
      <c r="F29" s="3" t="inlineStr">
        <is>
          <t>Đuôi 1</t>
        </is>
      </c>
      <c r="G29" s="3" t="inlineStr">
        <is>
          <t>02, 04, 07, 09, 11, 13, 16, 18, 20, 22, 25, 27, 31, 34, 36, 39, 40, 43, 45, 48, 52, 54, 57, 59, 61, 63, 66, 68, 70, 72, 75, 77, 81, 84, 86, 89, 90, 93, 95, 98</t>
        </is>
      </c>
      <c r="H29" s="6" t="inlineStr">
        <is>
          <t>TRƯỢT ❌</t>
        </is>
      </c>
    </row>
    <row r="30">
      <c r="A30" s="2" t="n">
        <v>28</v>
      </c>
      <c r="B30" s="2" t="inlineStr">
        <is>
          <t>Thứ tư ngày 28-01-2026</t>
        </is>
      </c>
      <c r="C30" s="3" t="inlineStr">
        <is>
          <t>38814</t>
        </is>
      </c>
      <c r="D30" s="3" t="inlineStr">
        <is>
          <t>14</t>
        </is>
      </c>
      <c r="E30" s="3" t="inlineStr">
        <is>
          <t>Đầu 1</t>
        </is>
      </c>
      <c r="F30" s="3" t="inlineStr">
        <is>
          <t>Đuôi 4</t>
        </is>
      </c>
      <c r="G3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30" s="6" t="inlineStr">
        <is>
          <t>TRƯỢT ❌</t>
        </is>
      </c>
    </row>
    <row r="31">
      <c r="A31" s="2" t="n">
        <v>29</v>
      </c>
      <c r="B31" s="2" t="inlineStr">
        <is>
          <t>Thứ năm ngày 29-01-2026</t>
        </is>
      </c>
      <c r="C31" s="3" t="inlineStr">
        <is>
          <t>32845</t>
        </is>
      </c>
      <c r="D31" s="3" t="inlineStr">
        <is>
          <t>45</t>
        </is>
      </c>
      <c r="E31" s="3" t="inlineStr">
        <is>
          <t>Đầu 4</t>
        </is>
      </c>
      <c r="F31" s="3" t="inlineStr">
        <is>
          <t>Đuôi 5</t>
        </is>
      </c>
      <c r="G3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31" s="7" t="inlineStr">
        <is>
          <t>TRÚNG 🎯</t>
        </is>
      </c>
    </row>
    <row r="32">
      <c r="A32" s="2" t="n">
        <v>30</v>
      </c>
      <c r="B32" s="2" t="inlineStr">
        <is>
          <t>Thứ sáu ngày 30-01-2026</t>
        </is>
      </c>
      <c r="C32" s="3" t="inlineStr">
        <is>
          <t>42754</t>
        </is>
      </c>
      <c r="D32" s="3" t="inlineStr">
        <is>
          <t>54</t>
        </is>
      </c>
      <c r="E32" s="3" t="inlineStr">
        <is>
          <t>Đầu 5</t>
        </is>
      </c>
      <c r="F32" s="3" t="inlineStr">
        <is>
          <t>Đuôi 4</t>
        </is>
      </c>
      <c r="G32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32" s="7" t="inlineStr">
        <is>
          <t>TRÚNG 🎯</t>
        </is>
      </c>
    </row>
    <row r="33">
      <c r="A33" s="2" t="n">
        <v>31</v>
      </c>
      <c r="B33" s="2" t="inlineStr">
        <is>
          <t>Thứ bảy ngày 31-01-2026</t>
        </is>
      </c>
      <c r="C33" s="3" t="inlineStr">
        <is>
          <t>01377</t>
        </is>
      </c>
      <c r="D33" s="3" t="inlineStr">
        <is>
          <t>77</t>
        </is>
      </c>
      <c r="E33" s="3" t="inlineStr">
        <is>
          <t>Đầu 7</t>
        </is>
      </c>
      <c r="F33" s="3" t="inlineStr">
        <is>
          <t>Đuôi 7</t>
        </is>
      </c>
      <c r="G3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33" s="7" t="inlineStr">
        <is>
          <t>TRÚNG 🎯</t>
        </is>
      </c>
    </row>
    <row r="34">
      <c r="A34" s="2" t="n">
        <v>32</v>
      </c>
      <c r="B34" s="2" t="inlineStr">
        <is>
          <t>Chủ nhật ngày 01-02-2026</t>
        </is>
      </c>
      <c r="C34" s="3" t="inlineStr">
        <is>
          <t>73461</t>
        </is>
      </c>
      <c r="D34" s="3" t="inlineStr">
        <is>
          <t>61</t>
        </is>
      </c>
      <c r="E34" s="3" t="inlineStr">
        <is>
          <t>Đầu 6</t>
        </is>
      </c>
      <c r="F34" s="3" t="inlineStr">
        <is>
          <t>Đuôi 1</t>
        </is>
      </c>
      <c r="G34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34" s="6" t="inlineStr">
        <is>
          <t>TRƯỢT ❌</t>
        </is>
      </c>
    </row>
    <row r="35">
      <c r="A35" s="2" t="n">
        <v>33</v>
      </c>
      <c r="B35" s="2" t="inlineStr">
        <is>
          <t>Thứ hai ngày 02-02-2026</t>
        </is>
      </c>
      <c r="C35" s="3" t="inlineStr">
        <is>
          <t>97648</t>
        </is>
      </c>
      <c r="D35" s="3" t="inlineStr">
        <is>
          <t>48</t>
        </is>
      </c>
      <c r="E35" s="3" t="inlineStr">
        <is>
          <t>Đầu 4</t>
        </is>
      </c>
      <c r="F35" s="3" t="inlineStr">
        <is>
          <t>Đuôi 8</t>
        </is>
      </c>
      <c r="G3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35" s="7" t="inlineStr">
        <is>
          <t>TRÚNG 🎯</t>
        </is>
      </c>
    </row>
    <row r="36">
      <c r="A36" s="2" t="n">
        <v>34</v>
      </c>
      <c r="B36" s="2" t="inlineStr">
        <is>
          <t>Thứ ba ngày 03-02-2026</t>
        </is>
      </c>
      <c r="C36" s="3" t="inlineStr">
        <is>
          <t>06517</t>
        </is>
      </c>
      <c r="D36" s="3" t="inlineStr">
        <is>
          <t>17</t>
        </is>
      </c>
      <c r="E36" s="3" t="inlineStr">
        <is>
          <t>Đầu 1</t>
        </is>
      </c>
      <c r="F36" s="3" t="inlineStr">
        <is>
          <t>Đuôi 7</t>
        </is>
      </c>
      <c r="G36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</t>
        </is>
      </c>
      <c r="H36" s="7" t="inlineStr">
        <is>
          <t>TRÚNG 🎯</t>
        </is>
      </c>
    </row>
    <row r="37">
      <c r="A37" s="2" t="n">
        <v>35</v>
      </c>
      <c r="B37" s="2" t="inlineStr">
        <is>
          <t>Thứ tư ngày 04-02-2026</t>
        </is>
      </c>
      <c r="C37" s="3" t="inlineStr">
        <is>
          <t>10268</t>
        </is>
      </c>
      <c r="D37" s="3" t="inlineStr">
        <is>
          <t>68</t>
        </is>
      </c>
      <c r="E37" s="3" t="inlineStr">
        <is>
          <t>Đầu 6</t>
        </is>
      </c>
      <c r="F37" s="3" t="inlineStr">
        <is>
          <t>Đuôi 8</t>
        </is>
      </c>
      <c r="G37" s="3" t="inlineStr">
        <is>
          <t>01, 03, 06, 08, 10, 12, 15, 17, 21, 24, 26, 29, 30, 33, 35, 38, 42, 44, 47, 49, 51, 53, 56, 58, 60, 62, 65, 67, 71, 74, 76, 79, 80, 83, 85, 88, 92, 94, 97, 99</t>
        </is>
      </c>
      <c r="H37" s="6" t="inlineStr">
        <is>
          <t>TRƯỢT ❌</t>
        </is>
      </c>
    </row>
    <row r="38">
      <c r="A38" s="2" t="n">
        <v>36</v>
      </c>
      <c r="B38" s="2" t="inlineStr">
        <is>
          <t>Thứ năm ngày 05-02-2026</t>
        </is>
      </c>
      <c r="C38" s="3" t="inlineStr">
        <is>
          <t>06133</t>
        </is>
      </c>
      <c r="D38" s="3" t="inlineStr">
        <is>
          <t>33</t>
        </is>
      </c>
      <c r="E38" s="3" t="inlineStr">
        <is>
          <t>Đầu 3</t>
        </is>
      </c>
      <c r="F38" s="3" t="inlineStr">
        <is>
          <t>Đuôi 3</t>
        </is>
      </c>
      <c r="G38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</t>
        </is>
      </c>
      <c r="H38" s="7" t="inlineStr">
        <is>
          <t>TRÚNG 🎯</t>
        </is>
      </c>
    </row>
    <row r="39">
      <c r="A39" s="2" t="n">
        <v>37</v>
      </c>
      <c r="B39" s="2" t="inlineStr">
        <is>
          <t>Thứ sáu ngày 06-02-2026</t>
        </is>
      </c>
      <c r="C39" s="3" t="inlineStr">
        <is>
          <t>38385</t>
        </is>
      </c>
      <c r="D39" s="3" t="inlineStr">
        <is>
          <t>85</t>
        </is>
      </c>
      <c r="E39" s="3" t="inlineStr">
        <is>
          <t>Đầu 8</t>
        </is>
      </c>
      <c r="F39" s="3" t="inlineStr">
        <is>
          <t>Đuôi 5</t>
        </is>
      </c>
      <c r="G3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39" s="6" t="inlineStr">
        <is>
          <t>TRƯỢT ❌</t>
        </is>
      </c>
    </row>
    <row r="40">
      <c r="A40" s="2" t="n">
        <v>38</v>
      </c>
      <c r="B40" s="2" t="inlineStr">
        <is>
          <t>Thứ bảy ngày 07-02-2026</t>
        </is>
      </c>
      <c r="C40" s="3" t="inlineStr">
        <is>
          <t>57977</t>
        </is>
      </c>
      <c r="D40" s="3" t="inlineStr">
        <is>
          <t>77</t>
        </is>
      </c>
      <c r="E40" s="3" t="inlineStr">
        <is>
          <t>Đầu 7</t>
        </is>
      </c>
      <c r="F40" s="3" t="inlineStr">
        <is>
          <t>Đuôi 7</t>
        </is>
      </c>
      <c r="G40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40" s="7" t="inlineStr">
        <is>
          <t>TRÚNG 🎯</t>
        </is>
      </c>
    </row>
    <row r="41">
      <c r="A41" s="2" t="n">
        <v>39</v>
      </c>
      <c r="B41" s="2" t="inlineStr">
        <is>
          <t>Chủ nhật ngày 08-02-2026</t>
        </is>
      </c>
      <c r="C41" s="3" t="inlineStr">
        <is>
          <t>05901</t>
        </is>
      </c>
      <c r="D41" s="3" t="inlineStr">
        <is>
          <t>01</t>
        </is>
      </c>
      <c r="E41" s="3" t="inlineStr">
        <is>
          <t>Đầu 0</t>
        </is>
      </c>
      <c r="F41" s="3" t="inlineStr">
        <is>
          <t>Đuôi 1</t>
        </is>
      </c>
      <c r="G4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41" s="7" t="inlineStr">
        <is>
          <t>TRÚNG 🎯</t>
        </is>
      </c>
    </row>
    <row r="42">
      <c r="A42" s="2" t="n">
        <v>40</v>
      </c>
      <c r="B42" s="2" t="inlineStr">
        <is>
          <t>Thứ hai ngày 09-02-2026</t>
        </is>
      </c>
      <c r="C42" s="3" t="inlineStr">
        <is>
          <t>65390</t>
        </is>
      </c>
      <c r="D42" s="3" t="inlineStr">
        <is>
          <t>90</t>
        </is>
      </c>
      <c r="E42" s="3" t="inlineStr">
        <is>
          <t>Đầu 9</t>
        </is>
      </c>
      <c r="F42" s="3" t="inlineStr">
        <is>
          <t>Đuôi 0</t>
        </is>
      </c>
      <c r="G42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42" s="6" t="inlineStr">
        <is>
          <t>TRƯỢT ❌</t>
        </is>
      </c>
    </row>
    <row r="43">
      <c r="A43" s="2" t="n">
        <v>41</v>
      </c>
      <c r="B43" s="2" t="inlineStr">
        <is>
          <t>Thứ ba ngày 10-02-2026</t>
        </is>
      </c>
      <c r="C43" s="3" t="inlineStr">
        <is>
          <t>20692</t>
        </is>
      </c>
      <c r="D43" s="3" t="inlineStr">
        <is>
          <t>92</t>
        </is>
      </c>
      <c r="E43" s="3" t="inlineStr">
        <is>
          <t>Đầu 9</t>
        </is>
      </c>
      <c r="F43" s="3" t="inlineStr">
        <is>
          <t>Đuôi 2</t>
        </is>
      </c>
      <c r="G4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43" s="6" t="inlineStr">
        <is>
          <t>TRƯỢT ❌</t>
        </is>
      </c>
    </row>
    <row r="44">
      <c r="A44" s="2" t="n">
        <v>42</v>
      </c>
      <c r="B44" s="2" t="inlineStr">
        <is>
          <t>Thứ tư ngày 11-02-2026</t>
        </is>
      </c>
      <c r="C44" s="3" t="inlineStr">
        <is>
          <t>81475</t>
        </is>
      </c>
      <c r="D44" s="3" t="inlineStr">
        <is>
          <t>75</t>
        </is>
      </c>
      <c r="E44" s="3" t="inlineStr">
        <is>
          <t>Đầu 7</t>
        </is>
      </c>
      <c r="F44" s="3" t="inlineStr">
        <is>
          <t>Đuôi 5</t>
        </is>
      </c>
      <c r="G4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44" s="7" t="inlineStr">
        <is>
          <t>TRÚNG 🎯</t>
        </is>
      </c>
    </row>
    <row r="45">
      <c r="A45" s="2" t="n">
        <v>43</v>
      </c>
      <c r="B45" s="2" t="inlineStr">
        <is>
          <t>Thứ năm ngày 12-02-2026</t>
        </is>
      </c>
      <c r="C45" s="3" t="inlineStr">
        <is>
          <t>93177</t>
        </is>
      </c>
      <c r="D45" s="3" t="inlineStr">
        <is>
          <t>77</t>
        </is>
      </c>
      <c r="E45" s="3" t="inlineStr">
        <is>
          <t>Đầu 7</t>
        </is>
      </c>
      <c r="F45" s="3" t="inlineStr">
        <is>
          <t>Đuôi 7</t>
        </is>
      </c>
      <c r="G45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</t>
        </is>
      </c>
      <c r="H45" s="7" t="inlineStr">
        <is>
          <t>TRÚNG 🎯</t>
        </is>
      </c>
    </row>
    <row r="46">
      <c r="A46" s="2" t="n">
        <v>44</v>
      </c>
      <c r="B46" s="2" t="inlineStr">
        <is>
          <t>Thứ sáu ngày 13-02-2026</t>
        </is>
      </c>
      <c r="C46" s="3" t="inlineStr">
        <is>
          <t>90630</t>
        </is>
      </c>
      <c r="D46" s="3" t="inlineStr">
        <is>
          <t>30</t>
        </is>
      </c>
      <c r="E46" s="3" t="inlineStr">
        <is>
          <t>Đầu 3</t>
        </is>
      </c>
      <c r="F46" s="3" t="inlineStr">
        <is>
          <t>Đuôi 0</t>
        </is>
      </c>
      <c r="G4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46" s="6" t="inlineStr">
        <is>
          <t>TRƯỢT ❌</t>
        </is>
      </c>
    </row>
    <row r="47">
      <c r="A47" s="2" t="n">
        <v>45</v>
      </c>
      <c r="B47" s="2" t="inlineStr">
        <is>
          <t>Thứ bảy ngày 14-02-2026</t>
        </is>
      </c>
      <c r="C47" s="3" t="inlineStr">
        <is>
          <t>22601</t>
        </is>
      </c>
      <c r="D47" s="3" t="inlineStr">
        <is>
          <t>01</t>
        </is>
      </c>
      <c r="E47" s="3" t="inlineStr">
        <is>
          <t>Đầu 0</t>
        </is>
      </c>
      <c r="F47" s="3" t="inlineStr">
        <is>
          <t>Đuôi 1</t>
        </is>
      </c>
      <c r="G47" s="3" t="inlineStr">
        <is>
          <t>01, 04, 06, 09, 10, 13, 15, 18, 22, 24, 27, 29, 31, 33, 36, 38, 40, 42, 45, 47, 51, 54, 56, 59, 60, 63, 65, 68, 72, 74, 77, 79, 81, 83, 86, 88, 90, 92, 95, 97</t>
        </is>
      </c>
      <c r="H47" s="7" t="inlineStr">
        <is>
          <t>TRÚNG 🎯</t>
        </is>
      </c>
    </row>
    <row r="48">
      <c r="A48" s="2" t="n">
        <v>46</v>
      </c>
      <c r="B48" s="2" t="inlineStr">
        <is>
          <t>Chủ nhật ngày 15-02-2026</t>
        </is>
      </c>
      <c r="C48" s="3" t="inlineStr">
        <is>
          <t>36481</t>
        </is>
      </c>
      <c r="D48" s="3" t="inlineStr">
        <is>
          <t>81</t>
        </is>
      </c>
      <c r="E48" s="3" t="inlineStr">
        <is>
          <t>Đầu 8</t>
        </is>
      </c>
      <c r="F48" s="3" t="inlineStr">
        <is>
          <t>Đuôi 1</t>
        </is>
      </c>
      <c r="G48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</t>
        </is>
      </c>
      <c r="H48" s="7" t="inlineStr">
        <is>
          <t>TRÚNG 🎯</t>
        </is>
      </c>
    </row>
    <row r="49">
      <c r="A49" s="2" t="n">
        <v>47</v>
      </c>
      <c r="B49" s="2" t="inlineStr">
        <is>
          <t>Thứ sáu ngày 20-02-2026</t>
        </is>
      </c>
      <c r="C49" s="3" t="inlineStr">
        <is>
          <t>44413</t>
        </is>
      </c>
      <c r="D49" s="3" t="inlineStr">
        <is>
          <t>13</t>
        </is>
      </c>
      <c r="E49" s="3" t="inlineStr">
        <is>
          <t>Đầu 1</t>
        </is>
      </c>
      <c r="F49" s="3" t="inlineStr">
        <is>
          <t>Đuôi 3</t>
        </is>
      </c>
      <c r="G49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49" s="7" t="inlineStr">
        <is>
          <t>TRÚNG 🎯</t>
        </is>
      </c>
    </row>
    <row r="50">
      <c r="A50" s="2" t="n">
        <v>48</v>
      </c>
      <c r="B50" s="2" t="inlineStr">
        <is>
          <t>Thứ bảy ngày 21-02-2026</t>
        </is>
      </c>
      <c r="C50" s="3" t="inlineStr">
        <is>
          <t>64512</t>
        </is>
      </c>
      <c r="D50" s="3" t="inlineStr">
        <is>
          <t>12</t>
        </is>
      </c>
      <c r="E50" s="3" t="inlineStr">
        <is>
          <t>Đầu 1</t>
        </is>
      </c>
      <c r="F50" s="3" t="inlineStr">
        <is>
          <t>Đuôi 2</t>
        </is>
      </c>
      <c r="G50" s="3" t="inlineStr">
        <is>
          <t>00, 04, 05, 09, 13, 14, 18, 19, 22, 23, 27, 28, 31, 32, 36, 37, 40, 41, 45, 46, 50, 54, 55, 59, 63, 64, 68, 69, 72, 73, 77, 78, 81, 82, 86, 87, 90, 91, 95, 96</t>
        </is>
      </c>
      <c r="H50" s="6" t="inlineStr">
        <is>
          <t>TRƯỢT ❌</t>
        </is>
      </c>
    </row>
    <row r="51">
      <c r="A51" s="2" t="n">
        <v>49</v>
      </c>
      <c r="B51" s="2" t="inlineStr">
        <is>
          <t>Chủ nhật ngày 22-02-2026</t>
        </is>
      </c>
      <c r="C51" s="3" t="inlineStr">
        <is>
          <t>67655</t>
        </is>
      </c>
      <c r="D51" s="3" t="inlineStr">
        <is>
          <t>55</t>
        </is>
      </c>
      <c r="E51" s="3" t="inlineStr">
        <is>
          <t>Đầu 5</t>
        </is>
      </c>
      <c r="F51" s="3" t="inlineStr">
        <is>
          <t>Đuôi 5</t>
        </is>
      </c>
      <c r="G5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51" s="6" t="inlineStr">
        <is>
          <t>TRƯỢT ❌</t>
        </is>
      </c>
    </row>
    <row r="52">
      <c r="A52" s="2" t="n">
        <v>50</v>
      </c>
      <c r="B52" s="2" t="inlineStr">
        <is>
          <t>Thứ hai ngày 23-02-2026</t>
        </is>
      </c>
      <c r="C52" s="3" t="inlineStr">
        <is>
          <t>65037</t>
        </is>
      </c>
      <c r="D52" s="3" t="inlineStr">
        <is>
          <t>37</t>
        </is>
      </c>
      <c r="E52" s="3" t="inlineStr">
        <is>
          <t>Đầu 3</t>
        </is>
      </c>
      <c r="F52" s="3" t="inlineStr">
        <is>
          <t>Đuôi 7</t>
        </is>
      </c>
      <c r="G5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52" s="7" t="inlineStr">
        <is>
          <t>TRÚNG 🎯</t>
        </is>
      </c>
    </row>
    <row r="53">
      <c r="A53" s="2" t="n">
        <v>51</v>
      </c>
      <c r="B53" s="2" t="inlineStr">
        <is>
          <t>Thứ ba ngày 24-02-2026</t>
        </is>
      </c>
      <c r="C53" s="3" t="inlineStr">
        <is>
          <t>48153</t>
        </is>
      </c>
      <c r="D53" s="3" t="inlineStr">
        <is>
          <t>53</t>
        </is>
      </c>
      <c r="E53" s="3" t="inlineStr">
        <is>
          <t>Đầu 5</t>
        </is>
      </c>
      <c r="F53" s="3" t="inlineStr">
        <is>
          <t>Đuôi 3</t>
        </is>
      </c>
      <c r="G5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53" s="6" t="inlineStr">
        <is>
          <t>TRƯỢT ❌</t>
        </is>
      </c>
    </row>
    <row r="54">
      <c r="A54" s="2" t="n">
        <v>52</v>
      </c>
      <c r="B54" s="2" t="inlineStr">
        <is>
          <t>Thứ tư ngày 25-02-2026</t>
        </is>
      </c>
      <c r="C54" s="3" t="inlineStr">
        <is>
          <t>86408</t>
        </is>
      </c>
      <c r="D54" s="3" t="inlineStr">
        <is>
          <t>08</t>
        </is>
      </c>
      <c r="E54" s="3" t="inlineStr">
        <is>
          <t>Đầu 0</t>
        </is>
      </c>
      <c r="F54" s="3" t="inlineStr">
        <is>
          <t>Đuôi 8</t>
        </is>
      </c>
      <c r="G54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54" s="7" t="inlineStr">
        <is>
          <t>TRÚNG 🎯</t>
        </is>
      </c>
    </row>
    <row r="55">
      <c r="A55" s="2" t="n">
        <v>53</v>
      </c>
      <c r="B55" s="2" t="inlineStr">
        <is>
          <t>Thứ năm ngày 26-02-2026</t>
        </is>
      </c>
      <c r="C55" s="3" t="inlineStr">
        <is>
          <t>13283</t>
        </is>
      </c>
      <c r="D55" s="3" t="inlineStr">
        <is>
          <t>83</t>
        </is>
      </c>
      <c r="E55" s="3" t="inlineStr">
        <is>
          <t>Đầu 8</t>
        </is>
      </c>
      <c r="F55" s="3" t="inlineStr">
        <is>
          <t>Đuôi 3</t>
        </is>
      </c>
      <c r="G55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55" s="7" t="inlineStr">
        <is>
          <t>TRÚNG 🎯</t>
        </is>
      </c>
    </row>
    <row r="56">
      <c r="A56" s="2" t="n">
        <v>54</v>
      </c>
      <c r="B56" s="2" t="inlineStr">
        <is>
          <t>Thứ sáu ngày 27-02-2026</t>
        </is>
      </c>
      <c r="C56" s="3" t="inlineStr">
        <is>
          <t>47891</t>
        </is>
      </c>
      <c r="D56" s="3" t="inlineStr">
        <is>
          <t>91</t>
        </is>
      </c>
      <c r="E56" s="3" t="inlineStr">
        <is>
          <t>Đầu 9</t>
        </is>
      </c>
      <c r="F56" s="3" t="inlineStr">
        <is>
          <t>Đuôi 1</t>
        </is>
      </c>
      <c r="G56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56" s="6" t="inlineStr">
        <is>
          <t>TRƯỢT ❌</t>
        </is>
      </c>
    </row>
    <row r="57">
      <c r="A57" s="2" t="n">
        <v>55</v>
      </c>
      <c r="B57" s="2" t="inlineStr">
        <is>
          <t>Thứ bảy ngày 28-02-2026</t>
        </is>
      </c>
      <c r="C57" s="3" t="inlineStr">
        <is>
          <t>90148</t>
        </is>
      </c>
      <c r="D57" s="3" t="inlineStr">
        <is>
          <t>48</t>
        </is>
      </c>
      <c r="E57" s="3" t="inlineStr">
        <is>
          <t>Đầu 4</t>
        </is>
      </c>
      <c r="F57" s="3" t="inlineStr">
        <is>
          <t>Đuôi 8</t>
        </is>
      </c>
      <c r="G57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57" s="6" t="inlineStr">
        <is>
          <t>TRƯỢT ❌</t>
        </is>
      </c>
    </row>
    <row r="58">
      <c r="A58" s="2" t="n">
        <v>56</v>
      </c>
      <c r="B58" s="2" t="inlineStr">
        <is>
          <t>Chủ nhật ngày 01-03-2026</t>
        </is>
      </c>
      <c r="C58" s="3" t="inlineStr">
        <is>
          <t>75257</t>
        </is>
      </c>
      <c r="D58" s="3" t="inlineStr">
        <is>
          <t>57</t>
        </is>
      </c>
      <c r="E58" s="3" t="inlineStr">
        <is>
          <t>Đầu 5</t>
        </is>
      </c>
      <c r="F58" s="3" t="inlineStr">
        <is>
          <t>Đuôi 7</t>
        </is>
      </c>
      <c r="G58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58" s="6" t="inlineStr">
        <is>
          <t>TRƯỢT ❌</t>
        </is>
      </c>
    </row>
    <row r="59">
      <c r="A59" s="2" t="n">
        <v>57</v>
      </c>
      <c r="B59" s="2" t="inlineStr">
        <is>
          <t>Thứ hai ngày 02-03-2026</t>
        </is>
      </c>
      <c r="C59" s="3" t="inlineStr">
        <is>
          <t>70078</t>
        </is>
      </c>
      <c r="D59" s="3" t="inlineStr">
        <is>
          <t>78</t>
        </is>
      </c>
      <c r="E59" s="3" t="inlineStr">
        <is>
          <t>Đầu 7</t>
        </is>
      </c>
      <c r="F59" s="3" t="inlineStr">
        <is>
          <t>Đuôi 8</t>
        </is>
      </c>
      <c r="G5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59" s="7" t="inlineStr">
        <is>
          <t>TRÚNG 🎯</t>
        </is>
      </c>
    </row>
    <row r="60">
      <c r="A60" s="2" t="n">
        <v>58</v>
      </c>
      <c r="B60" s="2" t="inlineStr">
        <is>
          <t>Thứ ba ngày 03-03-2026</t>
        </is>
      </c>
      <c r="C60" s="3" t="inlineStr">
        <is>
          <t>10619</t>
        </is>
      </c>
      <c r="D60" s="3" t="inlineStr">
        <is>
          <t>19</t>
        </is>
      </c>
      <c r="E60" s="3" t="inlineStr">
        <is>
          <t>Đầu 1</t>
        </is>
      </c>
      <c r="F60" s="3" t="inlineStr">
        <is>
          <t>Đuôi 9</t>
        </is>
      </c>
      <c r="G6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60" s="6" t="inlineStr">
        <is>
          <t>TRƯỢT ❌</t>
        </is>
      </c>
    </row>
    <row r="61">
      <c r="A61" s="2" t="n">
        <v>59</v>
      </c>
      <c r="B61" s="2" t="inlineStr">
        <is>
          <t>Thứ tư ngày 04-03-2026</t>
        </is>
      </c>
      <c r="C61" s="3" t="inlineStr">
        <is>
          <t>16659</t>
        </is>
      </c>
      <c r="D61" s="3" t="inlineStr">
        <is>
          <t>59</t>
        </is>
      </c>
      <c r="E61" s="3" t="inlineStr">
        <is>
          <t>Đầu 5</t>
        </is>
      </c>
      <c r="F61" s="3" t="inlineStr">
        <is>
          <t>Đuôi 9</t>
        </is>
      </c>
      <c r="G61" s="3" t="inlineStr">
        <is>
          <t>00, 03, 05, 08, 12, 14, 17, 19, 21, 23, 26, 28, 30, 32, 35, 37, 41, 44, 46, 49, 50, 53, 55, 58, 62, 64, 67, 69, 71, 73, 76, 78, 80, 82, 85, 87, 91, 94, 96, 99</t>
        </is>
      </c>
      <c r="H61" s="6" t="inlineStr">
        <is>
          <t>TRƯỢT ❌</t>
        </is>
      </c>
    </row>
    <row r="62">
      <c r="A62" s="2" t="n">
        <v>60</v>
      </c>
      <c r="B62" s="2" t="inlineStr">
        <is>
          <t>Thứ năm ngày 05-03-2026</t>
        </is>
      </c>
      <c r="C62" s="3" t="inlineStr">
        <is>
          <t>38249</t>
        </is>
      </c>
      <c r="D62" s="3" t="inlineStr">
        <is>
          <t>49</t>
        </is>
      </c>
      <c r="E62" s="3" t="inlineStr">
        <is>
          <t>Đầu 4</t>
        </is>
      </c>
      <c r="F62" s="3" t="inlineStr">
        <is>
          <t>Đuôi 9</t>
        </is>
      </c>
      <c r="G62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</t>
        </is>
      </c>
      <c r="H62" s="7" t="inlineStr">
        <is>
          <t>TRÚNG 🎯</t>
        </is>
      </c>
    </row>
    <row r="63">
      <c r="A63" s="2" t="n">
        <v>61</v>
      </c>
      <c r="B63" s="2" t="inlineStr">
        <is>
          <t>Thứ sáu ngày 06-03-2026</t>
        </is>
      </c>
      <c r="C63" s="3" t="inlineStr">
        <is>
          <t>51951</t>
        </is>
      </c>
      <c r="D63" s="3" t="inlineStr">
        <is>
          <t>51</t>
        </is>
      </c>
      <c r="E63" s="3" t="inlineStr">
        <is>
          <t>Đầu 5</t>
        </is>
      </c>
      <c r="F63" s="3" t="inlineStr">
        <is>
          <t>Đuôi 1</t>
        </is>
      </c>
      <c r="G63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63" s="7" t="inlineStr">
        <is>
          <t>TRÚNG 🎯</t>
        </is>
      </c>
    </row>
    <row r="64">
      <c r="A64" s="2" t="n">
        <v>62</v>
      </c>
      <c r="B64" s="2" t="inlineStr">
        <is>
          <t>Thứ bảy ngày 07-03-2026</t>
        </is>
      </c>
      <c r="C64" s="3" t="inlineStr">
        <is>
          <t>81336</t>
        </is>
      </c>
      <c r="D64" s="3" t="inlineStr">
        <is>
          <t>36</t>
        </is>
      </c>
      <c r="E64" s="3" t="inlineStr">
        <is>
          <t>Đầu 3</t>
        </is>
      </c>
      <c r="F64" s="3" t="inlineStr">
        <is>
          <t>Đuôi 6</t>
        </is>
      </c>
      <c r="G64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</t>
        </is>
      </c>
      <c r="H64" s="6" t="inlineStr">
        <is>
          <t>TRƯỢT ❌</t>
        </is>
      </c>
    </row>
    <row r="65">
      <c r="A65" s="2" t="n">
        <v>63</v>
      </c>
      <c r="B65" s="2" t="inlineStr">
        <is>
          <t>Chủ nhật ngày 08-03-2026</t>
        </is>
      </c>
      <c r="C65" s="3" t="inlineStr">
        <is>
          <t>90580</t>
        </is>
      </c>
      <c r="D65" s="3" t="inlineStr">
        <is>
          <t>80</t>
        </is>
      </c>
      <c r="E65" s="3" t="inlineStr">
        <is>
          <t>Đầu 8</t>
        </is>
      </c>
      <c r="F65" s="3" t="inlineStr">
        <is>
          <t>Đuôi 0</t>
        </is>
      </c>
      <c r="G65" s="3" t="inlineStr">
        <is>
          <t>01, 04, 06, 09, 10, 13, 15, 18, 22, 24, 27, 29, 31, 33, 36, 38, 40, 42, 45, 47, 51, 54, 56, 59, 60, 63, 65, 68, 72, 74, 77, 79, 81, 83, 86, 88, 90, 92, 95, 97</t>
        </is>
      </c>
      <c r="H65" s="6" t="inlineStr">
        <is>
          <t>TRƯỢT ❌</t>
        </is>
      </c>
    </row>
    <row r="66">
      <c r="A66" s="2" t="n">
        <v>64</v>
      </c>
      <c r="B66" s="2" t="inlineStr">
        <is>
          <t>Thứ hai ngày 09-03-2026</t>
        </is>
      </c>
      <c r="C66" s="3" t="inlineStr">
        <is>
          <t>22342</t>
        </is>
      </c>
      <c r="D66" s="3" t="inlineStr">
        <is>
          <t>42</t>
        </is>
      </c>
      <c r="E66" s="3" t="inlineStr">
        <is>
          <t>Đầu 4</t>
        </is>
      </c>
      <c r="F66" s="3" t="inlineStr">
        <is>
          <t>Đuôi 2</t>
        </is>
      </c>
      <c r="G6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66" s="7" t="inlineStr">
        <is>
          <t>TRÚNG 🎯</t>
        </is>
      </c>
    </row>
    <row r="67">
      <c r="A67" s="2" t="n">
        <v>65</v>
      </c>
      <c r="B67" s="2" t="inlineStr">
        <is>
          <t>Thứ ba ngày 10-03-2026</t>
        </is>
      </c>
      <c r="C67" s="3" t="inlineStr">
        <is>
          <t>30368</t>
        </is>
      </c>
      <c r="D67" s="3" t="inlineStr">
        <is>
          <t>68</t>
        </is>
      </c>
      <c r="E67" s="3" t="inlineStr">
        <is>
          <t>Đầu 6</t>
        </is>
      </c>
      <c r="F67" s="3" t="inlineStr">
        <is>
          <t>Đuôi 8</t>
        </is>
      </c>
      <c r="G67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67" s="7" t="inlineStr">
        <is>
          <t>TRÚNG 🎯</t>
        </is>
      </c>
    </row>
    <row r="68">
      <c r="A68" s="2" t="n">
        <v>66</v>
      </c>
      <c r="B68" s="2" t="inlineStr">
        <is>
          <t>Thứ tư ngày 11-03-2026</t>
        </is>
      </c>
      <c r="C68" s="3" t="inlineStr">
        <is>
          <t>72124</t>
        </is>
      </c>
      <c r="D68" s="3" t="inlineStr">
        <is>
          <t>24</t>
        </is>
      </c>
      <c r="E68" s="3" t="inlineStr">
        <is>
          <t>Đầu 2</t>
        </is>
      </c>
      <c r="F68" s="3" t="inlineStr">
        <is>
          <t>Đuôi 4</t>
        </is>
      </c>
      <c r="G68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</t>
        </is>
      </c>
      <c r="H68" s="7" t="inlineStr">
        <is>
          <t>TRÚNG 🎯</t>
        </is>
      </c>
    </row>
    <row r="69">
      <c r="A69" s="2" t="n">
        <v>67</v>
      </c>
      <c r="B69" s="2" t="inlineStr">
        <is>
          <t>Thứ năm ngày 12-03-2026</t>
        </is>
      </c>
      <c r="C69" s="3" t="inlineStr">
        <is>
          <t>86759</t>
        </is>
      </c>
      <c r="D69" s="3" t="inlineStr">
        <is>
          <t>59</t>
        </is>
      </c>
      <c r="E69" s="3" t="inlineStr">
        <is>
          <t>Đầu 5</t>
        </is>
      </c>
      <c r="F69" s="3" t="inlineStr">
        <is>
          <t>Đuôi 9</t>
        </is>
      </c>
      <c r="G69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69" s="7" t="inlineStr">
        <is>
          <t>TRÚNG 🎯</t>
        </is>
      </c>
    </row>
    <row r="70">
      <c r="A70" s="2" t="n">
        <v>68</v>
      </c>
      <c r="B70" s="2" t="inlineStr">
        <is>
          <t>Thứ sáu ngày 13-03-2026</t>
        </is>
      </c>
      <c r="C70" s="3" t="inlineStr">
        <is>
          <t>56848</t>
        </is>
      </c>
      <c r="D70" s="3" t="inlineStr">
        <is>
          <t>48</t>
        </is>
      </c>
      <c r="E70" s="3" t="inlineStr">
        <is>
          <t>Đầu 4</t>
        </is>
      </c>
      <c r="F70" s="3" t="inlineStr">
        <is>
          <t>Đuôi 8</t>
        </is>
      </c>
      <c r="G70" s="3" t="inlineStr">
        <is>
          <t>01, 04, 06, 09, 10, 13, 15, 18, 22, 24, 27, 29, 31, 33, 36, 38, 40, 42, 45, 47, 51, 54, 56, 59, 60, 63, 65, 68, 72, 74, 77, 79, 81, 83, 86, 88, 90, 92, 95, 97</t>
        </is>
      </c>
      <c r="H70" s="6" t="inlineStr">
        <is>
          <t>TRƯỢT ❌</t>
        </is>
      </c>
    </row>
    <row r="71">
      <c r="A71" s="2" t="n">
        <v>69</v>
      </c>
      <c r="B71" s="2" t="inlineStr">
        <is>
          <t>Thứ bảy ngày 14-03-2026</t>
        </is>
      </c>
      <c r="C71" s="3" t="inlineStr">
        <is>
          <t>01770</t>
        </is>
      </c>
      <c r="D71" s="3" t="inlineStr">
        <is>
          <t>70</t>
        </is>
      </c>
      <c r="E71" s="3" t="inlineStr">
        <is>
          <t>Đầu 7</t>
        </is>
      </c>
      <c r="F71" s="3" t="inlineStr">
        <is>
          <t>Đuôi 0</t>
        </is>
      </c>
      <c r="G7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71" s="7" t="inlineStr">
        <is>
          <t>TRÚNG 🎯</t>
        </is>
      </c>
    </row>
    <row r="72">
      <c r="A72" s="2" t="n">
        <v>70</v>
      </c>
      <c r="B72" s="2" t="inlineStr">
        <is>
          <t>Chủ nhật ngày 15-03-2026</t>
        </is>
      </c>
      <c r="C72" s="3" t="inlineStr">
        <is>
          <t>77552</t>
        </is>
      </c>
      <c r="D72" s="3" t="inlineStr">
        <is>
          <t>52</t>
        </is>
      </c>
      <c r="E72" s="3" t="inlineStr">
        <is>
          <t>Đầu 5</t>
        </is>
      </c>
      <c r="F72" s="3" t="inlineStr">
        <is>
          <t>Đuôi 2</t>
        </is>
      </c>
      <c r="G72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</t>
        </is>
      </c>
      <c r="H72" s="7" t="inlineStr">
        <is>
          <t>TRÚNG 🎯</t>
        </is>
      </c>
    </row>
    <row r="73">
      <c r="A73" s="2" t="n">
        <v>71</v>
      </c>
      <c r="B73" s="2" t="inlineStr">
        <is>
          <t>Thứ hai ngày 16-03-2026</t>
        </is>
      </c>
      <c r="C73" s="3" t="inlineStr">
        <is>
          <t>07969</t>
        </is>
      </c>
      <c r="D73" s="3" t="inlineStr">
        <is>
          <t>69</t>
        </is>
      </c>
      <c r="E73" s="3" t="inlineStr">
        <is>
          <t>Đầu 6</t>
        </is>
      </c>
      <c r="F73" s="3" t="inlineStr">
        <is>
          <t>Đuôi 9</t>
        </is>
      </c>
      <c r="G7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73" s="7" t="inlineStr">
        <is>
          <t>TRÚNG 🎯</t>
        </is>
      </c>
    </row>
    <row r="74">
      <c r="A74" s="2" t="n">
        <v>72</v>
      </c>
      <c r="B74" s="2" t="inlineStr">
        <is>
          <t>Thứ ba ngày 17-03-2026</t>
        </is>
      </c>
      <c r="C74" s="3" t="inlineStr">
        <is>
          <t>25287</t>
        </is>
      </c>
      <c r="D74" s="3" t="inlineStr">
        <is>
          <t>87</t>
        </is>
      </c>
      <c r="E74" s="3" t="inlineStr">
        <is>
          <t>Đầu 8</t>
        </is>
      </c>
      <c r="F74" s="3" t="inlineStr">
        <is>
          <t>Đuôi 7</t>
        </is>
      </c>
      <c r="G74" s="3" t="inlineStr">
        <is>
          <t>02, 04, 07, 09, 11, 13, 16, 18, 20, 22, 25, 27, 31, 34, 36, 39, 40, 43, 45, 48, 52, 54, 57, 59, 61, 63, 66, 68, 70, 72, 75, 77, 81, 84, 86, 89, 90, 93, 95, 98</t>
        </is>
      </c>
      <c r="H74" s="6" t="inlineStr">
        <is>
          <t>TRƯỢT ❌</t>
        </is>
      </c>
    </row>
    <row r="75">
      <c r="A75" s="2" t="n">
        <v>73</v>
      </c>
      <c r="B75" s="2" t="inlineStr">
        <is>
          <t>Thứ tư ngày 18-03-2026</t>
        </is>
      </c>
      <c r="C75" s="3" t="inlineStr">
        <is>
          <t>75495</t>
        </is>
      </c>
      <c r="D75" s="3" t="inlineStr">
        <is>
          <t>95</t>
        </is>
      </c>
      <c r="E75" s="3" t="inlineStr">
        <is>
          <t>Đầu 9</t>
        </is>
      </c>
      <c r="F75" s="3" t="inlineStr">
        <is>
          <t>Đuôi 5</t>
        </is>
      </c>
      <c r="G75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75" s="6" t="inlineStr">
        <is>
          <t>TRƯỢT ❌</t>
        </is>
      </c>
    </row>
    <row r="76">
      <c r="A76" s="2" t="n">
        <v>74</v>
      </c>
      <c r="B76" s="2" t="inlineStr">
        <is>
          <t>Thứ năm ngày 19-03-2026</t>
        </is>
      </c>
      <c r="C76" s="3" t="inlineStr">
        <is>
          <t>81124</t>
        </is>
      </c>
      <c r="D76" s="3" t="inlineStr">
        <is>
          <t>24</t>
        </is>
      </c>
      <c r="E76" s="3" t="inlineStr">
        <is>
          <t>Đầu 2</t>
        </is>
      </c>
      <c r="F76" s="3" t="inlineStr">
        <is>
          <t>Đuôi 4</t>
        </is>
      </c>
      <c r="G7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76" s="7" t="inlineStr">
        <is>
          <t>TRÚNG 🎯</t>
        </is>
      </c>
    </row>
    <row r="77">
      <c r="A77" s="2" t="n">
        <v>75</v>
      </c>
      <c r="B77" s="2" t="inlineStr">
        <is>
          <t>Thứ sáu ngày 20-03-2026</t>
        </is>
      </c>
      <c r="C77" s="3" t="inlineStr">
        <is>
          <t>88594</t>
        </is>
      </c>
      <c r="D77" s="3" t="inlineStr">
        <is>
          <t>94</t>
        </is>
      </c>
      <c r="E77" s="3" t="inlineStr">
        <is>
          <t>Đầu 9</t>
        </is>
      </c>
      <c r="F77" s="3" t="inlineStr">
        <is>
          <t>Đuôi 4</t>
        </is>
      </c>
      <c r="G77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77" s="7" t="inlineStr">
        <is>
          <t>TRÚNG 🎯</t>
        </is>
      </c>
    </row>
    <row r="78">
      <c r="A78" s="2" t="n">
        <v>76</v>
      </c>
      <c r="B78" s="2" t="inlineStr">
        <is>
          <t>Thứ bảy ngày 21-03-2026</t>
        </is>
      </c>
      <c r="C78" s="3" t="inlineStr">
        <is>
          <t>58646</t>
        </is>
      </c>
      <c r="D78" s="3" t="inlineStr">
        <is>
          <t>46</t>
        </is>
      </c>
      <c r="E78" s="3" t="inlineStr">
        <is>
          <t>Đầu 4</t>
        </is>
      </c>
      <c r="F78" s="3" t="inlineStr">
        <is>
          <t>Đuôi 6</t>
        </is>
      </c>
      <c r="G78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</t>
        </is>
      </c>
      <c r="H78" s="7" t="inlineStr">
        <is>
          <t>TRÚNG 🎯</t>
        </is>
      </c>
    </row>
    <row r="79">
      <c r="A79" s="2" t="n">
        <v>77</v>
      </c>
      <c r="B79" s="2" t="inlineStr">
        <is>
          <t>Chủ nhật ngày 22-03-2026</t>
        </is>
      </c>
      <c r="C79" s="3" t="inlineStr">
        <is>
          <t>77514</t>
        </is>
      </c>
      <c r="D79" s="3" t="inlineStr">
        <is>
          <t>14</t>
        </is>
      </c>
      <c r="E79" s="3" t="inlineStr">
        <is>
          <t>Đầu 1</t>
        </is>
      </c>
      <c r="F79" s="3" t="inlineStr">
        <is>
          <t>Đuôi 4</t>
        </is>
      </c>
      <c r="G7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79" s="6" t="inlineStr">
        <is>
          <t>TRƯỢT ❌</t>
        </is>
      </c>
    </row>
    <row r="80">
      <c r="A80" s="2" t="n">
        <v>78</v>
      </c>
      <c r="B80" s="2" t="inlineStr">
        <is>
          <t>Thứ hai ngày 23-03-2026</t>
        </is>
      </c>
      <c r="C80" s="3" t="inlineStr">
        <is>
          <t>03829</t>
        </is>
      </c>
      <c r="D80" s="3" t="inlineStr">
        <is>
          <t>29</t>
        </is>
      </c>
      <c r="E80" s="3" t="inlineStr">
        <is>
          <t>Đầu 2</t>
        </is>
      </c>
      <c r="F80" s="3" t="inlineStr">
        <is>
          <t>Đuôi 9</t>
        </is>
      </c>
      <c r="G80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</t>
        </is>
      </c>
      <c r="H80" s="7" t="inlineStr">
        <is>
          <t>TRÚNG 🎯</t>
        </is>
      </c>
    </row>
    <row r="81">
      <c r="A81" s="2" t="n">
        <v>79</v>
      </c>
      <c r="B81" s="2" t="inlineStr">
        <is>
          <t>Thứ ba ngày 24-03-2026</t>
        </is>
      </c>
      <c r="C81" s="3" t="inlineStr">
        <is>
          <t>53988</t>
        </is>
      </c>
      <c r="D81" s="3" t="inlineStr">
        <is>
          <t>88</t>
        </is>
      </c>
      <c r="E81" s="3" t="inlineStr">
        <is>
          <t>Đầu 8</t>
        </is>
      </c>
      <c r="F81" s="3" t="inlineStr">
        <is>
          <t>Đuôi 8</t>
        </is>
      </c>
      <c r="G81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</t>
        </is>
      </c>
      <c r="H81" s="7" t="inlineStr">
        <is>
          <t>TRÚNG 🎯</t>
        </is>
      </c>
    </row>
    <row r="82">
      <c r="A82" s="2" t="n">
        <v>80</v>
      </c>
      <c r="B82" s="2" t="inlineStr">
        <is>
          <t>Thứ tư ngày 25-03-2026</t>
        </is>
      </c>
      <c r="C82" s="3" t="inlineStr">
        <is>
          <t>44693</t>
        </is>
      </c>
      <c r="D82" s="3" t="inlineStr">
        <is>
          <t>93</t>
        </is>
      </c>
      <c r="E82" s="3" t="inlineStr">
        <is>
          <t>Đầu 9</t>
        </is>
      </c>
      <c r="F82" s="3" t="inlineStr">
        <is>
          <t>Đuôi 3</t>
        </is>
      </c>
      <c r="G82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82" s="6" t="inlineStr">
        <is>
          <t>TRƯỢT ❌</t>
        </is>
      </c>
    </row>
    <row r="83">
      <c r="A83" s="2" t="n">
        <v>81</v>
      </c>
      <c r="B83" s="2" t="inlineStr">
        <is>
          <t>Thứ năm ngày 26-03-2026</t>
        </is>
      </c>
      <c r="C83" s="3" t="inlineStr">
        <is>
          <t>61332</t>
        </is>
      </c>
      <c r="D83" s="3" t="inlineStr">
        <is>
          <t>32</t>
        </is>
      </c>
      <c r="E83" s="3" t="inlineStr">
        <is>
          <t>Đầu 3</t>
        </is>
      </c>
      <c r="F83" s="3" t="inlineStr">
        <is>
          <t>Đuôi 2</t>
        </is>
      </c>
      <c r="G83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</t>
        </is>
      </c>
      <c r="H83" s="7" t="inlineStr">
        <is>
          <t>TRÚNG 🎯</t>
        </is>
      </c>
    </row>
    <row r="84">
      <c r="A84" s="2" t="n">
        <v>82</v>
      </c>
      <c r="B84" s="2" t="inlineStr">
        <is>
          <t>Thứ sáu ngày 27-03-2026</t>
        </is>
      </c>
      <c r="C84" s="3" t="inlineStr">
        <is>
          <t>96422</t>
        </is>
      </c>
      <c r="D84" s="3" t="inlineStr">
        <is>
          <t>22</t>
        </is>
      </c>
      <c r="E84" s="3" t="inlineStr">
        <is>
          <t>Đầu 2</t>
        </is>
      </c>
      <c r="F84" s="3" t="inlineStr">
        <is>
          <t>Đuôi 2</t>
        </is>
      </c>
      <c r="G8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84" s="7" t="inlineStr">
        <is>
          <t>TRÚNG 🎯</t>
        </is>
      </c>
    </row>
    <row r="85">
      <c r="A85" s="2" t="n">
        <v>83</v>
      </c>
      <c r="B85" s="2" t="inlineStr">
        <is>
          <t>Thứ bảy ngày 28-03-2026</t>
        </is>
      </c>
      <c r="C85" s="3" t="inlineStr">
        <is>
          <t>37188</t>
        </is>
      </c>
      <c r="D85" s="3" t="inlineStr">
        <is>
          <t>88</t>
        </is>
      </c>
      <c r="E85" s="3" t="inlineStr">
        <is>
          <t>Đầu 8</t>
        </is>
      </c>
      <c r="F85" s="3" t="inlineStr">
        <is>
          <t>Đuôi 8</t>
        </is>
      </c>
      <c r="G8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85" s="6" t="inlineStr">
        <is>
          <t>TRƯỢT ❌</t>
        </is>
      </c>
    </row>
    <row r="86">
      <c r="A86" s="2" t="n">
        <v>84</v>
      </c>
      <c r="B86" s="2" t="inlineStr">
        <is>
          <t>Chủ nhật ngày 29-03-2026</t>
        </is>
      </c>
      <c r="C86" s="3" t="inlineStr">
        <is>
          <t>64464</t>
        </is>
      </c>
      <c r="D86" s="3" t="inlineStr">
        <is>
          <t>64</t>
        </is>
      </c>
      <c r="E86" s="3" t="inlineStr">
        <is>
          <t>Đầu 6</t>
        </is>
      </c>
      <c r="F86" s="3" t="inlineStr">
        <is>
          <t>Đuôi 4</t>
        </is>
      </c>
      <c r="G86" s="3" t="inlineStr">
        <is>
          <t>01, 04, 06, 09, 10, 13, 15, 18, 22, 24, 27, 29, 31, 33, 36, 38, 40, 42, 45, 47, 51, 54, 56, 59, 60, 63, 65, 68, 72, 74, 77, 79, 81, 83, 86, 88, 90, 92, 95, 97</t>
        </is>
      </c>
      <c r="H86" s="6" t="inlineStr">
        <is>
          <t>TRƯỢT ❌</t>
        </is>
      </c>
    </row>
    <row r="87">
      <c r="A87" s="2" t="n">
        <v>85</v>
      </c>
      <c r="B87" s="2" t="inlineStr">
        <is>
          <t>Thứ hai ngày 30-03-2026</t>
        </is>
      </c>
      <c r="C87" s="3" t="inlineStr">
        <is>
          <t>11591</t>
        </is>
      </c>
      <c r="D87" s="3" t="inlineStr">
        <is>
          <t>91</t>
        </is>
      </c>
      <c r="E87" s="3" t="inlineStr">
        <is>
          <t>Đầu 9</t>
        </is>
      </c>
      <c r="F87" s="3" t="inlineStr">
        <is>
          <t>Đuôi 1</t>
        </is>
      </c>
      <c r="G87" s="3" t="inlineStr">
        <is>
          <t>02, 03, 07, 08, 11, 12, 16, 17, 20, 21, 25, 26, 30, 34, 35, 39, 43, 44, 48, 49, 52, 53, 57, 58, 61, 62, 66, 67, 70, 71, 75, 76, 80, 84, 85, 89, 93, 94, 98, 99</t>
        </is>
      </c>
      <c r="H87" s="6" t="inlineStr">
        <is>
          <t>TRƯỢT ❌</t>
        </is>
      </c>
    </row>
    <row r="88">
      <c r="A88" s="2" t="n">
        <v>86</v>
      </c>
      <c r="B88" s="2" t="inlineStr">
        <is>
          <t>Thứ ba ngày 31-03-2026</t>
        </is>
      </c>
      <c r="C88" s="3" t="inlineStr">
        <is>
          <t>31666</t>
        </is>
      </c>
      <c r="D88" s="3" t="inlineStr">
        <is>
          <t>66</t>
        </is>
      </c>
      <c r="E88" s="3" t="inlineStr">
        <is>
          <t>Đầu 6</t>
        </is>
      </c>
      <c r="F88" s="3" t="inlineStr">
        <is>
          <t>Đuôi 6</t>
        </is>
      </c>
      <c r="G8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88" s="7" t="inlineStr">
        <is>
          <t>TRÚNG 🎯</t>
        </is>
      </c>
    </row>
    <row r="89">
      <c r="A89" s="2" t="n">
        <v>87</v>
      </c>
      <c r="B89" s="2" t="inlineStr">
        <is>
          <t>Thứ tư ngày 01-04-2026</t>
        </is>
      </c>
      <c r="C89" s="3" t="inlineStr">
        <is>
          <t>91267</t>
        </is>
      </c>
      <c r="D89" s="3" t="inlineStr">
        <is>
          <t>67</t>
        </is>
      </c>
      <c r="E89" s="3" t="inlineStr">
        <is>
          <t>Đầu 6</t>
        </is>
      </c>
      <c r="F89" s="3" t="inlineStr">
        <is>
          <t>Đuôi 7</t>
        </is>
      </c>
      <c r="G89" s="3" t="inlineStr">
        <is>
          <t>00, 02, 05, 07, 11, 14, 16, 19, 20, 23, 25, 28, 32, 34, 37, 39, 41, 43, 46, 48, 50, 52, 55, 57, 61, 64, 66, 69, 70, 73, 75, 78, 82, 84, 87, 89, 91, 93, 96, 98</t>
        </is>
      </c>
      <c r="H89" s="6" t="inlineStr">
        <is>
          <t>TRƯỢT ❌</t>
        </is>
      </c>
    </row>
    <row r="90">
      <c r="A90" s="2" t="n">
        <v>88</v>
      </c>
      <c r="B90" s="2" t="inlineStr">
        <is>
          <t>Thứ năm ngày 02-04-2026</t>
        </is>
      </c>
      <c r="C90" s="3" t="inlineStr">
        <is>
          <t>12944</t>
        </is>
      </c>
      <c r="D90" s="3" t="inlineStr">
        <is>
          <t>44</t>
        </is>
      </c>
      <c r="E90" s="3" t="inlineStr">
        <is>
          <t>Đầu 4</t>
        </is>
      </c>
      <c r="F90" s="3" t="inlineStr">
        <is>
          <t>Đuôi 4</t>
        </is>
      </c>
      <c r="G90" s="3" t="inlineStr">
        <is>
          <t>02, 04, 07, 09, 11, 13, 16, 18, 20, 22, 25, 27, 31, 34, 36, 39, 40, 43, 45, 48, 52, 54, 57, 59, 61, 63, 66, 68, 70, 72, 75, 77, 81, 84, 86, 89, 90, 93, 95, 98</t>
        </is>
      </c>
      <c r="H90" s="6" t="inlineStr">
        <is>
          <t>TRƯỢT ❌</t>
        </is>
      </c>
    </row>
    <row r="91">
      <c r="A91" s="2" t="n">
        <v>89</v>
      </c>
      <c r="B91" s="2" t="inlineStr">
        <is>
          <t>Thứ sáu ngày 03-04-2026</t>
        </is>
      </c>
      <c r="C91" s="3" t="inlineStr">
        <is>
          <t>29737</t>
        </is>
      </c>
      <c r="D91" s="3" t="inlineStr">
        <is>
          <t>37</t>
        </is>
      </c>
      <c r="E91" s="3" t="inlineStr">
        <is>
          <t>Đầu 3</t>
        </is>
      </c>
      <c r="F91" s="3" t="inlineStr">
        <is>
          <t>Đuôi 7</t>
        </is>
      </c>
      <c r="G91" s="3" t="inlineStr">
        <is>
          <t>01, 04, 06, 09, 10, 13, 15, 18, 22, 24, 27, 29, 31, 33, 36, 38, 40, 42, 45, 47, 51, 54, 56, 59, 60, 63, 65, 68, 72, 74, 77, 79, 81, 83, 86, 88, 90, 92, 95, 97</t>
        </is>
      </c>
      <c r="H91" s="6" t="inlineStr">
        <is>
          <t>TRƯỢT ❌</t>
        </is>
      </c>
    </row>
    <row r="92">
      <c r="A92" s="2" t="n">
        <v>90</v>
      </c>
      <c r="B92" s="2" t="inlineStr">
        <is>
          <t>Thứ bảy ngày 04-04-2026</t>
        </is>
      </c>
      <c r="C92" s="3" t="inlineStr">
        <is>
          <t>02855</t>
        </is>
      </c>
      <c r="D92" s="3" t="inlineStr">
        <is>
          <t>55</t>
        </is>
      </c>
      <c r="E92" s="3" t="inlineStr">
        <is>
          <t>Đầu 5</t>
        </is>
      </c>
      <c r="F92" s="3" t="inlineStr">
        <is>
          <t>Đuôi 5</t>
        </is>
      </c>
      <c r="G9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92" s="7" t="inlineStr">
        <is>
          <t>TRÚNG 🎯</t>
        </is>
      </c>
    </row>
    <row r="93">
      <c r="A93" s="2" t="n">
        <v>91</v>
      </c>
      <c r="B93" s="2" t="inlineStr">
        <is>
          <t>Chủ nhật ngày 05-04-2026</t>
        </is>
      </c>
      <c r="C93" s="3" t="inlineStr">
        <is>
          <t>76406</t>
        </is>
      </c>
      <c r="D93" s="3" t="inlineStr">
        <is>
          <t>06</t>
        </is>
      </c>
      <c r="E93" s="3" t="inlineStr">
        <is>
          <t>Đầu 0</t>
        </is>
      </c>
      <c r="F93" s="3" t="inlineStr">
        <is>
          <t>Đuôi 6</t>
        </is>
      </c>
      <c r="G93" s="3" t="inlineStr">
        <is>
          <t>00, 02, 05, 07, 11, 14, 16, 19, 20, 23, 25, 28, 32, 34, 37, 39, 41, 43, 46, 48, 50, 52, 55, 57, 61, 64, 66, 69, 70, 73, 75, 78, 82, 84, 87, 89, 91, 93, 96, 98</t>
        </is>
      </c>
      <c r="H93" s="6" t="inlineStr">
        <is>
          <t>TRƯỢT ❌</t>
        </is>
      </c>
    </row>
    <row r="94">
      <c r="A94" s="2" t="n">
        <v>92</v>
      </c>
      <c r="B94" s="2" t="inlineStr">
        <is>
          <t>Thứ hai ngày 06-04-2026</t>
        </is>
      </c>
      <c r="C94" s="3" t="inlineStr">
        <is>
          <t>02382</t>
        </is>
      </c>
      <c r="D94" s="3" t="inlineStr">
        <is>
          <t>82</t>
        </is>
      </c>
      <c r="E94" s="3" t="inlineStr">
        <is>
          <t>Đầu 8</t>
        </is>
      </c>
      <c r="F94" s="3" t="inlineStr">
        <is>
          <t>Đuôi 2</t>
        </is>
      </c>
      <c r="G94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94" s="7" t="inlineStr">
        <is>
          <t>TRÚNG 🎯</t>
        </is>
      </c>
    </row>
    <row r="95">
      <c r="A95" s="2" t="n">
        <v>93</v>
      </c>
      <c r="B95" s="2" t="inlineStr">
        <is>
          <t>Thứ ba ngày 07-04-2026</t>
        </is>
      </c>
      <c r="C95" s="3" t="inlineStr">
        <is>
          <t>27450</t>
        </is>
      </c>
      <c r="D95" s="3" t="inlineStr">
        <is>
          <t>50</t>
        </is>
      </c>
      <c r="E95" s="3" t="inlineStr">
        <is>
          <t>Đầu 5</t>
        </is>
      </c>
      <c r="F95" s="3" t="inlineStr">
        <is>
          <t>Đuôi 0</t>
        </is>
      </c>
      <c r="G95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95" s="6" t="inlineStr">
        <is>
          <t>TRƯỢT ❌</t>
        </is>
      </c>
    </row>
    <row r="96">
      <c r="A96" s="2" t="n">
        <v>94</v>
      </c>
      <c r="B96" s="2" t="inlineStr">
        <is>
          <t>Thứ tư ngày 08-04-2026</t>
        </is>
      </c>
      <c r="C96" s="3" t="inlineStr">
        <is>
          <t>45625</t>
        </is>
      </c>
      <c r="D96" s="3" t="inlineStr">
        <is>
          <t>25</t>
        </is>
      </c>
      <c r="E96" s="3" t="inlineStr">
        <is>
          <t>Đầu 2</t>
        </is>
      </c>
      <c r="F96" s="3" t="inlineStr">
        <is>
          <t>Đuôi 5</t>
        </is>
      </c>
      <c r="G96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96" s="6" t="inlineStr">
        <is>
          <t>TRƯỢT ❌</t>
        </is>
      </c>
    </row>
    <row r="97">
      <c r="A97" s="2" t="n">
        <v>95</v>
      </c>
      <c r="B97" s="2" t="inlineStr">
        <is>
          <t>Thứ năm ngày 09-04-2026</t>
        </is>
      </c>
      <c r="C97" s="3" t="inlineStr">
        <is>
          <t>46120</t>
        </is>
      </c>
      <c r="D97" s="3" t="inlineStr">
        <is>
          <t>20</t>
        </is>
      </c>
      <c r="E97" s="3" t="inlineStr">
        <is>
          <t>Đầu 2</t>
        </is>
      </c>
      <c r="F97" s="3" t="inlineStr">
        <is>
          <t>Đuôi 0</t>
        </is>
      </c>
      <c r="G97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97" s="7" t="inlineStr">
        <is>
          <t>TRÚNG 🎯</t>
        </is>
      </c>
    </row>
    <row r="98">
      <c r="A98" s="2" t="n">
        <v>96</v>
      </c>
      <c r="B98" s="2" t="inlineStr">
        <is>
          <t>Thứ sáu ngày 10-04-2026</t>
        </is>
      </c>
      <c r="C98" s="3" t="inlineStr">
        <is>
          <t>24204</t>
        </is>
      </c>
      <c r="D98" s="3" t="inlineStr">
        <is>
          <t>04</t>
        </is>
      </c>
      <c r="E98" s="3" t="inlineStr">
        <is>
          <t>Đầu 0</t>
        </is>
      </c>
      <c r="F98" s="3" t="inlineStr">
        <is>
          <t>Đuôi 4</t>
        </is>
      </c>
      <c r="G98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98" s="6" t="inlineStr">
        <is>
          <t>TRƯỢT ❌</t>
        </is>
      </c>
    </row>
    <row r="99">
      <c r="A99" s="2" t="n">
        <v>97</v>
      </c>
      <c r="B99" s="2" t="inlineStr">
        <is>
          <t>Thứ bảy ngày 11-04-2026</t>
        </is>
      </c>
      <c r="C99" s="3" t="inlineStr">
        <is>
          <t>12000</t>
        </is>
      </c>
      <c r="D99" s="3" t="inlineStr">
        <is>
          <t>00</t>
        </is>
      </c>
      <c r="E99" s="3" t="inlineStr">
        <is>
          <t>Đầu 0</t>
        </is>
      </c>
      <c r="F99" s="3" t="inlineStr">
        <is>
          <t>Đuôi 0</t>
        </is>
      </c>
      <c r="G99" s="3" t="inlineStr">
        <is>
          <t>02, 03, 07, 08, 11, 12, 16, 17, 20, 21, 25, 26, 30, 34, 35, 39, 43, 44, 48, 49, 52, 53, 57, 58, 61, 62, 66, 67, 70, 71, 75, 76, 80, 84, 85, 89, 93, 94, 98, 99</t>
        </is>
      </c>
      <c r="H99" s="6" t="inlineStr">
        <is>
          <t>TRƯỢT ❌</t>
        </is>
      </c>
    </row>
    <row r="100">
      <c r="A100" s="2" t="n">
        <v>98</v>
      </c>
      <c r="B100" s="2" t="inlineStr">
        <is>
          <t>Chủ nhật ngày 12-04-2026</t>
        </is>
      </c>
      <c r="C100" s="3" t="inlineStr">
        <is>
          <t>22738</t>
        </is>
      </c>
      <c r="D100" s="3" t="inlineStr">
        <is>
          <t>38</t>
        </is>
      </c>
      <c r="E100" s="3" t="inlineStr">
        <is>
          <t>Đầu 3</t>
        </is>
      </c>
      <c r="F100" s="3" t="inlineStr">
        <is>
          <t>Đuôi 8</t>
        </is>
      </c>
      <c r="G100" s="3" t="inlineStr">
        <is>
          <t>02, 04, 07, 09, 11, 13, 16, 18, 20, 22, 25, 27, 31, 34, 36, 39, 40, 43, 45, 48, 52, 54, 57, 59, 61, 63, 66, 68, 70, 72, 75, 77, 81, 84, 86, 89, 90, 93, 95, 98</t>
        </is>
      </c>
      <c r="H100" s="6" t="inlineStr">
        <is>
          <t>TRƯỢT ❌</t>
        </is>
      </c>
    </row>
    <row r="101">
      <c r="A101" s="2" t="n">
        <v>99</v>
      </c>
      <c r="B101" s="2" t="inlineStr">
        <is>
          <t>Thứ hai ngày 13-04-2026</t>
        </is>
      </c>
      <c r="C101" s="3" t="inlineStr">
        <is>
          <t>92763</t>
        </is>
      </c>
      <c r="D101" s="3" t="inlineStr">
        <is>
          <t>63</t>
        </is>
      </c>
      <c r="E101" s="3" t="inlineStr">
        <is>
          <t>Đầu 6</t>
        </is>
      </c>
      <c r="F101" s="3" t="inlineStr">
        <is>
          <t>Đuôi 3</t>
        </is>
      </c>
      <c r="G10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01" s="6" t="inlineStr">
        <is>
          <t>TRƯỢT ❌</t>
        </is>
      </c>
    </row>
    <row r="102">
      <c r="A102" s="2" t="n">
        <v>100</v>
      </c>
      <c r="B102" s="2" t="inlineStr">
        <is>
          <t>Thứ ba ngày 14-04-2026</t>
        </is>
      </c>
      <c r="C102" s="3" t="inlineStr">
        <is>
          <t>03714</t>
        </is>
      </c>
      <c r="D102" s="3" t="inlineStr">
        <is>
          <t>14</t>
        </is>
      </c>
      <c r="E102" s="3" t="inlineStr">
        <is>
          <t>Đầu 1</t>
        </is>
      </c>
      <c r="F102" s="3" t="inlineStr">
        <is>
          <t>Đuôi 4</t>
        </is>
      </c>
      <c r="G10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02" s="6" t="inlineStr">
        <is>
          <t>TRƯỢT ❌</t>
        </is>
      </c>
    </row>
    <row r="103">
      <c r="A103" s="2" t="n">
        <v>101</v>
      </c>
      <c r="B103" s="2" t="inlineStr">
        <is>
          <t>Thứ tư ngày 15-04-2026</t>
        </is>
      </c>
      <c r="C103" s="3" t="inlineStr">
        <is>
          <t>35035</t>
        </is>
      </c>
      <c r="D103" s="3" t="inlineStr">
        <is>
          <t>35</t>
        </is>
      </c>
      <c r="E103" s="3" t="inlineStr">
        <is>
          <t>Đầu 3</t>
        </is>
      </c>
      <c r="F103" s="3" t="inlineStr">
        <is>
          <t>Đuôi 5</t>
        </is>
      </c>
      <c r="G103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03" s="6" t="inlineStr">
        <is>
          <t>TRƯỢT ❌</t>
        </is>
      </c>
    </row>
    <row r="104">
      <c r="A104" s="2" t="n">
        <v>102</v>
      </c>
      <c r="B104" s="2" t="inlineStr">
        <is>
          <t>Thứ năm ngày 16-04-2026</t>
        </is>
      </c>
      <c r="C104" s="3" t="inlineStr">
        <is>
          <t>38455</t>
        </is>
      </c>
      <c r="D104" s="3" t="inlineStr">
        <is>
          <t>55</t>
        </is>
      </c>
      <c r="E104" s="3" t="inlineStr">
        <is>
          <t>Đầu 5</t>
        </is>
      </c>
      <c r="F104" s="3" t="inlineStr">
        <is>
          <t>Đuôi 5</t>
        </is>
      </c>
      <c r="G10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04" s="7" t="inlineStr">
        <is>
          <t>TRÚNG 🎯</t>
        </is>
      </c>
    </row>
    <row r="105">
      <c r="A105" s="2" t="n">
        <v>103</v>
      </c>
      <c r="B105" s="2" t="inlineStr">
        <is>
          <t>Thứ sáu ngày 17-04-2026</t>
        </is>
      </c>
      <c r="C105" s="3" t="inlineStr">
        <is>
          <t>17243</t>
        </is>
      </c>
      <c r="D105" s="3" t="inlineStr">
        <is>
          <t>43</t>
        </is>
      </c>
      <c r="E105" s="3" t="inlineStr">
        <is>
          <t>Đầu 4</t>
        </is>
      </c>
      <c r="F105" s="3" t="inlineStr">
        <is>
          <t>Đuôi 3</t>
        </is>
      </c>
      <c r="G105" s="3" t="inlineStr">
        <is>
          <t>03, 04, 08, 09, 12, 13, 17, 18, 21, 22, 26, 27, 30, 31, 35, 36, 40, 44, 45, 49, 53, 54, 58, 59, 62, 63, 67, 68, 71, 72, 76, 77, 80, 81, 85, 86, 90, 94, 95, 99</t>
        </is>
      </c>
      <c r="H105" s="6" t="inlineStr">
        <is>
          <t>TRƯỢT ❌</t>
        </is>
      </c>
    </row>
    <row r="106">
      <c r="A106" s="2" t="n">
        <v>104</v>
      </c>
      <c r="B106" s="2" t="inlineStr">
        <is>
          <t>Thứ bảy ngày 18-04-2026</t>
        </is>
      </c>
      <c r="C106" s="3" t="inlineStr">
        <is>
          <t>93725</t>
        </is>
      </c>
      <c r="D106" s="3" t="inlineStr">
        <is>
          <t>25</t>
        </is>
      </c>
      <c r="E106" s="3" t="inlineStr">
        <is>
          <t>Đầu 2</t>
        </is>
      </c>
      <c r="F106" s="3" t="inlineStr">
        <is>
          <t>Đuôi 5</t>
        </is>
      </c>
      <c r="G10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06" s="6" t="inlineStr">
        <is>
          <t>TRƯỢT ❌</t>
        </is>
      </c>
    </row>
    <row r="107">
      <c r="A107" s="2" t="n">
        <v>105</v>
      </c>
      <c r="B107" s="2" t="inlineStr">
        <is>
          <t>Chủ nhật ngày 19-04-2026</t>
        </is>
      </c>
      <c r="C107" s="3" t="inlineStr">
        <is>
          <t>74197</t>
        </is>
      </c>
      <c r="D107" s="3" t="inlineStr">
        <is>
          <t>97</t>
        </is>
      </c>
      <c r="E107" s="3" t="inlineStr">
        <is>
          <t>Đầu 9</t>
        </is>
      </c>
      <c r="F107" s="3" t="inlineStr">
        <is>
          <t>Đuôi 7</t>
        </is>
      </c>
      <c r="G107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07" s="6" t="inlineStr">
        <is>
          <t>TRƯỢT ❌</t>
        </is>
      </c>
    </row>
    <row r="108">
      <c r="A108" s="2" t="n">
        <v>106</v>
      </c>
      <c r="B108" s="2" t="inlineStr">
        <is>
          <t>Thứ hai ngày 20-04-2026</t>
        </is>
      </c>
      <c r="C108" s="3" t="inlineStr">
        <is>
          <t>48076</t>
        </is>
      </c>
      <c r="D108" s="3" t="inlineStr">
        <is>
          <t>76</t>
        </is>
      </c>
      <c r="E108" s="3" t="inlineStr">
        <is>
          <t>Đầu 7</t>
        </is>
      </c>
      <c r="F108" s="3" t="inlineStr">
        <is>
          <t>Đuôi 6</t>
        </is>
      </c>
      <c r="G108" s="3" t="inlineStr">
        <is>
          <t>01, 02, 06, 07, 10, 11, 15, 16, 20, 24, 25, 29, 33, 34, 38, 39, 42, 43, 47, 48, 51, 52, 56, 57, 60, 61, 65, 66, 70, 74, 75, 79, 83, 84, 88, 89, 92, 93, 97, 98</t>
        </is>
      </c>
      <c r="H108" s="6" t="inlineStr">
        <is>
          <t>TRƯỢT ❌</t>
        </is>
      </c>
    </row>
    <row r="109">
      <c r="A109" s="2" t="n">
        <v>107</v>
      </c>
      <c r="B109" s="2" t="inlineStr">
        <is>
          <t>Thứ ba ngày 21-04-2026</t>
        </is>
      </c>
      <c r="C109" s="3" t="inlineStr">
        <is>
          <t>36948</t>
        </is>
      </c>
      <c r="D109" s="3" t="inlineStr">
        <is>
          <t>48</t>
        </is>
      </c>
      <c r="E109" s="3" t="inlineStr">
        <is>
          <t>Đầu 4</t>
        </is>
      </c>
      <c r="F109" s="3" t="inlineStr">
        <is>
          <t>Đuôi 8</t>
        </is>
      </c>
      <c r="G109" s="3" t="inlineStr">
        <is>
          <t>04, 09, 13, 18, 22, 27, 31, 36, 40, 45, 54, 59, 63, 68, 72, 77, 81, 86, 90, 95</t>
        </is>
      </c>
      <c r="H109" s="6" t="inlineStr">
        <is>
          <t>TRƯỢT ❌</t>
        </is>
      </c>
    </row>
    <row r="110">
      <c r="A110" s="2" t="n">
        <v>108</v>
      </c>
      <c r="B110" s="2" t="inlineStr">
        <is>
          <t>Thứ tư ngày 22-04-2026</t>
        </is>
      </c>
      <c r="C110" s="3" t="inlineStr">
        <is>
          <t>66239</t>
        </is>
      </c>
      <c r="D110" s="3" t="inlineStr">
        <is>
          <t>39</t>
        </is>
      </c>
      <c r="E110" s="3" t="inlineStr">
        <is>
          <t>Đầu 3</t>
        </is>
      </c>
      <c r="F110" s="3" t="inlineStr">
        <is>
          <t>Đuôi 9</t>
        </is>
      </c>
      <c r="G110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</t>
        </is>
      </c>
      <c r="H110" s="7" t="inlineStr">
        <is>
          <t>TRÚNG 🎯</t>
        </is>
      </c>
    </row>
    <row r="111">
      <c r="A111" s="2" t="n">
        <v>109</v>
      </c>
      <c r="B111" s="2" t="inlineStr">
        <is>
          <t>Thứ năm ngày 23-04-2026</t>
        </is>
      </c>
      <c r="C111" s="3" t="inlineStr">
        <is>
          <t>09876</t>
        </is>
      </c>
      <c r="D111" s="3" t="inlineStr">
        <is>
          <t>76</t>
        </is>
      </c>
      <c r="E111" s="3" t="inlineStr">
        <is>
          <t>Đầu 7</t>
        </is>
      </c>
      <c r="F111" s="3" t="inlineStr">
        <is>
          <t>Đuôi 6</t>
        </is>
      </c>
      <c r="G111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11" s="7" t="inlineStr">
        <is>
          <t>TRÚNG 🎯</t>
        </is>
      </c>
    </row>
    <row r="112">
      <c r="A112" s="2" t="n">
        <v>110</v>
      </c>
      <c r="B112" s="2" t="inlineStr">
        <is>
          <t>Thứ sáu ngày 24-04-2026</t>
        </is>
      </c>
      <c r="C112" s="3" t="inlineStr">
        <is>
          <t>08717</t>
        </is>
      </c>
      <c r="D112" s="3" t="inlineStr">
        <is>
          <t>17</t>
        </is>
      </c>
      <c r="E112" s="3" t="inlineStr">
        <is>
          <t>Đầu 1</t>
        </is>
      </c>
      <c r="F112" s="3" t="inlineStr">
        <is>
          <t>Đuôi 7</t>
        </is>
      </c>
      <c r="G112" s="3" t="inlineStr">
        <is>
          <t>00, 02, 05, 07, 11, 14, 16, 19, 20, 23, 25, 28, 32, 34, 37, 39, 41, 43, 46, 48, 50, 52, 55, 57, 61, 64, 66, 69, 70, 73, 75, 78, 82, 84, 87, 89, 91, 93, 96, 98</t>
        </is>
      </c>
      <c r="H112" s="6" t="inlineStr">
        <is>
          <t>TRƯỢT ❌</t>
        </is>
      </c>
    </row>
    <row r="113">
      <c r="A113" s="2" t="n">
        <v>111</v>
      </c>
      <c r="B113" s="2" t="inlineStr">
        <is>
          <t>Thứ bảy ngày 25-04-2026</t>
        </is>
      </c>
      <c r="C113" s="3" t="inlineStr">
        <is>
          <t>38228</t>
        </is>
      </c>
      <c r="D113" s="3" t="inlineStr">
        <is>
          <t>28</t>
        </is>
      </c>
      <c r="E113" s="3" t="inlineStr">
        <is>
          <t>Đầu 2</t>
        </is>
      </c>
      <c r="F113" s="3" t="inlineStr">
        <is>
          <t>Đuôi 8</t>
        </is>
      </c>
      <c r="G11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13" s="6" t="inlineStr">
        <is>
          <t>TRƯỢT ❌</t>
        </is>
      </c>
    </row>
    <row r="114">
      <c r="A114" s="2" t="n">
        <v>112</v>
      </c>
      <c r="B114" s="2" t="inlineStr">
        <is>
          <t>Chủ nhật ngày 26-04-2026</t>
        </is>
      </c>
      <c r="C114" s="3" t="inlineStr">
        <is>
          <t>10059</t>
        </is>
      </c>
      <c r="D114" s="3" t="inlineStr">
        <is>
          <t>59</t>
        </is>
      </c>
      <c r="E114" s="3" t="inlineStr">
        <is>
          <t>Đầu 5</t>
        </is>
      </c>
      <c r="F114" s="3" t="inlineStr">
        <is>
          <t>Đuôi 9</t>
        </is>
      </c>
      <c r="G11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14" s="7" t="inlineStr">
        <is>
          <t>TRÚNG 🎯</t>
        </is>
      </c>
    </row>
    <row r="115">
      <c r="A115" s="2" t="n">
        <v>113</v>
      </c>
      <c r="B115" s="2" t="inlineStr">
        <is>
          <t>Thứ hai ngày 27-04-2026</t>
        </is>
      </c>
      <c r="C115" s="3" t="inlineStr">
        <is>
          <t>45254</t>
        </is>
      </c>
      <c r="D115" s="3" t="inlineStr">
        <is>
          <t>54</t>
        </is>
      </c>
      <c r="E115" s="3" t="inlineStr">
        <is>
          <t>Đầu 5</t>
        </is>
      </c>
      <c r="F115" s="3" t="inlineStr">
        <is>
          <t>Đuôi 4</t>
        </is>
      </c>
      <c r="G11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15" s="6" t="inlineStr">
        <is>
          <t>TRƯỢT ❌</t>
        </is>
      </c>
    </row>
    <row r="116">
      <c r="A116" s="2" t="n">
        <v>114</v>
      </c>
      <c r="B116" s="2" t="inlineStr">
        <is>
          <t>Thứ ba ngày 28-04-2026</t>
        </is>
      </c>
      <c r="C116" s="3" t="inlineStr">
        <is>
          <t>86569</t>
        </is>
      </c>
      <c r="D116" s="3" t="inlineStr">
        <is>
          <t>69</t>
        </is>
      </c>
      <c r="E116" s="3" t="inlineStr">
        <is>
          <t>Đầu 6</t>
        </is>
      </c>
      <c r="F116" s="3" t="inlineStr">
        <is>
          <t>Đuôi 9</t>
        </is>
      </c>
      <c r="G116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16" s="7" t="inlineStr">
        <is>
          <t>TRÚNG 🎯</t>
        </is>
      </c>
    </row>
    <row r="117">
      <c r="A117" s="2" t="n">
        <v>115</v>
      </c>
      <c r="B117" s="2" t="inlineStr">
        <is>
          <t>Thứ tư ngày 29-04-2026</t>
        </is>
      </c>
      <c r="C117" s="3" t="inlineStr">
        <is>
          <t>82075</t>
        </is>
      </c>
      <c r="D117" s="3" t="inlineStr">
        <is>
          <t>75</t>
        </is>
      </c>
      <c r="E117" s="3" t="inlineStr">
        <is>
          <t>Đầu 7</t>
        </is>
      </c>
      <c r="F117" s="3" t="inlineStr">
        <is>
          <t>Đuôi 5</t>
        </is>
      </c>
      <c r="G117" s="3" t="inlineStr">
        <is>
          <t>00, 04, 05, 09, 13, 14, 18, 19, 22, 23, 27, 28, 31, 32, 36, 37, 40, 41, 45, 46, 50, 54, 55, 59, 63, 64, 68, 69, 72, 73, 77, 78, 81, 82, 86, 87, 90, 91, 95, 96</t>
        </is>
      </c>
      <c r="H117" s="6" t="inlineStr">
        <is>
          <t>TRƯỢT ❌</t>
        </is>
      </c>
    </row>
    <row r="118">
      <c r="A118" s="2" t="n">
        <v>116</v>
      </c>
      <c r="B118" s="2" t="inlineStr">
        <is>
          <t>Thứ năm ngày 30-04-2026</t>
        </is>
      </c>
      <c r="C118" s="3" t="inlineStr">
        <is>
          <t>96637</t>
        </is>
      </c>
      <c r="D118" s="3" t="inlineStr">
        <is>
          <t>37</t>
        </is>
      </c>
      <c r="E118" s="3" t="inlineStr">
        <is>
          <t>Đầu 3</t>
        </is>
      </c>
      <c r="F118" s="3" t="inlineStr">
        <is>
          <t>Đuôi 7</t>
        </is>
      </c>
      <c r="G118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</t>
        </is>
      </c>
      <c r="H118" s="7" t="inlineStr">
        <is>
          <t>TRÚNG 🎯</t>
        </is>
      </c>
    </row>
    <row r="119">
      <c r="A119" s="2" t="n">
        <v>117</v>
      </c>
      <c r="B119" s="2" t="inlineStr">
        <is>
          <t>Thứ sáu ngày 01-05-2026</t>
        </is>
      </c>
      <c r="C119" s="3" t="inlineStr">
        <is>
          <t>16132</t>
        </is>
      </c>
      <c r="D119" s="3" t="inlineStr">
        <is>
          <t>32</t>
        </is>
      </c>
      <c r="E119" s="3" t="inlineStr">
        <is>
          <t>Đầu 3</t>
        </is>
      </c>
      <c r="F119" s="3" t="inlineStr">
        <is>
          <t>Đuôi 2</t>
        </is>
      </c>
      <c r="G11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19" s="7" t="inlineStr">
        <is>
          <t>TRÚNG 🎯</t>
        </is>
      </c>
    </row>
    <row r="120">
      <c r="A120" s="2" t="n">
        <v>118</v>
      </c>
      <c r="B120" s="2" t="inlineStr">
        <is>
          <t>Thứ bảy ngày 02-05-2026</t>
        </is>
      </c>
      <c r="C120" s="3" t="inlineStr">
        <is>
          <t>32964</t>
        </is>
      </c>
      <c r="D120" s="3" t="inlineStr">
        <is>
          <t>64</t>
        </is>
      </c>
      <c r="E120" s="3" t="inlineStr">
        <is>
          <t>Đầu 6</t>
        </is>
      </c>
      <c r="F120" s="3" t="inlineStr">
        <is>
          <t>Đuôi 4</t>
        </is>
      </c>
      <c r="G120" s="3" t="inlineStr">
        <is>
          <t>00, 03, 05, 08, 12, 14, 17, 19, 21, 23, 26, 28, 30, 32, 35, 37, 41, 44, 46, 49, 50, 53, 55, 58, 62, 64, 67, 69, 71, 73, 76, 78, 80, 82, 85, 87, 91, 94, 96, 99</t>
        </is>
      </c>
      <c r="H120" s="7" t="inlineStr">
        <is>
          <t>TRÚNG 🎯</t>
        </is>
      </c>
    </row>
    <row r="121">
      <c r="A121" s="2" t="n">
        <v>119</v>
      </c>
      <c r="B121" s="2" t="inlineStr">
        <is>
          <t>Chủ nhật ngày 03-05-2026</t>
        </is>
      </c>
      <c r="C121" s="3" t="inlineStr">
        <is>
          <t>11251</t>
        </is>
      </c>
      <c r="D121" s="3" t="inlineStr">
        <is>
          <t>51</t>
        </is>
      </c>
      <c r="E121" s="3" t="inlineStr">
        <is>
          <t>Đầu 5</t>
        </is>
      </c>
      <c r="F121" s="3" t="inlineStr">
        <is>
          <t>Đuôi 1</t>
        </is>
      </c>
      <c r="G121" s="3" t="inlineStr">
        <is>
          <t>01, 04, 06, 09, 10, 13, 15, 18, 22, 24, 27, 29, 31, 33, 36, 38, 40, 42, 45, 47, 51, 54, 56, 59, 60, 63, 65, 68, 72, 74, 77, 79, 81, 83, 86, 88, 90, 92, 95, 97</t>
        </is>
      </c>
      <c r="H121" s="7" t="inlineStr">
        <is>
          <t>TRÚNG 🎯</t>
        </is>
      </c>
    </row>
    <row r="122">
      <c r="A122" s="2" t="n">
        <v>120</v>
      </c>
      <c r="B122" s="2" t="inlineStr">
        <is>
          <t>Thứ hai ngày 04-05-2026</t>
        </is>
      </c>
      <c r="C122" s="3" t="inlineStr">
        <is>
          <t>22512</t>
        </is>
      </c>
      <c r="D122" s="3" t="inlineStr">
        <is>
          <t>12</t>
        </is>
      </c>
      <c r="E122" s="3" t="inlineStr">
        <is>
          <t>Đầu 1</t>
        </is>
      </c>
      <c r="F122" s="3" t="inlineStr">
        <is>
          <t>Đuôi 2</t>
        </is>
      </c>
      <c r="G122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</t>
        </is>
      </c>
      <c r="H122" s="7" t="inlineStr">
        <is>
          <t>TRÚNG 🎯</t>
        </is>
      </c>
    </row>
    <row r="123">
      <c r="A123" s="2" t="n">
        <v>121</v>
      </c>
      <c r="B123" s="2" t="inlineStr">
        <is>
          <t>Thứ ba ngày 05-05-2026</t>
        </is>
      </c>
      <c r="C123" s="3" t="inlineStr">
        <is>
          <t>80241</t>
        </is>
      </c>
      <c r="D123" s="3" t="inlineStr">
        <is>
          <t>41</t>
        </is>
      </c>
      <c r="E123" s="3" t="inlineStr">
        <is>
          <t>Đầu 4</t>
        </is>
      </c>
      <c r="F123" s="3" t="inlineStr">
        <is>
          <t>Đuôi 1</t>
        </is>
      </c>
      <c r="G123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23" s="7" t="inlineStr">
        <is>
          <t>TRÚNG 🎯</t>
        </is>
      </c>
    </row>
    <row r="124">
      <c r="A124" s="2" t="n">
        <v>122</v>
      </c>
      <c r="B124" s="2" t="inlineStr">
        <is>
          <t>Thứ tư ngày 06-05-2026</t>
        </is>
      </c>
      <c r="C124" s="3" t="inlineStr">
        <is>
          <t>14540</t>
        </is>
      </c>
      <c r="D124" s="3" t="inlineStr">
        <is>
          <t>40</t>
        </is>
      </c>
      <c r="E124" s="3" t="inlineStr">
        <is>
          <t>Đầu 4</t>
        </is>
      </c>
      <c r="F124" s="3" t="inlineStr">
        <is>
          <t>Đuôi 0</t>
        </is>
      </c>
      <c r="G124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</t>
        </is>
      </c>
      <c r="H124" s="7" t="inlineStr">
        <is>
          <t>TRÚNG 🎯</t>
        </is>
      </c>
    </row>
    <row r="125">
      <c r="A125" s="2" t="n">
        <v>123</v>
      </c>
      <c r="B125" s="2" t="inlineStr">
        <is>
          <t>Thứ năm ngày 07-05-2026</t>
        </is>
      </c>
      <c r="C125" s="3" t="inlineStr">
        <is>
          <t>29147</t>
        </is>
      </c>
      <c r="D125" s="3" t="inlineStr">
        <is>
          <t>47</t>
        </is>
      </c>
      <c r="E125" s="3" t="inlineStr">
        <is>
          <t>Đầu 4</t>
        </is>
      </c>
      <c r="F125" s="3" t="inlineStr">
        <is>
          <t>Đuôi 7</t>
        </is>
      </c>
      <c r="G12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25" s="7" t="inlineStr">
        <is>
          <t>TRÚNG 🎯</t>
        </is>
      </c>
    </row>
    <row r="126">
      <c r="A126" s="2" t="n">
        <v>124</v>
      </c>
      <c r="B126" s="2" t="inlineStr">
        <is>
          <t>Thứ sáu ngày 08-05-2026</t>
        </is>
      </c>
      <c r="C126" s="3" t="inlineStr">
        <is>
          <t>26192</t>
        </is>
      </c>
      <c r="D126" s="3" t="inlineStr">
        <is>
          <t>92</t>
        </is>
      </c>
      <c r="E126" s="3" t="inlineStr">
        <is>
          <t>Đầu 9</t>
        </is>
      </c>
      <c r="F126" s="3" t="inlineStr">
        <is>
          <t>Đuôi 2</t>
        </is>
      </c>
      <c r="G12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26" s="7" t="inlineStr">
        <is>
          <t>TRÚNG 🎯</t>
        </is>
      </c>
    </row>
    <row r="127">
      <c r="A127" s="2" t="n">
        <v>125</v>
      </c>
      <c r="B127" s="2" t="inlineStr">
        <is>
          <t>Thứ bảy ngày 09-05-2026</t>
        </is>
      </c>
      <c r="C127" s="3" t="inlineStr">
        <is>
          <t>76223</t>
        </is>
      </c>
      <c r="D127" s="3" t="inlineStr">
        <is>
          <t>23</t>
        </is>
      </c>
      <c r="E127" s="3" t="inlineStr">
        <is>
          <t>Đầu 2</t>
        </is>
      </c>
      <c r="F127" s="3" t="inlineStr">
        <is>
          <t>Đuôi 3</t>
        </is>
      </c>
      <c r="G127" s="3" t="inlineStr">
        <is>
          <t>00, 04, 05, 09, 13, 14, 18, 19, 22, 23, 27, 28, 31, 32, 36, 37, 40, 41, 45, 46, 50, 54, 55, 59, 63, 64, 68, 69, 72, 73, 77, 78, 81, 82, 86, 87, 90, 91, 95, 96</t>
        </is>
      </c>
      <c r="H127" s="7" t="inlineStr">
        <is>
          <t>TRÚNG 🎯</t>
        </is>
      </c>
    </row>
    <row r="128">
      <c r="A128" s="2" t="n">
        <v>126</v>
      </c>
      <c r="B128" s="2" t="inlineStr">
        <is>
          <t>Chủ nhật ngày 10-05-2026</t>
        </is>
      </c>
      <c r="C128" s="3" t="inlineStr">
        <is>
          <t>52117</t>
        </is>
      </c>
      <c r="D128" s="3" t="inlineStr">
        <is>
          <t>17</t>
        </is>
      </c>
      <c r="E128" s="3" t="inlineStr">
        <is>
          <t>Đầu 1</t>
        </is>
      </c>
      <c r="F128" s="3" t="inlineStr">
        <is>
          <t>Đuôi 7</t>
        </is>
      </c>
      <c r="G12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28" s="7" t="inlineStr">
        <is>
          <t>TRÚNG 🎯</t>
        </is>
      </c>
    </row>
    <row r="129">
      <c r="A129" s="2" t="n">
        <v>127</v>
      </c>
      <c r="B129" s="2" t="inlineStr">
        <is>
          <t>Thứ hai ngày 11-05-2026</t>
        </is>
      </c>
      <c r="C129" s="3" t="inlineStr">
        <is>
          <t>52233</t>
        </is>
      </c>
      <c r="D129" s="3" t="inlineStr">
        <is>
          <t>33</t>
        </is>
      </c>
      <c r="E129" s="3" t="inlineStr">
        <is>
          <t>Đầu 3</t>
        </is>
      </c>
      <c r="F129" s="3" t="inlineStr">
        <is>
          <t>Đuôi 3</t>
        </is>
      </c>
      <c r="G12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29" s="7" t="inlineStr">
        <is>
          <t>TRÚNG 🎯</t>
        </is>
      </c>
    </row>
    <row r="130">
      <c r="A130" s="2" t="n">
        <v>128</v>
      </c>
      <c r="B130" s="2" t="inlineStr">
        <is>
          <t>Thứ ba ngày 12-05-2026</t>
        </is>
      </c>
      <c r="C130" s="3" t="inlineStr">
        <is>
          <t>64138</t>
        </is>
      </c>
      <c r="D130" s="3" t="inlineStr">
        <is>
          <t>38</t>
        </is>
      </c>
      <c r="E130" s="3" t="inlineStr">
        <is>
          <t>Đầu 3</t>
        </is>
      </c>
      <c r="F130" s="3" t="inlineStr">
        <is>
          <t>Đuôi 8</t>
        </is>
      </c>
      <c r="G130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30" s="6" t="inlineStr">
        <is>
          <t>TRƯỢT ❌</t>
        </is>
      </c>
    </row>
    <row r="131">
      <c r="A131" s="2" t="n">
        <v>129</v>
      </c>
      <c r="B131" s="2" t="inlineStr">
        <is>
          <t>Thứ tư ngày 13-05-2026</t>
        </is>
      </c>
      <c r="C131" s="3" t="inlineStr">
        <is>
          <t>76669</t>
        </is>
      </c>
      <c r="D131" s="3" t="inlineStr">
        <is>
          <t>69</t>
        </is>
      </c>
      <c r="E131" s="3" t="inlineStr">
        <is>
          <t>Đầu 6</t>
        </is>
      </c>
      <c r="F131" s="3" t="inlineStr">
        <is>
          <t>Đuôi 9</t>
        </is>
      </c>
      <c r="G13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31" s="6" t="inlineStr">
        <is>
          <t>TRƯỢT ❌</t>
        </is>
      </c>
    </row>
    <row r="132">
      <c r="A132" s="2" t="n">
        <v>130</v>
      </c>
      <c r="B132" s="2" t="inlineStr">
        <is>
          <t>Thứ năm ngày 14-05-2026</t>
        </is>
      </c>
      <c r="C132" s="3" t="inlineStr">
        <is>
          <t>67294</t>
        </is>
      </c>
      <c r="D132" s="3" t="inlineStr">
        <is>
          <t>94</t>
        </is>
      </c>
      <c r="E132" s="3" t="inlineStr">
        <is>
          <t>Đầu 9</t>
        </is>
      </c>
      <c r="F132" s="3" t="inlineStr">
        <is>
          <t>Đuôi 4</t>
        </is>
      </c>
      <c r="G13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32" s="7" t="inlineStr">
        <is>
          <t>TRÚNG 🎯</t>
        </is>
      </c>
    </row>
    <row r="133">
      <c r="A133" s="2" t="n">
        <v>131</v>
      </c>
      <c r="B133" s="2" t="inlineStr">
        <is>
          <t>Thứ sáu ngày 15-05-2026</t>
        </is>
      </c>
      <c r="C133" s="3" t="inlineStr">
        <is>
          <t>19404</t>
        </is>
      </c>
      <c r="D133" s="3" t="inlineStr">
        <is>
          <t>04</t>
        </is>
      </c>
      <c r="E133" s="3" t="inlineStr">
        <is>
          <t>Đầu 0</t>
        </is>
      </c>
      <c r="F133" s="3" t="inlineStr">
        <is>
          <t>Đuôi 4</t>
        </is>
      </c>
      <c r="G13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33" s="7" t="inlineStr">
        <is>
          <t>TRÚNG 🎯</t>
        </is>
      </c>
    </row>
    <row r="134">
      <c r="A134" s="2" t="n">
        <v>132</v>
      </c>
      <c r="B134" s="2" t="inlineStr">
        <is>
          <t>Thứ bảy ngày 16-05-2026</t>
        </is>
      </c>
      <c r="C134" s="3" t="inlineStr">
        <is>
          <t>96684</t>
        </is>
      </c>
      <c r="D134" s="3" t="inlineStr">
        <is>
          <t>84</t>
        </is>
      </c>
      <c r="E134" s="3" t="inlineStr">
        <is>
          <t>Đầu 8</t>
        </is>
      </c>
      <c r="F134" s="3" t="inlineStr">
        <is>
          <t>Đuôi 4</t>
        </is>
      </c>
      <c r="G13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34" s="7" t="inlineStr">
        <is>
          <t>TRÚNG 🎯</t>
        </is>
      </c>
    </row>
    <row r="135">
      <c r="A135" s="2" t="n">
        <v>133</v>
      </c>
      <c r="B135" s="2" t="inlineStr">
        <is>
          <t>Chủ nhật ngày 17-05-2026</t>
        </is>
      </c>
      <c r="C135" s="3" t="inlineStr">
        <is>
          <t>55361</t>
        </is>
      </c>
      <c r="D135" s="3" t="inlineStr">
        <is>
          <t>61</t>
        </is>
      </c>
      <c r="E135" s="3" t="inlineStr">
        <is>
          <t>Đầu 6</t>
        </is>
      </c>
      <c r="F135" s="3" t="inlineStr">
        <is>
          <t>Đuôi 1</t>
        </is>
      </c>
      <c r="G13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35" s="7" t="inlineStr">
        <is>
          <t>TRÚNG 🎯</t>
        </is>
      </c>
    </row>
    <row r="136">
      <c r="A136" s="2" t="n">
        <v>134</v>
      </c>
      <c r="B136" s="2" t="inlineStr">
        <is>
          <t>Thứ hai ngày 18-05-2026</t>
        </is>
      </c>
      <c r="C136" s="3" t="inlineStr">
        <is>
          <t>81754</t>
        </is>
      </c>
      <c r="D136" s="3" t="inlineStr">
        <is>
          <t>54</t>
        </is>
      </c>
      <c r="E136" s="3" t="inlineStr">
        <is>
          <t>Đầu 5</t>
        </is>
      </c>
      <c r="F136" s="3" t="inlineStr">
        <is>
          <t>Đuôi 4</t>
        </is>
      </c>
      <c r="G136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36" s="6" t="inlineStr">
        <is>
          <t>TRƯỢT ❌</t>
        </is>
      </c>
    </row>
    <row r="137">
      <c r="A137" s="2" t="n">
        <v>135</v>
      </c>
      <c r="B137" s="2" t="inlineStr">
        <is>
          <t>Thứ ba ngày 19-05-2026</t>
        </is>
      </c>
      <c r="C137" s="3" t="inlineStr">
        <is>
          <t>88568</t>
        </is>
      </c>
      <c r="D137" s="3" t="inlineStr">
        <is>
          <t>68</t>
        </is>
      </c>
      <c r="E137" s="3" t="inlineStr">
        <is>
          <t>Đầu 6</t>
        </is>
      </c>
      <c r="F137" s="3" t="inlineStr">
        <is>
          <t>Đuôi 8</t>
        </is>
      </c>
      <c r="G137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37" s="7" t="inlineStr">
        <is>
          <t>TRÚNG 🎯</t>
        </is>
      </c>
    </row>
    <row r="138">
      <c r="A138" s="2" t="n">
        <v>136</v>
      </c>
      <c r="B138" s="2" t="inlineStr">
        <is>
          <t>Thứ tư ngày 20-05-2026</t>
        </is>
      </c>
      <c r="C138" s="3" t="inlineStr">
        <is>
          <t>72685</t>
        </is>
      </c>
      <c r="D138" s="3" t="inlineStr">
        <is>
          <t>85</t>
        </is>
      </c>
      <c r="E138" s="3" t="inlineStr">
        <is>
          <t>Đầu 8</t>
        </is>
      </c>
      <c r="F138" s="3" t="inlineStr">
        <is>
          <t>Đuôi 5</t>
        </is>
      </c>
      <c r="G13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38" s="7" t="inlineStr">
        <is>
          <t>TRÚNG 🎯</t>
        </is>
      </c>
    </row>
    <row r="139">
      <c r="A139" s="2" t="n">
        <v>137</v>
      </c>
      <c r="B139" s="2" t="inlineStr">
        <is>
          <t>Thứ năm ngày 21-05-2026</t>
        </is>
      </c>
      <c r="C139" s="3" t="inlineStr">
        <is>
          <t>72939</t>
        </is>
      </c>
      <c r="D139" s="3" t="inlineStr">
        <is>
          <t>39</t>
        </is>
      </c>
      <c r="E139" s="3" t="inlineStr">
        <is>
          <t>Đầu 3</t>
        </is>
      </c>
      <c r="F139" s="3" t="inlineStr">
        <is>
          <t>Đuôi 9</t>
        </is>
      </c>
      <c r="G139" s="3" t="inlineStr">
        <is>
          <t>01, 04, 06, 09, 10, 13, 15, 18, 22, 24, 27, 29, 31, 33, 36, 38, 40, 42, 45, 47, 51, 54, 56, 59, 60, 63, 65, 68, 72, 74, 77, 79, 81, 83, 86, 88, 90, 92, 95, 97</t>
        </is>
      </c>
      <c r="H139" s="6" t="inlineStr">
        <is>
          <t>TRƯỢT ❌</t>
        </is>
      </c>
    </row>
    <row r="140">
      <c r="A140" s="2" t="n">
        <v>138</v>
      </c>
      <c r="B140" s="2" t="inlineStr">
        <is>
          <t>Thứ sáu ngày 22-05-2026</t>
        </is>
      </c>
      <c r="C140" s="3" t="inlineStr">
        <is>
          <t>38021</t>
        </is>
      </c>
      <c r="D140" s="3" t="inlineStr">
        <is>
          <t>21</t>
        </is>
      </c>
      <c r="E140" s="3" t="inlineStr">
        <is>
          <t>Đầu 2</t>
        </is>
      </c>
      <c r="F140" s="3" t="inlineStr">
        <is>
          <t>Đuôi 1</t>
        </is>
      </c>
      <c r="G140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</t>
        </is>
      </c>
      <c r="H140" s="7" t="inlineStr">
        <is>
          <t>TRÚNG 🎯</t>
        </is>
      </c>
    </row>
    <row r="141">
      <c r="A141" s="2" t="n">
        <v>139</v>
      </c>
      <c r="B141" s="2" t="inlineStr">
        <is>
          <t>Thứ bảy ngày 23-05-2026</t>
        </is>
      </c>
      <c r="C141" s="3" t="inlineStr">
        <is>
          <t>20104</t>
        </is>
      </c>
      <c r="D141" s="3" t="inlineStr">
        <is>
          <t>04</t>
        </is>
      </c>
      <c r="E141" s="3" t="inlineStr">
        <is>
          <t>Đầu 0</t>
        </is>
      </c>
      <c r="F141" s="3" t="inlineStr">
        <is>
          <t>Đuôi 4</t>
        </is>
      </c>
      <c r="G141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41" s="7" t="inlineStr">
        <is>
          <t>TRÚNG 🎯</t>
        </is>
      </c>
    </row>
    <row r="142">
      <c r="A142" s="2" t="n">
        <v>140</v>
      </c>
      <c r="B142" s="2" t="inlineStr">
        <is>
          <t>Chủ nhật ngày 24-05-2026</t>
        </is>
      </c>
      <c r="C142" s="3" t="inlineStr">
        <is>
          <t>97281</t>
        </is>
      </c>
      <c r="D142" s="3" t="inlineStr">
        <is>
          <t>81</t>
        </is>
      </c>
      <c r="E142" s="3" t="inlineStr">
        <is>
          <t>Đầu 8</t>
        </is>
      </c>
      <c r="F142" s="3" t="inlineStr">
        <is>
          <t>Đuôi 1</t>
        </is>
      </c>
      <c r="G142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142" s="6" t="inlineStr">
        <is>
          <t>TRƯỢT ❌</t>
        </is>
      </c>
    </row>
    <row r="143">
      <c r="A143" s="2" t="n">
        <v>141</v>
      </c>
      <c r="B143" s="2" t="inlineStr">
        <is>
          <t>Thứ hai ngày 25-05-2026</t>
        </is>
      </c>
      <c r="C143" s="3" t="inlineStr">
        <is>
          <t>49111</t>
        </is>
      </c>
      <c r="D143" s="3" t="inlineStr">
        <is>
          <t>11</t>
        </is>
      </c>
      <c r="E143" s="3" t="inlineStr">
        <is>
          <t>Đầu 1</t>
        </is>
      </c>
      <c r="F143" s="3" t="inlineStr">
        <is>
          <t>Đuôi 1</t>
        </is>
      </c>
      <c r="G143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</t>
        </is>
      </c>
      <c r="H143" s="7" t="inlineStr">
        <is>
          <t>TRÚNG 🎯</t>
        </is>
      </c>
    </row>
    <row r="144">
      <c r="A144" s="2" t="n">
        <v>142</v>
      </c>
      <c r="B144" s="2" t="inlineStr">
        <is>
          <t>Thứ ba ngày 26-05-2026</t>
        </is>
      </c>
      <c r="C144" s="3" t="inlineStr">
        <is>
          <t>61513</t>
        </is>
      </c>
      <c r="D144" s="3" t="inlineStr">
        <is>
          <t>13</t>
        </is>
      </c>
      <c r="E144" s="3" t="inlineStr">
        <is>
          <t>Đầu 1</t>
        </is>
      </c>
      <c r="F144" s="3" t="inlineStr">
        <is>
          <t>Đuôi 3</t>
        </is>
      </c>
      <c r="G144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</t>
        </is>
      </c>
      <c r="H144" s="7" t="inlineStr">
        <is>
          <t>TRÚNG 🎯</t>
        </is>
      </c>
    </row>
    <row r="145">
      <c r="A145" s="2" t="n">
        <v>143</v>
      </c>
      <c r="B145" s="2" t="inlineStr">
        <is>
          <t>Thứ tư ngày 27-05-2026</t>
        </is>
      </c>
      <c r="C145" s="3" t="inlineStr">
        <is>
          <t>00250</t>
        </is>
      </c>
      <c r="D145" s="3" t="inlineStr">
        <is>
          <t>50</t>
        </is>
      </c>
      <c r="E145" s="3" t="inlineStr">
        <is>
          <t>Đầu 5</t>
        </is>
      </c>
      <c r="F145" s="3" t="inlineStr">
        <is>
          <t>Đuôi 0</t>
        </is>
      </c>
      <c r="G14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45" s="6" t="inlineStr">
        <is>
          <t>TRƯỢT ❌</t>
        </is>
      </c>
    </row>
    <row r="146">
      <c r="A146" s="2" t="n">
        <v>144</v>
      </c>
      <c r="B146" s="2" t="inlineStr">
        <is>
          <t>Thứ năm ngày 28-05-2026</t>
        </is>
      </c>
      <c r="C146" s="3" t="inlineStr">
        <is>
          <t>77954</t>
        </is>
      </c>
      <c r="D146" s="3" t="inlineStr">
        <is>
          <t>54</t>
        </is>
      </c>
      <c r="E146" s="3" t="inlineStr">
        <is>
          <t>Đầu 5</t>
        </is>
      </c>
      <c r="F146" s="3" t="inlineStr">
        <is>
          <t>Đuôi 4</t>
        </is>
      </c>
      <c r="G146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</t>
        </is>
      </c>
      <c r="H146" s="6" t="inlineStr">
        <is>
          <t>TRƯỢT ❌</t>
        </is>
      </c>
    </row>
    <row r="147">
      <c r="A147" s="2" t="n">
        <v>145</v>
      </c>
      <c r="B147" s="2" t="inlineStr">
        <is>
          <t>Thứ sáu ngày 29-05-2026</t>
        </is>
      </c>
      <c r="C147" s="3" t="inlineStr">
        <is>
          <t>17743</t>
        </is>
      </c>
      <c r="D147" s="3" t="inlineStr">
        <is>
          <t>43</t>
        </is>
      </c>
      <c r="E147" s="3" t="inlineStr">
        <is>
          <t>Đầu 4</t>
        </is>
      </c>
      <c r="F147" s="3" t="inlineStr">
        <is>
          <t>Đuôi 3</t>
        </is>
      </c>
      <c r="G14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47" s="7" t="inlineStr">
        <is>
          <t>TRÚNG 🎯</t>
        </is>
      </c>
    </row>
    <row r="148">
      <c r="A148" s="2" t="n">
        <v>146</v>
      </c>
      <c r="B148" s="2" t="inlineStr">
        <is>
          <t>Thứ bảy ngày 30-05-2026</t>
        </is>
      </c>
      <c r="C148" s="3" t="inlineStr">
        <is>
          <t>24042</t>
        </is>
      </c>
      <c r="D148" s="3" t="inlineStr">
        <is>
          <t>42</t>
        </is>
      </c>
      <c r="E148" s="3" t="inlineStr">
        <is>
          <t>Đầu 4</t>
        </is>
      </c>
      <c r="F148" s="3" t="inlineStr">
        <is>
          <t>Đuôi 2</t>
        </is>
      </c>
      <c r="G148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148" s="7" t="inlineStr">
        <is>
          <t>TRÚNG 🎯</t>
        </is>
      </c>
    </row>
    <row r="149">
      <c r="A149" s="2" t="n">
        <v>147</v>
      </c>
      <c r="B149" s="2" t="inlineStr">
        <is>
          <t>Chủ nhật ngày 31-05-2026</t>
        </is>
      </c>
      <c r="C149" s="3" t="inlineStr">
        <is>
          <t>90353</t>
        </is>
      </c>
      <c r="D149" s="3" t="inlineStr">
        <is>
          <t>53</t>
        </is>
      </c>
      <c r="E149" s="3" t="inlineStr">
        <is>
          <t>Đầu 5</t>
        </is>
      </c>
      <c r="F149" s="3" t="inlineStr">
        <is>
          <t>Đuôi 3</t>
        </is>
      </c>
      <c r="G14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49" s="6" t="inlineStr">
        <is>
          <t>TRƯỢT ❌</t>
        </is>
      </c>
    </row>
    <row r="150">
      <c r="A150" s="2" t="n">
        <v>148</v>
      </c>
      <c r="B150" s="2" t="inlineStr">
        <is>
          <t>Thứ hai ngày 01-06-2026</t>
        </is>
      </c>
      <c r="C150" s="3" t="inlineStr">
        <is>
          <t>73823</t>
        </is>
      </c>
      <c r="D150" s="3" t="inlineStr">
        <is>
          <t>23</t>
        </is>
      </c>
      <c r="E150" s="3" t="inlineStr">
        <is>
          <t>Đầu 2</t>
        </is>
      </c>
      <c r="F150" s="3" t="inlineStr">
        <is>
          <t>Đuôi 3</t>
        </is>
      </c>
      <c r="G15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50" s="6" t="inlineStr">
        <is>
          <t>TRƯỢT ❌</t>
        </is>
      </c>
    </row>
    <row r="151">
      <c r="A151" s="2" t="n">
        <v>149</v>
      </c>
      <c r="B151" s="2" t="inlineStr">
        <is>
          <t>Thứ ba ngày 02-06-2026</t>
        </is>
      </c>
      <c r="C151" s="3" t="inlineStr">
        <is>
          <t>02636</t>
        </is>
      </c>
      <c r="D151" s="3" t="inlineStr">
        <is>
          <t>36</t>
        </is>
      </c>
      <c r="E151" s="3" t="inlineStr">
        <is>
          <t>Đầu 3</t>
        </is>
      </c>
      <c r="F151" s="3" t="inlineStr">
        <is>
          <t>Đuôi 6</t>
        </is>
      </c>
      <c r="G15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51" s="7" t="inlineStr">
        <is>
          <t>TRÚNG 🎯</t>
        </is>
      </c>
    </row>
    <row r="152">
      <c r="A152" s="2" t="n">
        <v>150</v>
      </c>
      <c r="B152" s="2" t="inlineStr">
        <is>
          <t>Thứ tư ngày 03-06-2026</t>
        </is>
      </c>
      <c r="C152" s="3" t="inlineStr">
        <is>
          <t>05583</t>
        </is>
      </c>
      <c r="D152" s="3" t="inlineStr">
        <is>
          <t>83</t>
        </is>
      </c>
      <c r="E152" s="3" t="inlineStr">
        <is>
          <t>Đầu 8</t>
        </is>
      </c>
      <c r="F152" s="3" t="inlineStr">
        <is>
          <t>Đuôi 3</t>
        </is>
      </c>
      <c r="G152" s="3" t="inlineStr">
        <is>
          <t>02, 04, 07, 09, 11, 13, 16, 18, 20, 22, 25, 27, 31, 34, 36, 39, 40, 43, 45, 48, 52, 54, 57, 59, 61, 63, 66, 68, 70, 72, 75, 77, 81, 84, 86, 89, 90, 93, 95, 98</t>
        </is>
      </c>
      <c r="H152" s="6" t="inlineStr">
        <is>
          <t>TRƯỢT ❌</t>
        </is>
      </c>
    </row>
    <row r="153">
      <c r="A153" s="2" t="n">
        <v>151</v>
      </c>
      <c r="B153" s="2" t="inlineStr">
        <is>
          <t>Thứ năm ngày 04-06-2026</t>
        </is>
      </c>
      <c r="C153" s="3" t="inlineStr">
        <is>
          <t>74978</t>
        </is>
      </c>
      <c r="D153" s="3" t="inlineStr">
        <is>
          <t>78</t>
        </is>
      </c>
      <c r="E153" s="3" t="inlineStr">
        <is>
          <t>Đầu 7</t>
        </is>
      </c>
      <c r="F153" s="3" t="inlineStr">
        <is>
          <t>Đuôi 8</t>
        </is>
      </c>
      <c r="G153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53" s="6" t="inlineStr">
        <is>
          <t>TRƯỢT ❌</t>
        </is>
      </c>
    </row>
    <row r="154">
      <c r="A154" s="2" t="n">
        <v>152</v>
      </c>
      <c r="B154" s="2" t="inlineStr">
        <is>
          <t>Thứ sáu ngày 05-06-2026</t>
        </is>
      </c>
      <c r="C154" s="3" t="inlineStr">
        <is>
          <t>33465</t>
        </is>
      </c>
      <c r="D154" s="3" t="inlineStr">
        <is>
          <t>65</t>
        </is>
      </c>
      <c r="E154" s="3" t="inlineStr">
        <is>
          <t>Đầu 6</t>
        </is>
      </c>
      <c r="F154" s="3" t="inlineStr">
        <is>
          <t>Đuôi 5</t>
        </is>
      </c>
      <c r="G15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54" s="6" t="inlineStr">
        <is>
          <t>TRƯỢT ❌</t>
        </is>
      </c>
    </row>
    <row r="155">
      <c r="A155" s="2" t="n">
        <v>153</v>
      </c>
      <c r="B155" s="2" t="inlineStr">
        <is>
          <t>Thứ bảy ngày 06-06-2026</t>
        </is>
      </c>
      <c r="C155" s="3" t="inlineStr">
        <is>
          <t>15393</t>
        </is>
      </c>
      <c r="D155" s="3" t="inlineStr">
        <is>
          <t>93</t>
        </is>
      </c>
      <c r="E155" s="3" t="inlineStr">
        <is>
          <t>Đầu 9</t>
        </is>
      </c>
      <c r="F155" s="3" t="inlineStr">
        <is>
          <t>Đuôi 3</t>
        </is>
      </c>
      <c r="G15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55" s="7" t="inlineStr">
        <is>
          <t>TRÚNG 🎯</t>
        </is>
      </c>
    </row>
    <row r="156">
      <c r="A156" s="2" t="n">
        <v>154</v>
      </c>
      <c r="B156" s="2" t="inlineStr">
        <is>
          <t>Chủ nhật ngày 07-06-2026</t>
        </is>
      </c>
      <c r="C156" s="3" t="inlineStr">
        <is>
          <t>53505</t>
        </is>
      </c>
      <c r="D156" s="3" t="inlineStr">
        <is>
          <t>05</t>
        </is>
      </c>
      <c r="E156" s="3" t="inlineStr">
        <is>
          <t>Đầu 0</t>
        </is>
      </c>
      <c r="F156" s="3" t="inlineStr">
        <is>
          <t>Đuôi 5</t>
        </is>
      </c>
      <c r="G156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</t>
        </is>
      </c>
      <c r="H156" s="7" t="inlineStr">
        <is>
          <t>TRÚNG 🎯</t>
        </is>
      </c>
    </row>
    <row r="157">
      <c r="A157" s="2" t="n">
        <v>155</v>
      </c>
      <c r="B157" s="2" t="inlineStr">
        <is>
          <t>Thứ hai ngày 08-06-2026</t>
        </is>
      </c>
      <c r="C157" s="3" t="inlineStr">
        <is>
          <t>07251</t>
        </is>
      </c>
      <c r="D157" s="3" t="inlineStr">
        <is>
          <t>51</t>
        </is>
      </c>
      <c r="E157" s="3" t="inlineStr">
        <is>
          <t>Đầu 5</t>
        </is>
      </c>
      <c r="F157" s="3" t="inlineStr">
        <is>
          <t>Đuôi 1</t>
        </is>
      </c>
      <c r="G15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57" s="6" t="inlineStr">
        <is>
          <t>TRƯỢT ❌</t>
        </is>
      </c>
    </row>
    <row r="158">
      <c r="A158" s="2" t="n">
        <v>156</v>
      </c>
      <c r="B158" s="2" t="inlineStr">
        <is>
          <t>Thứ ba ngày 09-06-2026</t>
        </is>
      </c>
      <c r="C158" s="3" t="inlineStr">
        <is>
          <t>04308</t>
        </is>
      </c>
      <c r="D158" s="3" t="inlineStr">
        <is>
          <t>08</t>
        </is>
      </c>
      <c r="E158" s="3" t="inlineStr">
        <is>
          <t>Đầu 0</t>
        </is>
      </c>
      <c r="F158" s="3" t="inlineStr">
        <is>
          <t>Đuôi 8</t>
        </is>
      </c>
      <c r="G15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58" s="7" t="inlineStr">
        <is>
          <t>TRÚNG 🎯</t>
        </is>
      </c>
    </row>
    <row r="159">
      <c r="A159" s="2" t="n">
        <v>157</v>
      </c>
      <c r="B159" s="2" t="inlineStr">
        <is>
          <t>Thứ tư ngày 10-06-2026</t>
        </is>
      </c>
      <c r="C159" s="3" t="inlineStr">
        <is>
          <t>99983</t>
        </is>
      </c>
      <c r="D159" s="3" t="inlineStr">
        <is>
          <t>83</t>
        </is>
      </c>
      <c r="E159" s="3" t="inlineStr">
        <is>
          <t>Đầu 8</t>
        </is>
      </c>
      <c r="F159" s="3" t="inlineStr">
        <is>
          <t>Đuôi 3</t>
        </is>
      </c>
      <c r="G15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59" s="6" t="inlineStr">
        <is>
          <t>TRƯỢT ❌</t>
        </is>
      </c>
    </row>
    <row r="160">
      <c r="A160" s="2" t="n">
        <v>158</v>
      </c>
      <c r="B160" s="2" t="inlineStr">
        <is>
          <t>Thứ năm ngày 11-06-2026</t>
        </is>
      </c>
      <c r="C160" s="3" t="inlineStr">
        <is>
          <t>24889</t>
        </is>
      </c>
      <c r="D160" s="3" t="inlineStr">
        <is>
          <t>89</t>
        </is>
      </c>
      <c r="E160" s="3" t="inlineStr">
        <is>
          <t>Đầu 8</t>
        </is>
      </c>
      <c r="F160" s="3" t="inlineStr">
        <is>
          <t>Đuôi 9</t>
        </is>
      </c>
      <c r="G160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60" s="7" t="inlineStr">
        <is>
          <t>TRÚNG 🎯</t>
        </is>
      </c>
    </row>
    <row r="161">
      <c r="A161" s="2" t="n">
        <v>159</v>
      </c>
      <c r="B161" s="2" t="inlineStr">
        <is>
          <t>Thứ sáu ngày 12-06-2026</t>
        </is>
      </c>
      <c r="C161" s="3" t="inlineStr">
        <is>
          <t>60014</t>
        </is>
      </c>
      <c r="D161" s="3" t="inlineStr">
        <is>
          <t>14</t>
        </is>
      </c>
      <c r="E161" s="3" t="inlineStr">
        <is>
          <t>Đầu 1</t>
        </is>
      </c>
      <c r="F161" s="3" t="inlineStr">
        <is>
          <t>Đuôi 4</t>
        </is>
      </c>
      <c r="G161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61" s="6" t="inlineStr">
        <is>
          <t>TRƯỢT ❌</t>
        </is>
      </c>
    </row>
    <row r="162">
      <c r="A162" s="2" t="n">
        <v>160</v>
      </c>
      <c r="B162" s="2" t="inlineStr">
        <is>
          <t>Thứ bảy ngày 13-06-2026</t>
        </is>
      </c>
      <c r="C162" s="3" t="inlineStr">
        <is>
          <t>63000</t>
        </is>
      </c>
      <c r="D162" s="3" t="inlineStr">
        <is>
          <t>00</t>
        </is>
      </c>
      <c r="E162" s="3" t="inlineStr">
        <is>
          <t>Đầu 0</t>
        </is>
      </c>
      <c r="F162" s="3" t="inlineStr">
        <is>
          <t>Đuôi 0</t>
        </is>
      </c>
      <c r="G162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</t>
        </is>
      </c>
      <c r="H162" s="6" t="inlineStr">
        <is>
          <t>TRƯỢT ❌</t>
        </is>
      </c>
    </row>
    <row r="163">
      <c r="A163" s="2" t="n">
        <v>161</v>
      </c>
      <c r="B163" s="2" t="inlineStr">
        <is>
          <t>Chủ nhật ngày 14-06-2026</t>
        </is>
      </c>
      <c r="C163" s="3" t="inlineStr">
        <is>
          <t>71680</t>
        </is>
      </c>
      <c r="D163" s="3" t="inlineStr">
        <is>
          <t>80</t>
        </is>
      </c>
      <c r="E163" s="3" t="inlineStr">
        <is>
          <t>Đầu 8</t>
        </is>
      </c>
      <c r="F163" s="3" t="inlineStr">
        <is>
          <t>Đuôi 0</t>
        </is>
      </c>
      <c r="G163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</t>
        </is>
      </c>
      <c r="H163" s="7" t="inlineStr">
        <is>
          <t>TRÚNG 🎯</t>
        </is>
      </c>
    </row>
    <row r="164">
      <c r="A164" s="2" t="n">
        <v>162</v>
      </c>
      <c r="B164" s="2" t="inlineStr">
        <is>
          <t>Thứ hai ngày 15-06-2026</t>
        </is>
      </c>
      <c r="C164" s="3" t="inlineStr">
        <is>
          <t>80384</t>
        </is>
      </c>
      <c r="D164" s="3" t="inlineStr">
        <is>
          <t>84</t>
        </is>
      </c>
      <c r="E164" s="3" t="inlineStr">
        <is>
          <t>Đầu 8</t>
        </is>
      </c>
      <c r="F164" s="3" t="inlineStr">
        <is>
          <t>Đuôi 4</t>
        </is>
      </c>
      <c r="G16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64" s="6" t="inlineStr">
        <is>
          <t>TRƯỢT ❌</t>
        </is>
      </c>
    </row>
    <row r="165">
      <c r="A165" s="2" t="n">
        <v>163</v>
      </c>
      <c r="B165" s="2" t="inlineStr">
        <is>
          <t>Thứ ba ngày 16-06-2026</t>
        </is>
      </c>
      <c r="C165" s="3" t="inlineStr">
        <is>
          <t>71203</t>
        </is>
      </c>
      <c r="D165" s="3" t="inlineStr">
        <is>
          <t>03</t>
        </is>
      </c>
      <c r="E165" s="3" t="inlineStr">
        <is>
          <t>Đầu 0</t>
        </is>
      </c>
      <c r="F165" s="3" t="inlineStr">
        <is>
          <t>Đuôi 3</t>
        </is>
      </c>
      <c r="G16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65" s="6" t="inlineStr">
        <is>
          <t>TRƯỢT ❌</t>
        </is>
      </c>
    </row>
    <row r="166">
      <c r="A166" s="2" t="n">
        <v>164</v>
      </c>
      <c r="B166" s="2" t="inlineStr">
        <is>
          <t>Thứ tư ngày 17-06-2026</t>
        </is>
      </c>
      <c r="C166" s="3" t="inlineStr">
        <is>
          <t>15032</t>
        </is>
      </c>
      <c r="D166" s="3" t="inlineStr">
        <is>
          <t>32</t>
        </is>
      </c>
      <c r="E166" s="3" t="inlineStr">
        <is>
          <t>Đầu 3</t>
        </is>
      </c>
      <c r="F166" s="3" t="inlineStr">
        <is>
          <t>Đuôi 2</t>
        </is>
      </c>
      <c r="G16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66" s="6" t="inlineStr">
        <is>
          <t>TRƯỢT ❌</t>
        </is>
      </c>
    </row>
    <row r="167">
      <c r="A167" s="2" t="n">
        <v>165</v>
      </c>
      <c r="B167" s="2" t="inlineStr">
        <is>
          <t>Thứ năm ngày 18-06-2026</t>
        </is>
      </c>
      <c r="C167" s="3" t="inlineStr">
        <is>
          <t>63155</t>
        </is>
      </c>
      <c r="D167" s="3" t="inlineStr">
        <is>
          <t>55</t>
        </is>
      </c>
      <c r="E167" s="3" t="inlineStr">
        <is>
          <t>Đầu 5</t>
        </is>
      </c>
      <c r="F167" s="3" t="inlineStr">
        <is>
          <t>Đuôi 5</t>
        </is>
      </c>
      <c r="G167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</t>
        </is>
      </c>
      <c r="H167" s="7" t="inlineStr">
        <is>
          <t>TRÚNG 🎯</t>
        </is>
      </c>
    </row>
    <row r="168">
      <c r="A168" s="2" t="n">
        <v>166</v>
      </c>
      <c r="B168" s="2" t="inlineStr">
        <is>
          <t>Thứ sáu ngày 19-06-2026</t>
        </is>
      </c>
      <c r="C168" s="3" t="inlineStr">
        <is>
          <t>54860</t>
        </is>
      </c>
      <c r="D168" s="3" t="inlineStr">
        <is>
          <t>60</t>
        </is>
      </c>
      <c r="E168" s="3" t="inlineStr">
        <is>
          <t>Đầu 6</t>
        </is>
      </c>
      <c r="F168" s="3" t="inlineStr">
        <is>
          <t>Đuôi 0</t>
        </is>
      </c>
      <c r="G168" s="3" t="inlineStr">
        <is>
          <t>00, 03, 05, 08, 12, 14, 17, 19, 21, 23, 26, 28, 30, 32, 35, 37, 41, 44, 46, 49, 50, 53, 55, 58, 62, 64, 67, 69, 71, 73, 76, 78, 80, 82, 85, 87, 91, 94, 96, 99</t>
        </is>
      </c>
      <c r="H168" s="6" t="inlineStr">
        <is>
          <t>TRƯỢT ❌</t>
        </is>
      </c>
    </row>
    <row r="169">
      <c r="A169" s="2" t="n">
        <v>167</v>
      </c>
      <c r="B169" s="2" t="inlineStr">
        <is>
          <t>Thứ bảy ngày 20-06-2026</t>
        </is>
      </c>
      <c r="C169" s="3" t="inlineStr">
        <is>
          <t>28083</t>
        </is>
      </c>
      <c r="D169" s="3" t="inlineStr">
        <is>
          <t>83</t>
        </is>
      </c>
      <c r="E169" s="3" t="inlineStr">
        <is>
          <t>Đầu 8</t>
        </is>
      </c>
      <c r="F169" s="3" t="inlineStr">
        <is>
          <t>Đuôi 3</t>
        </is>
      </c>
      <c r="G169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69" s="6" t="inlineStr">
        <is>
          <t>TRƯỢT ❌</t>
        </is>
      </c>
    </row>
    <row r="170">
      <c r="A170" s="2" t="n">
        <v>168</v>
      </c>
      <c r="B170" s="2" t="inlineStr">
        <is>
          <t>Chủ nhật ngày 21-06-2026</t>
        </is>
      </c>
      <c r="C170" s="3" t="inlineStr">
        <is>
          <t>62136</t>
        </is>
      </c>
      <c r="D170" s="3" t="inlineStr">
        <is>
          <t>36</t>
        </is>
      </c>
      <c r="E170" s="3" t="inlineStr">
        <is>
          <t>Đầu 3</t>
        </is>
      </c>
      <c r="F170" s="3" t="inlineStr">
        <is>
          <t>Đuôi 6</t>
        </is>
      </c>
      <c r="G170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</t>
        </is>
      </c>
      <c r="H170" s="7" t="inlineStr">
        <is>
          <t>TRÚNG 🎯</t>
        </is>
      </c>
    </row>
    <row r="171">
      <c r="A171" s="2" t="n">
        <v>169</v>
      </c>
      <c r="B171" s="2" t="inlineStr">
        <is>
          <t>Thứ hai ngày 22-06-2026</t>
        </is>
      </c>
      <c r="C171" s="3" t="inlineStr">
        <is>
          <t>50437</t>
        </is>
      </c>
      <c r="D171" s="3" t="inlineStr">
        <is>
          <t>37</t>
        </is>
      </c>
      <c r="E171" s="3" t="inlineStr">
        <is>
          <t>Đầu 3</t>
        </is>
      </c>
      <c r="F171" s="3" t="inlineStr">
        <is>
          <t>Đuôi 7</t>
        </is>
      </c>
      <c r="G17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71" s="7" t="inlineStr">
        <is>
          <t>TRÚNG 🎯</t>
        </is>
      </c>
    </row>
    <row r="172">
      <c r="A172" s="2" t="n">
        <v>170</v>
      </c>
      <c r="B172" s="2" t="inlineStr">
        <is>
          <t>Thứ ba ngày 23-06-2026</t>
        </is>
      </c>
      <c r="C172" s="3" t="inlineStr">
        <is>
          <t>52751</t>
        </is>
      </c>
      <c r="D172" s="3" t="inlineStr">
        <is>
          <t>51</t>
        </is>
      </c>
      <c r="E172" s="3" t="inlineStr">
        <is>
          <t>Đầu 5</t>
        </is>
      </c>
      <c r="F172" s="3" t="inlineStr">
        <is>
          <t>Đuôi 1</t>
        </is>
      </c>
      <c r="G172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72" s="7" t="inlineStr">
        <is>
          <t>TRÚNG 🎯</t>
        </is>
      </c>
    </row>
    <row r="173">
      <c r="A173" s="2" t="n">
        <v>171</v>
      </c>
      <c r="B173" s="2" t="inlineStr">
        <is>
          <t>Thứ tư ngày 24-06-2026</t>
        </is>
      </c>
      <c r="C173" s="3" t="inlineStr">
        <is>
          <t>01816</t>
        </is>
      </c>
      <c r="D173" s="3" t="inlineStr">
        <is>
          <t>16</t>
        </is>
      </c>
      <c r="E173" s="3" t="inlineStr">
        <is>
          <t>Đầu 1</t>
        </is>
      </c>
      <c r="F173" s="3" t="inlineStr">
        <is>
          <t>Đuôi 6</t>
        </is>
      </c>
      <c r="G17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73" s="7" t="inlineStr">
        <is>
          <t>TRÚNG 🎯</t>
        </is>
      </c>
    </row>
    <row r="174">
      <c r="A174" s="2" t="n">
        <v>172</v>
      </c>
      <c r="B174" s="2" t="inlineStr">
        <is>
          <t>Thứ năm ngày 25-06-2026</t>
        </is>
      </c>
      <c r="C174" s="3" t="inlineStr">
        <is>
          <t>54804</t>
        </is>
      </c>
      <c r="D174" s="3" t="inlineStr">
        <is>
          <t>04</t>
        </is>
      </c>
      <c r="E174" s="3" t="inlineStr">
        <is>
          <t>Đầu 0</t>
        </is>
      </c>
      <c r="F174" s="3" t="inlineStr">
        <is>
          <t>Đuôi 4</t>
        </is>
      </c>
      <c r="G174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</t>
        </is>
      </c>
      <c r="H174" s="7" t="inlineStr">
        <is>
          <t>TRÚNG 🎯</t>
        </is>
      </c>
    </row>
    <row r="175">
      <c r="A175" s="2" t="n">
        <v>173</v>
      </c>
      <c r="B175" s="2" t="inlineStr">
        <is>
          <t>Thứ sáu ngày 26-06-2026</t>
        </is>
      </c>
      <c r="C175" s="3" t="inlineStr">
        <is>
          <t>09253</t>
        </is>
      </c>
      <c r="D175" s="3" t="inlineStr">
        <is>
          <t>53</t>
        </is>
      </c>
      <c r="E175" s="3" t="inlineStr">
        <is>
          <t>Đầu 5</t>
        </is>
      </c>
      <c r="F175" s="3" t="inlineStr">
        <is>
          <t>Đuôi 3</t>
        </is>
      </c>
      <c r="G175" s="3" t="inlineStr">
        <is>
          <t>00, 02, 05, 07, 11, 14, 16, 19, 20, 23, 25, 28, 32, 34, 37, 39, 41, 43, 46, 48, 50, 52, 55, 57, 61, 64, 66, 69, 70, 73, 75, 78, 82, 84, 87, 89, 91, 93, 96, 98</t>
        </is>
      </c>
      <c r="H175" s="6" t="inlineStr">
        <is>
          <t>TRƯỢT ❌</t>
        </is>
      </c>
    </row>
    <row r="176">
      <c r="A176" s="2" t="n">
        <v>174</v>
      </c>
      <c r="B176" s="2" t="inlineStr">
        <is>
          <t>Thứ bảy ngày 27-06-2026</t>
        </is>
      </c>
      <c r="C176" s="3" t="inlineStr">
        <is>
          <t>12452</t>
        </is>
      </c>
      <c r="D176" s="3" t="inlineStr">
        <is>
          <t>52</t>
        </is>
      </c>
      <c r="E176" s="3" t="inlineStr">
        <is>
          <t>Đầu 5</t>
        </is>
      </c>
      <c r="F176" s="3" t="inlineStr">
        <is>
          <t>Đuôi 2</t>
        </is>
      </c>
      <c r="G17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76" s="7" t="inlineStr">
        <is>
          <t>TRÚNG 🎯</t>
        </is>
      </c>
    </row>
    <row r="177">
      <c r="A177" s="2" t="n">
        <v>175</v>
      </c>
      <c r="B177" s="2" t="inlineStr">
        <is>
          <t>Chủ nhật ngày 28-06-2026</t>
        </is>
      </c>
      <c r="C177" s="3" t="inlineStr">
        <is>
          <t>37642</t>
        </is>
      </c>
      <c r="D177" s="3" t="inlineStr">
        <is>
          <t>42</t>
        </is>
      </c>
      <c r="E177" s="3" t="inlineStr">
        <is>
          <t>Đầu 4</t>
        </is>
      </c>
      <c r="F177" s="3" t="inlineStr">
        <is>
          <t>Đuôi 2</t>
        </is>
      </c>
      <c r="G177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77" s="6" t="inlineStr">
        <is>
          <t>TRƯỢT ❌</t>
        </is>
      </c>
    </row>
    <row r="178">
      <c r="A178" s="2" t="n">
        <v>176</v>
      </c>
      <c r="B178" s="2" t="inlineStr">
        <is>
          <t>Thứ hai ngày 29-06-2026</t>
        </is>
      </c>
      <c r="C178" s="3" t="inlineStr">
        <is>
          <t>60468</t>
        </is>
      </c>
      <c r="D178" s="3" t="inlineStr">
        <is>
          <t>68</t>
        </is>
      </c>
      <c r="E178" s="3" t="inlineStr">
        <is>
          <t>Đầu 6</t>
        </is>
      </c>
      <c r="F178" s="3" t="inlineStr">
        <is>
          <t>Đuôi 8</t>
        </is>
      </c>
      <c r="G178" s="3" t="inlineStr">
        <is>
          <t>02, 03, 07, 08, 11, 12, 16, 17, 20, 21, 25, 26, 30, 34, 35, 39, 43, 44, 48, 49, 52, 53, 57, 58, 61, 62, 66, 67, 70, 71, 75, 76, 80, 84, 85, 89, 93, 94, 98, 99</t>
        </is>
      </c>
      <c r="H178" s="6" t="inlineStr">
        <is>
          <t>TRƯỢT ❌</t>
        </is>
      </c>
    </row>
    <row r="179">
      <c r="A179" s="2" t="n">
        <v>177</v>
      </c>
      <c r="B179" s="2" t="inlineStr">
        <is>
          <t>Thứ ba ngày 30-06-2026</t>
        </is>
      </c>
      <c r="C179" s="3" t="inlineStr">
        <is>
          <t>31854</t>
        </is>
      </c>
      <c r="D179" s="3" t="inlineStr">
        <is>
          <t>54</t>
        </is>
      </c>
      <c r="E179" s="3" t="inlineStr">
        <is>
          <t>Đầu 5</t>
        </is>
      </c>
      <c r="F179" s="3" t="inlineStr">
        <is>
          <t>Đuôi 4</t>
        </is>
      </c>
      <c r="G17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79" s="7" t="inlineStr">
        <is>
          <t>TRÚNG 🎯</t>
        </is>
      </c>
    </row>
    <row r="180">
      <c r="A180" s="2" t="n">
        <v>178</v>
      </c>
      <c r="B180" s="2" t="inlineStr">
        <is>
          <t>Thứ tư ngày 01-07-2026</t>
        </is>
      </c>
      <c r="C180" s="3" t="inlineStr">
        <is>
          <t>51139</t>
        </is>
      </c>
      <c r="D180" s="3" t="inlineStr">
        <is>
          <t>39</t>
        </is>
      </c>
      <c r="E180" s="3" t="inlineStr">
        <is>
          <t>Đầu 3</t>
        </is>
      </c>
      <c r="F180" s="3" t="inlineStr">
        <is>
          <t>Đuôi 9</t>
        </is>
      </c>
      <c r="G18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80" s="7" t="inlineStr">
        <is>
          <t>TRÚNG 🎯</t>
        </is>
      </c>
    </row>
    <row r="181">
      <c r="A181" s="2" t="n">
        <v>179</v>
      </c>
      <c r="B181" s="2" t="inlineStr">
        <is>
          <t>Thứ năm ngày 02-07-2026</t>
        </is>
      </c>
      <c r="C181" s="3" t="inlineStr">
        <is>
          <t>18165</t>
        </is>
      </c>
      <c r="D181" s="3" t="inlineStr">
        <is>
          <t>65</t>
        </is>
      </c>
      <c r="E181" s="3" t="inlineStr">
        <is>
          <t>Đầu 6</t>
        </is>
      </c>
      <c r="F181" s="3" t="inlineStr">
        <is>
          <t>Đuôi 5</t>
        </is>
      </c>
      <c r="G181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</t>
        </is>
      </c>
      <c r="H181" s="7" t="inlineStr">
        <is>
          <t>TRÚNG 🎯</t>
        </is>
      </c>
    </row>
    <row r="182">
      <c r="A182" s="2" t="n">
        <v>180</v>
      </c>
      <c r="B182" s="2" t="inlineStr">
        <is>
          <t>Thứ sáu ngày 03-07-2026</t>
        </is>
      </c>
      <c r="C182" s="3" t="inlineStr">
        <is>
          <t>14887</t>
        </is>
      </c>
      <c r="D182" s="3" t="inlineStr">
        <is>
          <t>87</t>
        </is>
      </c>
      <c r="E182" s="3" t="inlineStr">
        <is>
          <t>Đầu 8</t>
        </is>
      </c>
      <c r="F182" s="3" t="inlineStr">
        <is>
          <t>Đuôi 7</t>
        </is>
      </c>
      <c r="G182" s="3" t="inlineStr">
        <is>
          <t>01, 04, 06, 09, 10, 13, 15, 18, 22, 24, 27, 29, 31, 33, 36, 38, 40, 42, 45, 47, 51, 54, 56, 59, 60, 63, 65, 68, 72, 74, 77, 79, 81, 83, 86, 88, 90, 92, 95, 97</t>
        </is>
      </c>
      <c r="H182" s="6" t="inlineStr">
        <is>
          <t>TRƯỢT ❌</t>
        </is>
      </c>
    </row>
    <row r="183">
      <c r="A183" s="2" t="n">
        <v>181</v>
      </c>
      <c r="B183" s="2" t="inlineStr">
        <is>
          <t>Thứ bảy ngày 04-07-2026</t>
        </is>
      </c>
      <c r="C183" s="3" t="inlineStr">
        <is>
          <t>66771</t>
        </is>
      </c>
      <c r="D183" s="3" t="inlineStr">
        <is>
          <t>71</t>
        </is>
      </c>
      <c r="E183" s="3" t="inlineStr">
        <is>
          <t>Đầu 7</t>
        </is>
      </c>
      <c r="F183" s="3" t="inlineStr">
        <is>
          <t>Đuôi 1</t>
        </is>
      </c>
      <c r="G183" s="3" t="inlineStr">
        <is>
          <t>00, 04, 05, 09, 13, 14, 18, 19, 22, 23, 27, 28, 31, 32, 36, 37, 40, 41, 45, 46, 50, 54, 55, 59, 63, 64, 68, 69, 72, 73, 77, 78, 81, 82, 86, 87, 90, 91, 95, 96</t>
        </is>
      </c>
      <c r="H183" s="6" t="inlineStr">
        <is>
          <t>TRƯỢT ❌</t>
        </is>
      </c>
    </row>
    <row r="184">
      <c r="A184" s="2" t="n">
        <v>182</v>
      </c>
      <c r="B184" s="2" t="inlineStr">
        <is>
          <t>Chủ nhật ngày 05-07-2026</t>
        </is>
      </c>
      <c r="C184" s="3" t="inlineStr">
        <is>
          <t>43497</t>
        </is>
      </c>
      <c r="D184" s="3" t="inlineStr">
        <is>
          <t>97</t>
        </is>
      </c>
      <c r="E184" s="3" t="inlineStr">
        <is>
          <t>Đầu 9</t>
        </is>
      </c>
      <c r="F184" s="3" t="inlineStr">
        <is>
          <t>Đuôi 7</t>
        </is>
      </c>
      <c r="G184" s="3" t="inlineStr">
        <is>
          <t>03, 04, 08, 09, 12, 13, 17, 18, 21, 22, 26, 27, 30, 31, 35, 36, 40, 44, 45, 49, 53, 54, 58, 59, 62, 63, 67, 68, 71, 72, 76, 77, 80, 81, 85, 86, 90, 94, 95, 99</t>
        </is>
      </c>
      <c r="H184" s="6" t="inlineStr">
        <is>
          <t>TRƯỢT ❌</t>
        </is>
      </c>
    </row>
    <row r="185">
      <c r="A185" s="2" t="n">
        <v>183</v>
      </c>
      <c r="B185" s="2" t="inlineStr">
        <is>
          <t>Thứ hai ngày 06-07-2026</t>
        </is>
      </c>
      <c r="C185" s="3" t="inlineStr">
        <is>
          <t>92579</t>
        </is>
      </c>
      <c r="D185" s="3" t="inlineStr">
        <is>
          <t>79</t>
        </is>
      </c>
      <c r="E185" s="3" t="inlineStr">
        <is>
          <t>Đầu 7</t>
        </is>
      </c>
      <c r="F185" s="3" t="inlineStr">
        <is>
          <t>Đuôi 9</t>
        </is>
      </c>
      <c r="G18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85" s="6" t="inlineStr">
        <is>
          <t>TRƯỢT ❌</t>
        </is>
      </c>
    </row>
    <row r="186">
      <c r="A186" s="2" t="n">
        <v>184</v>
      </c>
      <c r="B186" s="2" t="inlineStr">
        <is>
          <t>Thứ ba ngày 07-07-2026</t>
        </is>
      </c>
      <c r="C186" s="3" t="inlineStr">
        <is>
          <t>95089</t>
        </is>
      </c>
      <c r="D186" s="3" t="inlineStr">
        <is>
          <t>89</t>
        </is>
      </c>
      <c r="E186" s="3" t="inlineStr">
        <is>
          <t>Đầu 8</t>
        </is>
      </c>
      <c r="F186" s="3" t="inlineStr">
        <is>
          <t>Đuôi 9</t>
        </is>
      </c>
      <c r="G186" s="3" t="inlineStr">
        <is>
          <t>03, 04, 08, 09, 12, 13, 17, 18, 21, 22, 26, 27, 30, 31, 35, 36, 40, 44, 45, 49, 53, 54, 58, 59, 62, 63, 67, 68, 71, 72, 76, 77, 80, 81, 85, 86, 90, 94, 95, 99</t>
        </is>
      </c>
      <c r="H186" s="6" t="inlineStr">
        <is>
          <t>TRƯỢT ❌</t>
        </is>
      </c>
    </row>
    <row r="187">
      <c r="A187" s="2" t="n">
        <v>185</v>
      </c>
      <c r="B187" s="2" t="inlineStr">
        <is>
          <t>Thứ tư ngày 08-07-2026</t>
        </is>
      </c>
      <c r="C187" s="3" t="inlineStr">
        <is>
          <t>69185</t>
        </is>
      </c>
      <c r="D187" s="3" t="inlineStr">
        <is>
          <t>85</t>
        </is>
      </c>
      <c r="E187" s="3" t="inlineStr">
        <is>
          <t>Đầu 8</t>
        </is>
      </c>
      <c r="F187" s="3" t="inlineStr">
        <is>
          <t>Đuôi 5</t>
        </is>
      </c>
      <c r="G187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</t>
        </is>
      </c>
      <c r="H187" s="6" t="inlineStr">
        <is>
          <t>TRƯỢT ❌</t>
        </is>
      </c>
    </row>
    <row r="188">
      <c r="A188" s="2" t="n">
        <v>186</v>
      </c>
      <c r="B188" s="2" t="inlineStr">
        <is>
          <t>Thứ năm ngày 09-07-2026</t>
        </is>
      </c>
      <c r="C188" s="3" t="inlineStr">
        <is>
          <t>72767</t>
        </is>
      </c>
      <c r="D188" s="3" t="inlineStr">
        <is>
          <t>67</t>
        </is>
      </c>
      <c r="E188" s="3" t="inlineStr">
        <is>
          <t>Đầu 6</t>
        </is>
      </c>
      <c r="F188" s="3" t="inlineStr">
        <is>
          <t>Đuôi 7</t>
        </is>
      </c>
      <c r="G188" s="3" t="inlineStr">
        <is>
          <t>00, 04, 05, 09, 13, 14, 18, 19, 22, 23, 27, 28, 31, 32, 36, 37, 40, 41, 45, 46, 50, 54, 55, 59, 63, 64, 68, 69, 72, 73, 77, 78, 81, 82, 86, 87, 90, 91, 95, 96</t>
        </is>
      </c>
      <c r="H188" s="6" t="inlineStr">
        <is>
          <t>TRƯỢT ❌</t>
        </is>
      </c>
    </row>
    <row r="189">
      <c r="A189" s="2" t="n">
        <v>187</v>
      </c>
      <c r="B189" s="2" t="inlineStr">
        <is>
          <t>Thứ sáu ngày 10-07-2026</t>
        </is>
      </c>
      <c r="C189" s="3" t="inlineStr">
        <is>
          <t>09401</t>
        </is>
      </c>
      <c r="D189" s="3" t="inlineStr">
        <is>
          <t>01</t>
        </is>
      </c>
      <c r="E189" s="3" t="inlineStr">
        <is>
          <t>Đầu 0</t>
        </is>
      </c>
      <c r="F189" s="3" t="inlineStr">
        <is>
          <t>Đuôi 1</t>
        </is>
      </c>
      <c r="G18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89" s="6" t="inlineStr">
        <is>
          <t>TRƯỢT ❌</t>
        </is>
      </c>
    </row>
    <row r="190">
      <c r="A190" s="2" t="n">
        <v>188</v>
      </c>
      <c r="B190" s="2" t="inlineStr">
        <is>
          <t>Thứ bảy ngày 11-07-2026</t>
        </is>
      </c>
      <c r="C190" s="3" t="inlineStr">
        <is>
          <t>10494</t>
        </is>
      </c>
      <c r="D190" s="3" t="inlineStr">
        <is>
          <t>94</t>
        </is>
      </c>
      <c r="E190" s="3" t="inlineStr">
        <is>
          <t>Đầu 9</t>
        </is>
      </c>
      <c r="F190" s="3" t="inlineStr">
        <is>
          <t>Đuôi 4</t>
        </is>
      </c>
      <c r="G190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</t>
        </is>
      </c>
      <c r="H190" s="7" t="inlineStr">
        <is>
          <t>TRÚNG 🎯</t>
        </is>
      </c>
    </row>
    <row r="191">
      <c r="A191" s="2" t="n">
        <v>189</v>
      </c>
      <c r="B191" s="2" t="inlineStr">
        <is>
          <t>Chủ nhật ngày 12-07-2026</t>
        </is>
      </c>
      <c r="C191" s="3" t="inlineStr">
        <is>
          <t>74299</t>
        </is>
      </c>
      <c r="D191" s="3" t="inlineStr">
        <is>
          <t>99</t>
        </is>
      </c>
      <c r="E191" s="3" t="inlineStr">
        <is>
          <t>Đầu 9</t>
        </is>
      </c>
      <c r="F191" s="3" t="inlineStr">
        <is>
          <t>Đuôi 9</t>
        </is>
      </c>
      <c r="G191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</t>
        </is>
      </c>
      <c r="H191" s="7" t="inlineStr">
        <is>
          <t>TRÚNG 🎯</t>
        </is>
      </c>
    </row>
    <row r="192">
      <c r="A192" s="2" t="n">
        <v>190</v>
      </c>
      <c r="B192" s="2" t="inlineStr">
        <is>
          <t>Thứ hai ngày 13-07-2026</t>
        </is>
      </c>
      <c r="C192" s="3" t="inlineStr">
        <is>
          <t>59147</t>
        </is>
      </c>
      <c r="D192" s="3" t="inlineStr">
        <is>
          <t>47</t>
        </is>
      </c>
      <c r="E192" s="3" t="inlineStr">
        <is>
          <t>Đầu 4</t>
        </is>
      </c>
      <c r="F192" s="3" t="inlineStr">
        <is>
          <t>Đuôi 7</t>
        </is>
      </c>
      <c r="G192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</t>
        </is>
      </c>
      <c r="H192" s="7" t="inlineStr">
        <is>
          <t>TRÚNG 🎯</t>
        </is>
      </c>
    </row>
    <row r="193">
      <c r="A193" s="2" t="n">
        <v>191</v>
      </c>
      <c r="B193" s="2" t="inlineStr">
        <is>
          <t>Thứ ba ngày 14-07-2026</t>
        </is>
      </c>
      <c r="C193" s="3" t="inlineStr">
        <is>
          <t>36119</t>
        </is>
      </c>
      <c r="D193" s="3" t="inlineStr">
        <is>
          <t>19</t>
        </is>
      </c>
      <c r="E193" s="3" t="inlineStr">
        <is>
          <t>Đầu 1</t>
        </is>
      </c>
      <c r="F193" s="3" t="inlineStr">
        <is>
          <t>Đuôi 9</t>
        </is>
      </c>
      <c r="G19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93" s="7" t="inlineStr">
        <is>
          <t>TRÚNG 🎯</t>
        </is>
      </c>
    </row>
    <row r="194">
      <c r="A194" s="2" t="n">
        <v>192</v>
      </c>
      <c r="B194" s="2" t="inlineStr">
        <is>
          <t>Thứ tư ngày 15-07-2026</t>
        </is>
      </c>
      <c r="C194" s="3" t="inlineStr">
        <is>
          <t>96763</t>
        </is>
      </c>
      <c r="D194" s="3" t="inlineStr">
        <is>
          <t>63</t>
        </is>
      </c>
      <c r="E194" s="3" t="inlineStr">
        <is>
          <t>Đầu 6</t>
        </is>
      </c>
      <c r="F194" s="3" t="inlineStr">
        <is>
          <t>Đuôi 3</t>
        </is>
      </c>
      <c r="G194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</t>
        </is>
      </c>
      <c r="H194" s="7" t="inlineStr">
        <is>
          <t>TRÚNG 🎯</t>
        </is>
      </c>
    </row>
    <row r="195">
      <c r="A195" s="2" t="n">
        <v>193</v>
      </c>
      <c r="B195" s="2" t="inlineStr">
        <is>
          <t>Thứ năm ngày 16-07-2026</t>
        </is>
      </c>
      <c r="C195" s="3" t="inlineStr">
        <is>
          <t>45739</t>
        </is>
      </c>
      <c r="D195" s="3" t="inlineStr">
        <is>
          <t>39</t>
        </is>
      </c>
      <c r="E195" s="3" t="inlineStr">
        <is>
          <t>Đầu 3</t>
        </is>
      </c>
      <c r="F195" s="3" t="inlineStr">
        <is>
          <t>Đuôi 9</t>
        </is>
      </c>
      <c r="G195" s="3" t="inlineStr">
        <is>
          <t>02, 03, 07, 08, 11, 12, 16, 17, 20, 21, 25, 26, 30, 34, 35, 39, 43, 44, 48, 49, 52, 53, 57, 58, 61, 62, 66, 67, 70, 71, 75, 76, 80, 84, 85, 89, 93, 94, 98, 99</t>
        </is>
      </c>
      <c r="H195" s="7" t="inlineStr">
        <is>
          <t>TRÚNG 🎯</t>
        </is>
      </c>
    </row>
    <row r="196">
      <c r="A196" s="2" t="n">
        <v>194</v>
      </c>
      <c r="B196" s="2" t="inlineStr">
        <is>
          <t>Thứ sáu ngày 17-07-2026</t>
        </is>
      </c>
      <c r="C196" s="3" t="inlineStr">
        <is>
          <t>26890</t>
        </is>
      </c>
      <c r="D196" s="3" t="inlineStr">
        <is>
          <t>90</t>
        </is>
      </c>
      <c r="E196" s="3" t="inlineStr">
        <is>
          <t>Đầu 9</t>
        </is>
      </c>
      <c r="F196" s="3" t="inlineStr">
        <is>
          <t>Đuôi 0</t>
        </is>
      </c>
      <c r="G19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96" s="7" t="inlineStr">
        <is>
          <t>TRÚNG 🎯</t>
        </is>
      </c>
    </row>
    <row r="197">
      <c r="A197" s="2" t="n">
        <v>195</v>
      </c>
      <c r="B197" s="2" t="inlineStr">
        <is>
          <t>Thứ bảy ngày 18-07-2026</t>
        </is>
      </c>
      <c r="C197" s="3" t="inlineStr">
        <is>
          <t>46438</t>
        </is>
      </c>
      <c r="D197" s="3" t="inlineStr">
        <is>
          <t>38</t>
        </is>
      </c>
      <c r="E197" s="3" t="inlineStr">
        <is>
          <t>Đầu 3</t>
        </is>
      </c>
      <c r="F197" s="3" t="inlineStr">
        <is>
          <t>Đuôi 8</t>
        </is>
      </c>
      <c r="G197" s="3" t="inlineStr">
        <is>
          <t>00, 04, 05, 09, 13, 14, 18, 19, 22, 23, 27, 28, 31, 32, 36, 37, 40, 41, 45, 46, 50, 54, 55, 59, 63, 64, 68, 69, 72, 73, 77, 78, 81, 82, 86, 87, 90, 91, 95, 96</t>
        </is>
      </c>
      <c r="H197" s="6" t="inlineStr">
        <is>
          <t>TRƯỢT ❌</t>
        </is>
      </c>
    </row>
    <row r="198">
      <c r="A198" s="2" t="n">
        <v>196</v>
      </c>
      <c r="B198" s="2" t="inlineStr">
        <is>
          <t>Chủ nhật ngày 19-07-2026</t>
        </is>
      </c>
      <c r="C198" s="3" t="inlineStr">
        <is>
          <t>39128</t>
        </is>
      </c>
      <c r="D198" s="3" t="inlineStr">
        <is>
          <t>28</t>
        </is>
      </c>
      <c r="E198" s="3" t="inlineStr">
        <is>
          <t>Đầu 2</t>
        </is>
      </c>
      <c r="F198" s="3" t="inlineStr">
        <is>
          <t>Đuôi 8</t>
        </is>
      </c>
      <c r="G198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</t>
        </is>
      </c>
      <c r="H198" s="7" t="inlineStr">
        <is>
          <t>TRÚNG 🎯</t>
        </is>
      </c>
    </row>
    <row r="199">
      <c r="A199" s="2" t="n">
        <v>197</v>
      </c>
      <c r="B199" s="2" t="inlineStr">
        <is>
          <t>Thứ hai ngày 20-07-2026</t>
        </is>
      </c>
      <c r="C199" s="3" t="inlineStr">
        <is>
          <t>73070</t>
        </is>
      </c>
      <c r="D199" s="3" t="inlineStr">
        <is>
          <t>70</t>
        </is>
      </c>
      <c r="E199" s="3" t="inlineStr">
        <is>
          <t>Đầu 7</t>
        </is>
      </c>
      <c r="F199" s="3" t="inlineStr">
        <is>
          <t>Đuôi 0</t>
        </is>
      </c>
      <c r="G199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</t>
        </is>
      </c>
      <c r="H199" s="7" t="inlineStr">
        <is>
          <t>TRÚNG 🎯</t>
        </is>
      </c>
    </row>
    <row r="200">
      <c r="A200" s="2" t="n">
        <v>198</v>
      </c>
      <c r="B200" s="2" t="inlineStr">
        <is>
          <t>Thứ ba ngày 21-07-2026</t>
        </is>
      </c>
      <c r="C200" s="3" t="inlineStr">
        <is>
          <t>92154</t>
        </is>
      </c>
      <c r="D200" s="3" t="inlineStr">
        <is>
          <t>54</t>
        </is>
      </c>
      <c r="E200" s="3" t="inlineStr">
        <is>
          <t>Đầu 5</t>
        </is>
      </c>
      <c r="F200" s="3" t="inlineStr">
        <is>
          <t>Đuôi 4</t>
        </is>
      </c>
      <c r="G20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00" s="7" t="inlineStr">
        <is>
          <t>TRÚNG 🎯</t>
        </is>
      </c>
    </row>
    <row r="201">
      <c r="A201" s="2" t="n">
        <v>199</v>
      </c>
      <c r="B201" s="2" t="inlineStr">
        <is>
          <t>Thứ tư ngày 22-07-2026</t>
        </is>
      </c>
      <c r="C201" s="3" t="inlineStr">
        <is>
          <t>78754</t>
        </is>
      </c>
      <c r="D201" s="3" t="inlineStr">
        <is>
          <t>54</t>
        </is>
      </c>
      <c r="E201" s="3" t="inlineStr">
        <is>
          <t>Đầu 5</t>
        </is>
      </c>
      <c r="F201" s="3" t="inlineStr">
        <is>
          <t>Đuôi 4</t>
        </is>
      </c>
      <c r="G201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01" s="7" t="inlineStr">
        <is>
          <t>TRÚNG 🎯</t>
        </is>
      </c>
    </row>
    <row r="202">
      <c r="A202" s="2" t="n">
        <v>200</v>
      </c>
      <c r="B202" s="2" t="inlineStr">
        <is>
          <t>Thứ năm ngày 23-07-2026</t>
        </is>
      </c>
      <c r="C202" s="3" t="inlineStr">
        <is>
          <t>94738</t>
        </is>
      </c>
      <c r="D202" s="3" t="inlineStr">
        <is>
          <t>38</t>
        </is>
      </c>
      <c r="E202" s="3" t="inlineStr">
        <is>
          <t>Đầu 3</t>
        </is>
      </c>
      <c r="F202" s="3" t="inlineStr">
        <is>
          <t>Đuôi 8</t>
        </is>
      </c>
      <c r="G20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202" s="6" t="inlineStr">
        <is>
          <t>TRƯỢT ❌</t>
        </is>
      </c>
    </row>
    <row r="203">
      <c r="A203" s="2" t="n">
        <v>201</v>
      </c>
      <c r="B203" s="2" t="inlineStr">
        <is>
          <t>Thứ sáu ngày 24-07-2026</t>
        </is>
      </c>
      <c r="C203" s="3" t="inlineStr">
        <is>
          <t>89228</t>
        </is>
      </c>
      <c r="D203" s="3" t="inlineStr">
        <is>
          <t>28</t>
        </is>
      </c>
      <c r="E203" s="3" t="inlineStr">
        <is>
          <t>Đầu 2</t>
        </is>
      </c>
      <c r="F203" s="3" t="inlineStr">
        <is>
          <t>Đuôi 8</t>
        </is>
      </c>
      <c r="G203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</t>
        </is>
      </c>
      <c r="H203" s="7" t="inlineStr">
        <is>
          <t>TRÚNG 🎯</t>
        </is>
      </c>
    </row>
    <row r="204">
      <c r="A204" s="2" t="n">
        <v>202</v>
      </c>
      <c r="B204" s="2" t="inlineStr">
        <is>
          <t>Thứ bảy ngày 25-07-2026</t>
        </is>
      </c>
      <c r="C204" s="3" t="inlineStr">
        <is>
          <t>42916</t>
        </is>
      </c>
      <c r="D204" s="3" t="inlineStr">
        <is>
          <t>16</t>
        </is>
      </c>
      <c r="E204" s="3" t="inlineStr">
        <is>
          <t>Đầu 1</t>
        </is>
      </c>
      <c r="F204" s="3" t="inlineStr">
        <is>
          <t>Đuôi 6</t>
        </is>
      </c>
      <c r="G20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04" s="7" t="inlineStr">
        <is>
          <t>TRÚNG 🎯</t>
        </is>
      </c>
    </row>
    <row r="205">
      <c r="A205" s="2" t="n">
        <v>203</v>
      </c>
      <c r="B205" s="2" t="inlineStr">
        <is>
          <t>Chủ nhật ngày 26-07-2026</t>
        </is>
      </c>
      <c r="C205" s="3" t="inlineStr">
        <is>
          <t>54796</t>
        </is>
      </c>
      <c r="D205" s="3" t="inlineStr">
        <is>
          <t>96</t>
        </is>
      </c>
      <c r="E205" s="3" t="inlineStr">
        <is>
          <t>Đầu 9</t>
        </is>
      </c>
      <c r="F205" s="3" t="inlineStr">
        <is>
          <t>Đuôi 6</t>
        </is>
      </c>
      <c r="G20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05" s="7" t="inlineStr">
        <is>
          <t>TRÚNG 🎯</t>
        </is>
      </c>
    </row>
    <row r="206">
      <c r="A206" s="2" t="n">
        <v>204</v>
      </c>
      <c r="B206" s="2" t="inlineStr">
        <is>
          <t>Thứ hai ngày 27-07-2026</t>
        </is>
      </c>
      <c r="C206" s="3" t="inlineStr">
        <is>
          <t>65000</t>
        </is>
      </c>
      <c r="D206" s="3" t="inlineStr">
        <is>
          <t>00</t>
        </is>
      </c>
      <c r="E206" s="3" t="inlineStr">
        <is>
          <t>Đầu 0</t>
        </is>
      </c>
      <c r="F206" s="3" t="inlineStr">
        <is>
          <t>Đuôi 0</t>
        </is>
      </c>
      <c r="G20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06" s="7" t="inlineStr">
        <is>
          <t>TRÚNG 🎯</t>
        </is>
      </c>
    </row>
    <row r="207">
      <c r="A207" s="2" t="n">
        <v>205</v>
      </c>
      <c r="B207" s="2" t="inlineStr">
        <is>
          <t>Thứ ba ngày 28-07-2026</t>
        </is>
      </c>
      <c r="C207" s="3" t="inlineStr">
        <is>
          <t>39983</t>
        </is>
      </c>
      <c r="D207" s="3" t="inlineStr">
        <is>
          <t>83</t>
        </is>
      </c>
      <c r="E207" s="3" t="inlineStr">
        <is>
          <t>Đầu 8</t>
        </is>
      </c>
      <c r="F207" s="3" t="inlineStr">
        <is>
          <t>Đuôi 3</t>
        </is>
      </c>
      <c r="G207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</t>
        </is>
      </c>
      <c r="H207" s="7" t="inlineStr">
        <is>
          <t>TRÚNG 🎯</t>
        </is>
      </c>
    </row>
    <row r="208">
      <c r="A208" s="2" t="n">
        <v>206</v>
      </c>
      <c r="B208" s="2" t="inlineStr">
        <is>
          <t>Thứ tư ngày 29-07-2026</t>
        </is>
      </c>
      <c r="C208" s="3" t="inlineStr">
        <is>
          <t>50834</t>
        </is>
      </c>
      <c r="D208" s="3" t="inlineStr">
        <is>
          <t>34</t>
        </is>
      </c>
      <c r="E208" s="3" t="inlineStr">
        <is>
          <t>Đầu 3</t>
        </is>
      </c>
      <c r="F208" s="3" t="inlineStr">
        <is>
          <t>Đuôi 4</t>
        </is>
      </c>
      <c r="G208" s="3" t="inlineStr">
        <is>
          <t>02, 04, 07, 09, 11, 13, 16, 18, 20, 22, 25, 27, 31, 34, 36, 39, 40, 43, 45, 48, 52, 54, 57, 59, 61, 63, 66, 68, 70, 72, 75, 77, 81, 84, 86, 89, 90, 93, 95, 98</t>
        </is>
      </c>
      <c r="H208" s="7" t="inlineStr">
        <is>
          <t>TRÚNG 🎯</t>
        </is>
      </c>
    </row>
    <row r="209">
      <c r="A209" s="2" t="n">
        <v>207</v>
      </c>
      <c r="B209" s="2" t="inlineStr">
        <is>
          <t>Thứ năm ngày 30-07-2026</t>
        </is>
      </c>
      <c r="C209" s="3" t="inlineStr">
        <is>
          <t>41710</t>
        </is>
      </c>
      <c r="D209" s="3" t="inlineStr">
        <is>
          <t>10</t>
        </is>
      </c>
      <c r="E209" s="3" t="inlineStr">
        <is>
          <t>Đầu 1</t>
        </is>
      </c>
      <c r="F209" s="3" t="inlineStr">
        <is>
          <t>Đuôi 0</t>
        </is>
      </c>
      <c r="G20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209" s="7" t="inlineStr">
        <is>
          <t>TRÚNG 🎯</t>
        </is>
      </c>
    </row>
    <row r="210">
      <c r="A210" s="2" t="n">
        <v>208</v>
      </c>
      <c r="B210" s="2" t="inlineStr">
        <is>
          <t>Thứ sáu ngày 31-07-2026</t>
        </is>
      </c>
      <c r="C210" s="3" t="inlineStr">
        <is>
          <t>44823</t>
        </is>
      </c>
      <c r="D210" s="3" t="inlineStr">
        <is>
          <t>23</t>
        </is>
      </c>
      <c r="E210" s="3" t="inlineStr">
        <is>
          <t>Đầu 2</t>
        </is>
      </c>
      <c r="F210" s="3" t="inlineStr">
        <is>
          <t>Đuôi 3</t>
        </is>
      </c>
      <c r="G210" s="3" t="inlineStr">
        <is>
          <t>01, 04, 06, 09, 10, 13, 15, 18, 22, 24, 27, 29, 31, 33, 36, 38, 40, 42, 45, 47, 51, 54, 56, 59, 60, 63, 65, 68, 72, 74, 77, 79, 81, 83, 86, 88, 90, 92, 95, 97</t>
        </is>
      </c>
      <c r="H210" s="6" t="inlineStr">
        <is>
          <t>TRƯỢT ❌</t>
        </is>
      </c>
    </row>
    <row r="211">
      <c r="A211" s="2" t="n">
        <v>209</v>
      </c>
      <c r="B211" s="2" t="inlineStr">
        <is>
          <t>Thứ bảy ngày 01-08-2026</t>
        </is>
      </c>
      <c r="C211" s="3" t="inlineStr">
        <is>
          <t>11909</t>
        </is>
      </c>
      <c r="D211" s="3" t="inlineStr">
        <is>
          <t>09</t>
        </is>
      </c>
      <c r="E211" s="3" t="inlineStr">
        <is>
          <t>Đầu 0</t>
        </is>
      </c>
      <c r="F211" s="3" t="inlineStr">
        <is>
          <t>Đuôi 9</t>
        </is>
      </c>
      <c r="G211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</t>
        </is>
      </c>
      <c r="H211" s="7" t="inlineStr">
        <is>
          <t>TRÚNG 🎯</t>
        </is>
      </c>
    </row>
    <row r="212">
      <c r="A212" s="2" t="n">
        <v>210</v>
      </c>
      <c r="B212" s="2" t="inlineStr">
        <is>
          <t>Chủ nhật ngày 02-08-2026</t>
        </is>
      </c>
      <c r="C212" s="3" t="inlineStr">
        <is>
          <t>79247</t>
        </is>
      </c>
      <c r="D212" s="3" t="inlineStr">
        <is>
          <t>47</t>
        </is>
      </c>
      <c r="E212" s="3" t="inlineStr">
        <is>
          <t>Đầu 4</t>
        </is>
      </c>
      <c r="F212" s="3" t="inlineStr">
        <is>
          <t>Đuôi 7</t>
        </is>
      </c>
      <c r="G212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</t>
        </is>
      </c>
      <c r="H212" s="6" t="inlineStr">
        <is>
          <t>TRƯỢT ❌</t>
        </is>
      </c>
    </row>
    <row r="213">
      <c r="A213" s="2" t="n">
        <v>211</v>
      </c>
      <c r="B213" s="2" t="inlineStr">
        <is>
          <t>Thứ hai ngày 03-08-2026</t>
        </is>
      </c>
      <c r="C213" s="3" t="inlineStr">
        <is>
          <t>51125</t>
        </is>
      </c>
      <c r="D213" s="3" t="inlineStr">
        <is>
          <t>25</t>
        </is>
      </c>
      <c r="E213" s="3" t="inlineStr">
        <is>
          <t>Đầu 2</t>
        </is>
      </c>
      <c r="F213" s="3" t="inlineStr">
        <is>
          <t>Đuôi 5</t>
        </is>
      </c>
      <c r="G21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213" s="6" t="inlineStr">
        <is>
          <t>TRƯỢT ❌</t>
        </is>
      </c>
    </row>
    <row r="214">
      <c r="A214" s="2" t="n">
        <v>212</v>
      </c>
      <c r="B214" s="2" t="inlineStr">
        <is>
          <t>Thứ ba ngày 04-08-2026</t>
        </is>
      </c>
      <c r="C214" s="3" t="inlineStr">
        <is>
          <t>59760</t>
        </is>
      </c>
      <c r="D214" s="3" t="inlineStr">
        <is>
          <t>60</t>
        </is>
      </c>
      <c r="E214" s="3" t="inlineStr">
        <is>
          <t>Đầu 6</t>
        </is>
      </c>
      <c r="F214" s="3" t="inlineStr">
        <is>
          <t>Đuôi 0</t>
        </is>
      </c>
      <c r="G21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14" s="6" t="inlineStr">
        <is>
          <t>TRƯỢT ❌</t>
        </is>
      </c>
    </row>
    <row r="215">
      <c r="A215" s="2" t="n">
        <v>213</v>
      </c>
      <c r="B215" s="2" t="inlineStr">
        <is>
          <t>Thứ tư ngày 05-08-2026</t>
        </is>
      </c>
      <c r="C215" s="3" t="inlineStr">
        <is>
          <t>26167</t>
        </is>
      </c>
      <c r="D215" s="3" t="inlineStr">
        <is>
          <t>67</t>
        </is>
      </c>
      <c r="E215" s="3" t="inlineStr">
        <is>
          <t>Đầu 6</t>
        </is>
      </c>
      <c r="F215" s="3" t="inlineStr">
        <is>
          <t>Đuôi 7</t>
        </is>
      </c>
      <c r="G21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215" s="6" t="inlineStr">
        <is>
          <t>TRƯỢT ❌</t>
        </is>
      </c>
    </row>
    <row r="216">
      <c r="A216" s="2" t="n">
        <v>214</v>
      </c>
      <c r="B216" s="2" t="inlineStr">
        <is>
          <t>Thứ năm ngày 06-08-2026</t>
        </is>
      </c>
      <c r="C216" s="3" t="inlineStr">
        <is>
          <t>16479</t>
        </is>
      </c>
      <c r="D216" s="3" t="inlineStr">
        <is>
          <t>79</t>
        </is>
      </c>
      <c r="E216" s="3" t="inlineStr">
        <is>
          <t>Đầu 7</t>
        </is>
      </c>
      <c r="F216" s="3" t="inlineStr">
        <is>
          <t>Đuôi 9</t>
        </is>
      </c>
      <c r="G216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</t>
        </is>
      </c>
      <c r="H216" s="6" t="inlineStr">
        <is>
          <t>TRƯỢT ❌</t>
        </is>
      </c>
    </row>
    <row r="217">
      <c r="A217" s="2" t="n">
        <v>215</v>
      </c>
      <c r="B217" s="2" t="inlineStr">
        <is>
          <t>Thứ sáu ngày 07-08-2026</t>
        </is>
      </c>
      <c r="C217" s="3" t="inlineStr">
        <is>
          <t>04922</t>
        </is>
      </c>
      <c r="D217" s="3" t="inlineStr">
        <is>
          <t>22</t>
        </is>
      </c>
      <c r="E217" s="3" t="inlineStr">
        <is>
          <t>Đầu 2</t>
        </is>
      </c>
      <c r="F217" s="3" t="inlineStr">
        <is>
          <t>Đuôi 2</t>
        </is>
      </c>
      <c r="G21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17" s="7" t="inlineStr">
        <is>
          <t>TRÚNG 🎯</t>
        </is>
      </c>
    </row>
    <row r="218">
      <c r="A218" s="2" t="n">
        <v>216</v>
      </c>
      <c r="B218" s="2" t="inlineStr">
        <is>
          <t>Thứ bảy ngày 08-08-2026</t>
        </is>
      </c>
      <c r="C218" s="3" t="inlineStr">
        <is>
          <t>12221</t>
        </is>
      </c>
      <c r="D218" s="3" t="inlineStr">
        <is>
          <t>21</t>
        </is>
      </c>
      <c r="E218" s="3" t="inlineStr">
        <is>
          <t>Đầu 2</t>
        </is>
      </c>
      <c r="F218" s="3" t="inlineStr">
        <is>
          <t>Đuôi 1</t>
        </is>
      </c>
      <c r="G218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18" s="7" t="inlineStr">
        <is>
          <t>TRÚNG 🎯</t>
        </is>
      </c>
    </row>
    <row r="219">
      <c r="A219" s="2" t="n">
        <v>217</v>
      </c>
      <c r="B219" s="2" t="inlineStr">
        <is>
          <t>Chủ nhật ngày 09-08-2026</t>
        </is>
      </c>
      <c r="C219" s="3" t="inlineStr">
        <is>
          <t>92957</t>
        </is>
      </c>
      <c r="D219" s="3" t="inlineStr">
        <is>
          <t>57</t>
        </is>
      </c>
      <c r="E219" s="3" t="inlineStr">
        <is>
          <t>Đầu 5</t>
        </is>
      </c>
      <c r="F219" s="3" t="inlineStr">
        <is>
          <t>Đuôi 7</t>
        </is>
      </c>
      <c r="G21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19" s="6" t="inlineStr">
        <is>
          <t>TRƯỢT ❌</t>
        </is>
      </c>
    </row>
    <row r="220">
      <c r="A220" s="2" t="n">
        <v>218</v>
      </c>
      <c r="B220" s="2" t="inlineStr">
        <is>
          <t>Thứ hai ngày 10-08-2026</t>
        </is>
      </c>
      <c r="C220" s="3" t="inlineStr">
        <is>
          <t>92191</t>
        </is>
      </c>
      <c r="D220" s="3" t="inlineStr">
        <is>
          <t>91</t>
        </is>
      </c>
      <c r="E220" s="3" t="inlineStr">
        <is>
          <t>Đầu 9</t>
        </is>
      </c>
      <c r="F220" s="3" t="inlineStr">
        <is>
          <t>Đuôi 1</t>
        </is>
      </c>
      <c r="G220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220" s="6" t="inlineStr">
        <is>
          <t>TRƯỢT ❌</t>
        </is>
      </c>
    </row>
    <row r="221">
      <c r="A221" s="2" t="n">
        <v>219</v>
      </c>
      <c r="B221" s="2" t="inlineStr">
        <is>
          <t>Thứ ba ngày 11-08-2026</t>
        </is>
      </c>
      <c r="C221" s="3" t="inlineStr">
        <is>
          <t>82326</t>
        </is>
      </c>
      <c r="D221" s="3" t="inlineStr">
        <is>
          <t>26</t>
        </is>
      </c>
      <c r="E221" s="3" t="inlineStr">
        <is>
          <t>Đầu 2</t>
        </is>
      </c>
      <c r="F221" s="3" t="inlineStr">
        <is>
          <t>Đuôi 6</t>
        </is>
      </c>
      <c r="G22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221" s="6" t="inlineStr">
        <is>
          <t>TRƯỢT ❌</t>
        </is>
      </c>
    </row>
    <row r="222">
      <c r="A222" s="2" t="n">
        <v>220</v>
      </c>
      <c r="B222" s="2" t="inlineStr">
        <is>
          <t>Thứ tư ngày 12-08-2026</t>
        </is>
      </c>
      <c r="C222" s="3" t="inlineStr">
        <is>
          <t>79344</t>
        </is>
      </c>
      <c r="D222" s="3" t="inlineStr">
        <is>
          <t>44</t>
        </is>
      </c>
      <c r="E222" s="3" t="inlineStr">
        <is>
          <t>Đầu 4</t>
        </is>
      </c>
      <c r="F222" s="3" t="inlineStr">
        <is>
          <t>Đuôi 4</t>
        </is>
      </c>
      <c r="G222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222" s="7" t="inlineStr">
        <is>
          <t>TRÚNG 🎯</t>
        </is>
      </c>
    </row>
    <row r="223">
      <c r="A223" s="2" t="n">
        <v>221</v>
      </c>
      <c r="B223" s="2" t="inlineStr">
        <is>
          <t>Thứ năm ngày 13-08-2026</t>
        </is>
      </c>
      <c r="C223" s="3" t="inlineStr">
        <is>
          <t>80018</t>
        </is>
      </c>
      <c r="D223" s="3" t="inlineStr">
        <is>
          <t>18</t>
        </is>
      </c>
      <c r="E223" s="3" t="inlineStr">
        <is>
          <t>Đầu 1</t>
        </is>
      </c>
      <c r="F223" s="3" t="inlineStr">
        <is>
          <t>Đuôi 8</t>
        </is>
      </c>
      <c r="G22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23" s="6" t="inlineStr">
        <is>
          <t>TRƯỢT ❌</t>
        </is>
      </c>
    </row>
    <row r="224">
      <c r="A224" s="2" t="n">
        <v>222</v>
      </c>
      <c r="B224" s="2" t="inlineStr">
        <is>
          <t>Thứ sáu ngày 14-08-2026</t>
        </is>
      </c>
      <c r="C224" s="3" t="inlineStr">
        <is>
          <t>80278</t>
        </is>
      </c>
      <c r="D224" s="3" t="inlineStr">
        <is>
          <t>78</t>
        </is>
      </c>
      <c r="E224" s="3" t="inlineStr">
        <is>
          <t>Đầu 7</t>
        </is>
      </c>
      <c r="F224" s="3" t="inlineStr">
        <is>
          <t>Đuôi 8</t>
        </is>
      </c>
      <c r="G22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224" s="7" t="inlineStr">
        <is>
          <t>TRÚNG 🎯</t>
        </is>
      </c>
    </row>
    <row r="225">
      <c r="A225" s="2" t="n">
        <v>223</v>
      </c>
      <c r="B225" s="2" t="inlineStr">
        <is>
          <t>Thứ bảy ngày 15-08-2026</t>
        </is>
      </c>
      <c r="C225" s="3" t="inlineStr">
        <is>
          <t>14696</t>
        </is>
      </c>
      <c r="D225" s="3" t="inlineStr">
        <is>
          <t>96</t>
        </is>
      </c>
      <c r="E225" s="3" t="inlineStr">
        <is>
          <t>Đầu 9</t>
        </is>
      </c>
      <c r="F225" s="3" t="inlineStr">
        <is>
          <t>Đuôi 6</t>
        </is>
      </c>
      <c r="G22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225" s="6" t="inlineStr">
        <is>
          <t>TRƯỢT ❌</t>
        </is>
      </c>
    </row>
    <row r="226">
      <c r="A226" s="2" t="n">
        <v>224</v>
      </c>
      <c r="B226" s="2" t="inlineStr">
        <is>
          <t>Chủ nhật ngày 16-08-2026</t>
        </is>
      </c>
      <c r="C226" s="3" t="inlineStr">
        <is>
          <t>01939</t>
        </is>
      </c>
      <c r="D226" s="3" t="inlineStr">
        <is>
          <t>39</t>
        </is>
      </c>
      <c r="E226" s="3" t="inlineStr">
        <is>
          <t>Đầu 3</t>
        </is>
      </c>
      <c r="F226" s="3" t="inlineStr">
        <is>
          <t>Đuôi 9</t>
        </is>
      </c>
      <c r="G22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226" s="7" t="inlineStr">
        <is>
          <t>TRÚNG 🎯</t>
        </is>
      </c>
    </row>
    <row r="227">
      <c r="A227" s="2" t="n">
        <v>225</v>
      </c>
      <c r="B227" s="2" t="inlineStr">
        <is>
          <t>Thứ hai ngày 17-08-2026</t>
        </is>
      </c>
      <c r="C227" s="3" t="inlineStr">
        <is>
          <t>29183</t>
        </is>
      </c>
      <c r="D227" s="3" t="inlineStr">
        <is>
          <t>83</t>
        </is>
      </c>
      <c r="E227" s="3" t="inlineStr">
        <is>
          <t>Đầu 8</t>
        </is>
      </c>
      <c r="F227" s="3" t="inlineStr">
        <is>
          <t>Đuôi 3</t>
        </is>
      </c>
      <c r="G227" s="3" t="inlineStr">
        <is>
          <t>02, 03, 07, 08, 11, 12, 16, 17, 20, 21, 25, 26, 30, 34, 35, 39, 43, 44, 48, 49, 52, 53, 57, 58, 61, 62, 66, 67, 70, 71, 75, 76, 80, 84, 85, 89, 93, 94, 98, 99</t>
        </is>
      </c>
      <c r="H227" s="6" t="inlineStr">
        <is>
          <t>TRƯỢT ❌</t>
        </is>
      </c>
    </row>
    <row r="228">
      <c r="A228" s="2" t="n">
        <v>226</v>
      </c>
      <c r="B228" s="2" t="inlineStr">
        <is>
          <t>Thứ ba ngày 18-08-2026</t>
        </is>
      </c>
      <c r="C228" s="3" t="inlineStr">
        <is>
          <t>13643</t>
        </is>
      </c>
      <c r="D228" s="3" t="inlineStr">
        <is>
          <t>43</t>
        </is>
      </c>
      <c r="E228" s="3" t="inlineStr">
        <is>
          <t>Đầu 4</t>
        </is>
      </c>
      <c r="F228" s="3" t="inlineStr">
        <is>
          <t>Đuôi 3</t>
        </is>
      </c>
      <c r="G228" s="3" t="inlineStr">
        <is>
          <t>01, 04, 06, 09, 10, 13, 15, 18, 22, 24, 27, 29, 31, 33, 36, 38, 40, 42, 45, 47, 51, 54, 56, 59, 60, 63, 65, 68, 72, 74, 77, 79, 81, 83, 86, 88, 90, 92, 95, 97</t>
        </is>
      </c>
      <c r="H228" s="6" t="inlineStr">
        <is>
          <t>TRƯỢT ❌</t>
        </is>
      </c>
    </row>
    <row r="229">
      <c r="A229" s="2" t="n">
        <v>227</v>
      </c>
      <c r="B229" s="2" t="inlineStr">
        <is>
          <t>Thứ tư ngày 19-08-2026</t>
        </is>
      </c>
      <c r="C229" s="3" t="inlineStr">
        <is>
          <t>07523</t>
        </is>
      </c>
      <c r="D229" s="3" t="inlineStr">
        <is>
          <t>23</t>
        </is>
      </c>
      <c r="E229" s="3" t="inlineStr">
        <is>
          <t>Đầu 2</t>
        </is>
      </c>
      <c r="F229" s="3" t="inlineStr">
        <is>
          <t>Đuôi 3</t>
        </is>
      </c>
      <c r="G22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229" s="7" t="inlineStr">
        <is>
          <t>TRÚNG 🎯</t>
        </is>
      </c>
    </row>
    <row r="230">
      <c r="A230" s="2" t="n">
        <v>228</v>
      </c>
      <c r="B230" s="2" t="inlineStr">
        <is>
          <t>Thứ năm ngày 20-08-2026</t>
        </is>
      </c>
      <c r="C230" s="3" t="inlineStr">
        <is>
          <t>94533</t>
        </is>
      </c>
      <c r="D230" s="3" t="inlineStr">
        <is>
          <t>33</t>
        </is>
      </c>
      <c r="E230" s="3" t="inlineStr">
        <is>
          <t>Đầu 3</t>
        </is>
      </c>
      <c r="F230" s="3" t="inlineStr">
        <is>
          <t>Đuôi 3</t>
        </is>
      </c>
      <c r="G230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30" s="7" t="inlineStr">
        <is>
          <t>TRÚNG 🎯</t>
        </is>
      </c>
    </row>
    <row r="231">
      <c r="A231" s="2" t="n">
        <v>229</v>
      </c>
      <c r="B231" s="2" t="inlineStr">
        <is>
          <t>Thứ sáu ngày 21-08-2026</t>
        </is>
      </c>
      <c r="C231" s="3" t="inlineStr">
        <is>
          <t>60213</t>
        </is>
      </c>
      <c r="D231" s="3" t="inlineStr">
        <is>
          <t>13</t>
        </is>
      </c>
      <c r="E231" s="3" t="inlineStr">
        <is>
          <t>Đầu 1</t>
        </is>
      </c>
      <c r="F231" s="3" t="inlineStr">
        <is>
          <t>Đuôi 3</t>
        </is>
      </c>
      <c r="G231" s="3" t="inlineStr">
        <is>
          <t>03, 04, 08, 09, 12, 13, 17, 18, 21, 22, 26, 27, 30, 31, 35, 36, 40, 44, 45, 49, 53, 54, 58, 59, 62, 63, 67, 68, 71, 72, 76, 77, 80, 81, 85, 86, 90, 94, 95, 99</t>
        </is>
      </c>
      <c r="H231" s="7" t="inlineStr">
        <is>
          <t>TRÚNG 🎯</t>
        </is>
      </c>
    </row>
    <row r="232">
      <c r="A232" s="2" t="n">
        <v>230</v>
      </c>
      <c r="B232" s="2" t="inlineStr">
        <is>
          <t>Thứ bảy ngày 22-08-2026</t>
        </is>
      </c>
      <c r="C232" s="3" t="inlineStr">
        <is>
          <t>37938</t>
        </is>
      </c>
      <c r="D232" s="3" t="inlineStr">
        <is>
          <t>38</t>
        </is>
      </c>
      <c r="E232" s="3" t="inlineStr">
        <is>
          <t>Đầu 3</t>
        </is>
      </c>
      <c r="F232" s="3" t="inlineStr">
        <is>
          <t>Đuôi 8</t>
        </is>
      </c>
      <c r="G232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</t>
        </is>
      </c>
      <c r="H232" s="7" t="inlineStr">
        <is>
          <t>TRÚNG 🎯</t>
        </is>
      </c>
    </row>
    <row r="233">
      <c r="A233" s="2" t="n">
        <v>231</v>
      </c>
      <c r="B233" s="2" t="inlineStr">
        <is>
          <t>Chủ nhật ngày 23-08-2026</t>
        </is>
      </c>
      <c r="C233" s="3" t="inlineStr">
        <is>
          <t>36917</t>
        </is>
      </c>
      <c r="D233" s="3" t="inlineStr">
        <is>
          <t>17</t>
        </is>
      </c>
      <c r="E233" s="3" t="inlineStr">
        <is>
          <t>Đầu 1</t>
        </is>
      </c>
      <c r="F233" s="3" t="inlineStr">
        <is>
          <t>Đuôi 7</t>
        </is>
      </c>
      <c r="G233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</t>
        </is>
      </c>
      <c r="H233" s="7" t="inlineStr">
        <is>
          <t>TRÚNG 🎯</t>
        </is>
      </c>
    </row>
    <row r="234">
      <c r="A234" s="2" t="n">
        <v>232</v>
      </c>
      <c r="B234" s="2" t="inlineStr">
        <is>
          <t>Thứ hai ngày 24-08-2026</t>
        </is>
      </c>
      <c r="C234" s="3" t="inlineStr">
        <is>
          <t>85080</t>
        </is>
      </c>
      <c r="D234" s="3" t="inlineStr">
        <is>
          <t>80</t>
        </is>
      </c>
      <c r="E234" s="3" t="inlineStr">
        <is>
          <t>Đầu 8</t>
        </is>
      </c>
      <c r="F234" s="3" t="inlineStr">
        <is>
          <t>Đuôi 0</t>
        </is>
      </c>
      <c r="G23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34" s="7" t="inlineStr">
        <is>
          <t>TRÚNG 🎯</t>
        </is>
      </c>
    </row>
    <row r="235">
      <c r="A235" s="2" t="n">
        <v>233</v>
      </c>
      <c r="B235" s="2" t="inlineStr">
        <is>
          <t>Thứ ba ngày 25-08-2026</t>
        </is>
      </c>
      <c r="C235" s="3" t="inlineStr">
        <is>
          <t>85361</t>
        </is>
      </c>
      <c r="D235" s="3" t="inlineStr">
        <is>
          <t>61</t>
        </is>
      </c>
      <c r="E235" s="3" t="inlineStr">
        <is>
          <t>Đầu 6</t>
        </is>
      </c>
      <c r="F235" s="3" t="inlineStr">
        <is>
          <t>Đuôi 1</t>
        </is>
      </c>
      <c r="G23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235" s="7" t="inlineStr">
        <is>
          <t>TRÚNG 🎯</t>
        </is>
      </c>
    </row>
    <row r="236">
      <c r="A236" s="2" t="n">
        <v>234</v>
      </c>
      <c r="B236" s="2" t="inlineStr">
        <is>
          <t>Thứ tư ngày 26-08-2026</t>
        </is>
      </c>
      <c r="C236" s="3" t="inlineStr">
        <is>
          <t>82645</t>
        </is>
      </c>
      <c r="D236" s="3" t="inlineStr">
        <is>
          <t>45</t>
        </is>
      </c>
      <c r="E236" s="3" t="inlineStr">
        <is>
          <t>Đầu 4</t>
        </is>
      </c>
      <c r="F236" s="3" t="inlineStr">
        <is>
          <t>Đuôi 5</t>
        </is>
      </c>
      <c r="G236" s="3" t="inlineStr">
        <is>
          <t>00, 04, 05, 09, 13, 14, 18, 19, 22, 23, 27, 28, 31, 32, 36, 37, 40, 41, 45, 46, 50, 54, 55, 59, 63, 64, 68, 69, 72, 73, 77, 78, 81, 82, 86, 87, 90, 91, 95, 96</t>
        </is>
      </c>
      <c r="H236" s="7" t="inlineStr">
        <is>
          <t>TRÚNG 🎯</t>
        </is>
      </c>
    </row>
    <row r="237">
      <c r="A237" s="2" t="n">
        <v>235</v>
      </c>
      <c r="B237" s="2" t="inlineStr">
        <is>
          <t>Thứ năm ngày 27-08-2026</t>
        </is>
      </c>
      <c r="C237" s="3" t="inlineStr">
        <is>
          <t>06168</t>
        </is>
      </c>
      <c r="D237" s="3" t="inlineStr">
        <is>
          <t>68</t>
        </is>
      </c>
      <c r="E237" s="3" t="inlineStr">
        <is>
          <t>Đầu 6</t>
        </is>
      </c>
      <c r="F237" s="3" t="inlineStr">
        <is>
          <t>Đuôi 8</t>
        </is>
      </c>
      <c r="G23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237" s="7" t="inlineStr">
        <is>
          <t>TRÚNG 🎯</t>
        </is>
      </c>
    </row>
    <row r="238">
      <c r="A238" s="2" t="n">
        <v>236</v>
      </c>
      <c r="B238" s="2" t="inlineStr">
        <is>
          <t>Thứ sáu ngày 28-08-2026</t>
        </is>
      </c>
      <c r="C238" s="3" t="inlineStr">
        <is>
          <t>90737</t>
        </is>
      </c>
      <c r="D238" s="3" t="inlineStr">
        <is>
          <t>37</t>
        </is>
      </c>
      <c r="E238" s="3" t="inlineStr">
        <is>
          <t>Đầu 3</t>
        </is>
      </c>
      <c r="F238" s="3" t="inlineStr">
        <is>
          <t>Đuôi 7</t>
        </is>
      </c>
      <c r="G23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238" s="7" t="inlineStr">
        <is>
          <t>TRÚNG 🎯</t>
        </is>
      </c>
    </row>
    <row r="239">
      <c r="A239" s="2" t="n">
        <v>237</v>
      </c>
      <c r="B239" s="2" t="inlineStr">
        <is>
          <t>Thứ bảy ngày 29-08-2026</t>
        </is>
      </c>
      <c r="C239" s="3" t="inlineStr">
        <is>
          <t>83772</t>
        </is>
      </c>
      <c r="D239" s="3" t="inlineStr">
        <is>
          <t>72</t>
        </is>
      </c>
      <c r="E239" s="3" t="inlineStr">
        <is>
          <t>Đầu 7</t>
        </is>
      </c>
      <c r="F239" s="3" t="inlineStr">
        <is>
          <t>Đuôi 2</t>
        </is>
      </c>
      <c r="G23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239" s="6" t="inlineStr">
        <is>
          <t>TRƯỢT ❌</t>
        </is>
      </c>
    </row>
    <row r="240">
      <c r="A240" s="2" t="n">
        <v>238</v>
      </c>
      <c r="B240" s="2" t="inlineStr">
        <is>
          <t>Chủ nhật ngày 30-08-2026</t>
        </is>
      </c>
      <c r="C240" s="3" t="inlineStr">
        <is>
          <t>35644</t>
        </is>
      </c>
      <c r="D240" s="3" t="inlineStr">
        <is>
          <t>44</t>
        </is>
      </c>
      <c r="E240" s="3" t="inlineStr">
        <is>
          <t>Đầu 4</t>
        </is>
      </c>
      <c r="F240" s="3" t="inlineStr">
        <is>
          <t>Đuôi 4</t>
        </is>
      </c>
      <c r="G24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40" s="7" t="inlineStr">
        <is>
          <t>TRÚNG 🎯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65" customWidth="1" min="2" max="2"/>
  </cols>
  <sheetData>
    <row r="1">
      <c r="A1" s="1" t="inlineStr">
        <is>
          <t>Hạng Mục Báo Cáo</t>
        </is>
      </c>
      <c r="B1" s="1" t="inlineStr">
        <is>
          <t>Chi Tiết Kế Thừa &amp; Dự Đoán</t>
        </is>
      </c>
    </row>
    <row r="2">
      <c r="A2" s="4" t="inlineStr">
        <is>
          <t>--- DỰ ĐOÁN ĐẦU / ĐUÔI VÀ DÀN SỐ CHO NGÀY TỚI ---</t>
        </is>
      </c>
      <c r="B2" s="4" t="inlineStr"/>
    </row>
    <row r="3">
      <c r="A3" s="2" t="inlineStr">
        <is>
          <t>Top 3 Đầu Tiềm Năng</t>
        </is>
      </c>
      <c r="B3" s="2" t="inlineStr">
        <is>
          <t>Đầu 2, Đầu 1, Đầu 6</t>
        </is>
      </c>
    </row>
    <row r="4">
      <c r="A4" s="2" t="inlineStr">
        <is>
          <t>Top 3 Đuôi Tiềm Năng</t>
        </is>
      </c>
      <c r="B4" s="2" t="inlineStr">
        <is>
          <t>Đuôi 3, Đuôi 1, Đuôi 7</t>
        </is>
      </c>
    </row>
    <row r="5">
      <c r="A5" s="2" t="inlineStr">
        <is>
          <t>Dàn 20 Con Số Dự Đoán Đồng Thuận Super-Score</t>
        </is>
      </c>
      <c r="B5" s="2" t="inlineStr">
        <is>
          <t>39, 13, 22, 43, 45, 57, 68, 18, 61, 72, 54, 09, 25, 34, 63, 70, 90, 36, 38, 83</t>
        </is>
      </c>
    </row>
    <row r="6">
      <c r="A6" s="4" t="inlineStr">
        <is>
          <t>--- TẦN SUẤT ĐẦU NĂM 2026 ---</t>
        </is>
      </c>
      <c r="B6" s="4" t="inlineStr"/>
    </row>
    <row r="7">
      <c r="A7" s="2" t="inlineStr">
        <is>
          <t>Đầu 3</t>
        </is>
      </c>
      <c r="B7" s="2" t="inlineStr">
        <is>
          <t>29 lần</t>
        </is>
      </c>
    </row>
    <row r="8">
      <c r="A8" s="2" t="inlineStr">
        <is>
          <t>Đầu 5</t>
        </is>
      </c>
      <c r="B8" s="2" t="inlineStr">
        <is>
          <t>28 lần</t>
        </is>
      </c>
    </row>
    <row r="9">
      <c r="A9" s="2" t="inlineStr">
        <is>
          <t>Đầu 6</t>
        </is>
      </c>
      <c r="B9" s="2" t="inlineStr">
        <is>
          <t>27 lần</t>
        </is>
      </c>
    </row>
    <row r="10">
      <c r="A10" s="2" t="inlineStr">
        <is>
          <t>Đầu 8</t>
        </is>
      </c>
      <c r="B10" s="2" t="inlineStr">
        <is>
          <t>27 lần</t>
        </is>
      </c>
    </row>
    <row r="11">
      <c r="A11" s="2" t="inlineStr">
        <is>
          <t>Đầu 2</t>
        </is>
      </c>
      <c r="B11" s="2" t="inlineStr">
        <is>
          <t>26 lần</t>
        </is>
      </c>
    </row>
    <row r="12">
      <c r="A12" s="2" t="inlineStr">
        <is>
          <t>Đầu 4</t>
        </is>
      </c>
      <c r="B12" s="2" t="inlineStr">
        <is>
          <t>25 lần</t>
        </is>
      </c>
    </row>
    <row r="13">
      <c r="A13" s="2" t="inlineStr">
        <is>
          <t>Đầu 9</t>
        </is>
      </c>
      <c r="B13" s="2" t="inlineStr">
        <is>
          <t>21 lần</t>
        </is>
      </c>
    </row>
    <row r="14">
      <c r="A14" s="2" t="inlineStr">
        <is>
          <t>Đầu 1</t>
        </is>
      </c>
      <c r="B14" s="2" t="inlineStr">
        <is>
          <t>21 lần</t>
        </is>
      </c>
    </row>
    <row r="15">
      <c r="A15" s="2" t="inlineStr">
        <is>
          <t>Đầu 7</t>
        </is>
      </c>
      <c r="B15" s="2" t="inlineStr">
        <is>
          <t>18 lần</t>
        </is>
      </c>
    </row>
    <row r="16">
      <c r="A16" s="2" t="inlineStr">
        <is>
          <t>Đầu 0</t>
        </is>
      </c>
      <c r="B16" s="2" t="inlineStr">
        <is>
          <t>17 lần</t>
        </is>
      </c>
    </row>
    <row r="17">
      <c r="A17" s="4" t="inlineStr">
        <is>
          <t>--- TẦN SUẤT ĐUÔI NĂM 2026 ---</t>
        </is>
      </c>
      <c r="B17" s="4" t="inlineStr"/>
    </row>
    <row r="18">
      <c r="A18" s="2" t="inlineStr">
        <is>
          <t>Đuôi 4</t>
        </is>
      </c>
      <c r="B18" s="2" t="inlineStr">
        <is>
          <t>31 lần</t>
        </is>
      </c>
    </row>
    <row r="19">
      <c r="A19" s="2" t="inlineStr">
        <is>
          <t>Đuôi 8</t>
        </is>
      </c>
      <c r="B19" s="2" t="inlineStr">
        <is>
          <t>30 lần</t>
        </is>
      </c>
    </row>
    <row r="20">
      <c r="A20" s="2" t="inlineStr">
        <is>
          <t>Đuôi 3</t>
        </is>
      </c>
      <c r="B20" s="2" t="inlineStr">
        <is>
          <t>30 lần</t>
        </is>
      </c>
    </row>
    <row r="21">
      <c r="A21" s="2" t="inlineStr">
        <is>
          <t>Đuôi 7</t>
        </is>
      </c>
      <c r="B21" s="2" t="inlineStr">
        <is>
          <t>28 lần</t>
        </is>
      </c>
    </row>
    <row r="22">
      <c r="A22" s="2" t="inlineStr">
        <is>
          <t>Đuôi 9</t>
        </is>
      </c>
      <c r="B22" s="2" t="inlineStr">
        <is>
          <t>23 lần</t>
        </is>
      </c>
    </row>
    <row r="23">
      <c r="A23" s="2" t="inlineStr">
        <is>
          <t>Đuôi 1</t>
        </is>
      </c>
      <c r="B23" s="2" t="inlineStr">
        <is>
          <t>22 lần</t>
        </is>
      </c>
    </row>
    <row r="24">
      <c r="A24" s="2" t="inlineStr">
        <is>
          <t>Đuôi 5</t>
        </is>
      </c>
      <c r="B24" s="2" t="inlineStr">
        <is>
          <t>20 lần</t>
        </is>
      </c>
    </row>
    <row r="25">
      <c r="A25" s="2" t="inlineStr">
        <is>
          <t>Đuôi 2</t>
        </is>
      </c>
      <c r="B25" s="2" t="inlineStr">
        <is>
          <t>20 lần</t>
        </is>
      </c>
    </row>
    <row r="26">
      <c r="A26" s="2" t="inlineStr">
        <is>
          <t>Đuôi 0</t>
        </is>
      </c>
      <c r="B26" s="2" t="inlineStr">
        <is>
          <t>20 lần</t>
        </is>
      </c>
    </row>
    <row r="27">
      <c r="A27" s="2" t="inlineStr">
        <is>
          <t>Đuôi 6</t>
        </is>
      </c>
      <c r="B27" s="2" t="inlineStr">
        <is>
          <t>15 lần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64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36" customWidth="1" min="3" max="3"/>
    <col width="37" customWidth="1" min="4" max="4"/>
    <col width="42" customWidth="1" min="5" max="5"/>
    <col width="35" customWidth="1" min="6" max="6"/>
    <col width="21" customWidth="1" min="7" max="7"/>
    <col width="35" customWidth="1" min="8" max="8"/>
    <col width="22" customWidth="1" min="9" max="9"/>
    <col width="37" customWidth="1" min="10" max="10"/>
    <col width="38" customWidth="1" min="11" max="11"/>
    <col width="41" customWidth="1" min="12" max="12"/>
    <col width="35" customWidth="1" min="13" max="13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</t>
        </is>
      </c>
      <c r="D1" s="1" t="inlineStr">
        <is>
          <t>Số Đề 2D</t>
        </is>
      </c>
      <c r="E1" s="1" t="inlineStr">
        <is>
          <t>Đầu Thực Tế</t>
        </is>
      </c>
      <c r="F1" s="1" t="inlineStr">
        <is>
          <t>Đuôi Thực Tế</t>
        </is>
      </c>
      <c r="G1" s="1" t="inlineStr">
        <is>
          <t>Top 3 Đầu Dự Đoán</t>
        </is>
      </c>
      <c r="H1" s="1" t="inlineStr">
        <is>
          <t>Kết Quả Top 3 Đầu (1 Ngày)</t>
        </is>
      </c>
      <c r="I1" s="1" t="inlineStr">
        <is>
          <t>Top 3 Đuôi Dự Đoán</t>
        </is>
      </c>
      <c r="J1" s="1" t="inlineStr">
        <is>
          <t>Kết Quả Top 3 Đuôi (1 Ngày)</t>
        </is>
      </c>
      <c r="K1" s="1" t="inlineStr">
        <is>
          <t>Dàn 9 Số Ghép (Đầu x Đuôi)</t>
        </is>
      </c>
      <c r="L1" s="1" t="inlineStr">
        <is>
          <t>Kết Quả Dàn 9 Số (1 Ngày)</t>
        </is>
      </c>
      <c r="M1" s="1" t="inlineStr">
        <is>
          <t>Kết Quả Khung 3 Ngày (Dàn 9 Số)</t>
        </is>
      </c>
    </row>
    <row r="2">
      <c r="A2" s="2" t="inlineStr">
        <is>
          <t>TOP 3 (VIP 30 SỐ)</t>
        </is>
      </c>
      <c r="B2" s="2" t="inlineStr">
        <is>
          <t>Tổng: 238 Ngày</t>
        </is>
      </c>
      <c r="C2" s="3" t="inlineStr">
        <is>
          <t>Trúng Đầu (1N): 66/238 (27.73%)</t>
        </is>
      </c>
      <c r="D2" s="3" t="inlineStr">
        <is>
          <t>Trúng Đuôi (1N): 64/238 (26.89%)</t>
        </is>
      </c>
      <c r="E2" s="3" t="inlineStr">
        <is>
          <t>Trúng Ghép 9 Số (1N): 16/238 (6.72%)</t>
        </is>
      </c>
      <c r="F2" s="3" t="inlineStr">
        <is>
          <t>Trúng Đầu/Đuôi: 114/238 (47.9%)</t>
        </is>
      </c>
      <c r="G2" s="3" t="inlineStr">
        <is>
          <t>---</t>
        </is>
      </c>
      <c r="H2" s="3" t="inlineStr">
        <is>
          <t>Khung 3N (Đầu): 160/236 (67.8%)</t>
        </is>
      </c>
      <c r="I2" s="3" t="inlineStr">
        <is>
          <t>---</t>
        </is>
      </c>
      <c r="J2" s="3" t="inlineStr">
        <is>
          <t>Khung 3N (Đuôi): 148/236 (62.71%)</t>
        </is>
      </c>
      <c r="K2" s="3" t="inlineStr">
        <is>
          <t>---</t>
        </is>
      </c>
      <c r="L2" s="3" t="inlineStr">
        <is>
          <t>Khung 3N (Ghép 9 Số): 49/236 (20.76%)</t>
        </is>
      </c>
      <c r="M2" s="3" t="inlineStr">
        <is>
          <t>---</t>
        </is>
      </c>
    </row>
    <row r="3">
      <c r="A3" s="2" t="inlineStr">
        <is>
          <t>TOP 4 (HỎA LỰC 40 SỐ)</t>
        </is>
      </c>
      <c r="B3" s="2" t="inlineStr">
        <is>
          <t>Tổng: 238 Ngày</t>
        </is>
      </c>
      <c r="C3" s="3" t="inlineStr">
        <is>
          <t>Trúng Đầu (1N): 88/238 (36.97%)</t>
        </is>
      </c>
      <c r="D3" s="3" t="inlineStr">
        <is>
          <t>Trúng Đuôi (1N): 86/238 (36.13%)</t>
        </is>
      </c>
      <c r="E3" s="3" t="inlineStr">
        <is>
          <t>Trúng Ghép 16 Số (1N): 33/238 (13.87%)</t>
        </is>
      </c>
      <c r="F3" s="3" t="inlineStr">
        <is>
          <t>---</t>
        </is>
      </c>
      <c r="G3" s="3" t="inlineStr">
        <is>
          <t>---</t>
        </is>
      </c>
      <c r="H3" s="3" t="inlineStr">
        <is>
          <t>Khung 3N (Đầu): 78.39%</t>
        </is>
      </c>
      <c r="I3" s="3" t="inlineStr">
        <is>
          <t>---</t>
        </is>
      </c>
      <c r="J3" s="3" t="inlineStr">
        <is>
          <t>Khung 3N (Đuôi): 76.27%</t>
        </is>
      </c>
      <c r="K3" s="3" t="inlineStr">
        <is>
          <t>---</t>
        </is>
      </c>
      <c r="L3" s="3" t="inlineStr">
        <is>
          <t>Khung 3N (Ghép 16 Số): 36.02%</t>
        </is>
      </c>
      <c r="M3" s="3" t="inlineStr">
        <is>
          <t>---</t>
        </is>
      </c>
    </row>
    <row r="4">
      <c r="A4" s="2" t="inlineStr">
        <is>
          <t>TOP 5 (PHỦ RỘNG 50 SỐ)</t>
        </is>
      </c>
      <c r="B4" s="2" t="inlineStr">
        <is>
          <t>Tổng: 238 Ngày</t>
        </is>
      </c>
      <c r="C4" s="3" t="inlineStr">
        <is>
          <t>Trúng Đầu (1N): 111/238 (46.64%)</t>
        </is>
      </c>
      <c r="D4" s="3" t="inlineStr">
        <is>
          <t>Trúng Đuôi (1N): 106/238 (44.54%)</t>
        </is>
      </c>
      <c r="E4" s="3" t="inlineStr">
        <is>
          <t>Trúng Ghép 25 Số (1N): 45/238 (18.91%)</t>
        </is>
      </c>
      <c r="F4" s="3" t="inlineStr">
        <is>
          <t>---</t>
        </is>
      </c>
      <c r="G4" s="3" t="inlineStr">
        <is>
          <t>---</t>
        </is>
      </c>
      <c r="H4" s="3" t="inlineStr">
        <is>
          <t>Khung 3N (Đầu): 86.44%</t>
        </is>
      </c>
      <c r="I4" s="3" t="inlineStr">
        <is>
          <t>---</t>
        </is>
      </c>
      <c r="J4" s="3" t="inlineStr">
        <is>
          <t>Khung 3N (Đuôi): 82.2%</t>
        </is>
      </c>
      <c r="K4" s="3" t="inlineStr">
        <is>
          <t>---</t>
        </is>
      </c>
      <c r="L4" s="3" t="inlineStr">
        <is>
          <t>Khung 3N (Ghép 25 Số): 49.15%</t>
        </is>
      </c>
      <c r="M4" s="3" t="inlineStr">
        <is>
          <t>---</t>
        </is>
      </c>
    </row>
    <row r="5">
      <c r="A5" s="2" t="n">
        <v>1</v>
      </c>
      <c r="B5" s="2" t="inlineStr">
        <is>
          <t>Thứ năm ngày 01-01-2026</t>
        </is>
      </c>
      <c r="C5" s="3" t="inlineStr">
        <is>
          <t>45748</t>
        </is>
      </c>
      <c r="D5" s="3" t="inlineStr">
        <is>
          <t>48</t>
        </is>
      </c>
      <c r="E5" s="3" t="inlineStr">
        <is>
          <t>Đầu 4</t>
        </is>
      </c>
      <c r="F5" s="3" t="inlineStr">
        <is>
          <t>Đuôi 8</t>
        </is>
      </c>
      <c r="G5" s="3" t="inlineStr">
        <is>
          <t>0, 1, 2</t>
        </is>
      </c>
      <c r="H5" s="6" t="inlineStr">
        <is>
          <t>TRƯỢT ❌</t>
        </is>
      </c>
      <c r="I5" s="3" t="inlineStr">
        <is>
          <t>0, 1, 2</t>
        </is>
      </c>
      <c r="J5" s="6" t="inlineStr">
        <is>
          <t>TRƯỢT ❌</t>
        </is>
      </c>
      <c r="K5" s="3" t="inlineStr">
        <is>
          <t>00, 01, 02, 10, 11, 12, 20, 21, 22</t>
        </is>
      </c>
      <c r="L5" s="6" t="inlineStr">
        <is>
          <t>TRƯỢT ❌</t>
        </is>
      </c>
      <c r="M5" s="6" t="inlineStr">
        <is>
          <t>TRƯỢT KHUNG ❌</t>
        </is>
      </c>
    </row>
    <row r="6">
      <c r="A6" s="2" t="n">
        <v>2</v>
      </c>
      <c r="B6" s="2" t="inlineStr">
        <is>
          <t>Thứ sáu ngày 02-01-2026</t>
        </is>
      </c>
      <c r="C6" s="3" t="inlineStr">
        <is>
          <t>00949</t>
        </is>
      </c>
      <c r="D6" s="3" t="inlineStr">
        <is>
          <t>49</t>
        </is>
      </c>
      <c r="E6" s="3" t="inlineStr">
        <is>
          <t>Đầu 4</t>
        </is>
      </c>
      <c r="F6" s="3" t="inlineStr">
        <is>
          <t>Đuôi 9</t>
        </is>
      </c>
      <c r="G6" s="3" t="inlineStr">
        <is>
          <t>6, 0, 1</t>
        </is>
      </c>
      <c r="H6" s="6" t="inlineStr">
        <is>
          <t>TRƯỢT ❌</t>
        </is>
      </c>
      <c r="I6" s="3" t="inlineStr">
        <is>
          <t>8, 0, 1</t>
        </is>
      </c>
      <c r="J6" s="6" t="inlineStr">
        <is>
          <t>TRƯỢT ❌</t>
        </is>
      </c>
      <c r="K6" s="3" t="inlineStr">
        <is>
          <t>00, 01, 08, 10, 11, 18, 60, 61, 68</t>
        </is>
      </c>
      <c r="L6" s="6" t="inlineStr">
        <is>
          <t>TRƯỢT ❌</t>
        </is>
      </c>
      <c r="M6" s="6" t="inlineStr">
        <is>
          <t>TRƯỢT KHUNG ❌</t>
        </is>
      </c>
    </row>
    <row r="7">
      <c r="A7" s="2" t="n">
        <v>3</v>
      </c>
      <c r="B7" s="2" t="inlineStr">
        <is>
          <t>Thứ bảy ngày 03-01-2026</t>
        </is>
      </c>
      <c r="C7" s="3" t="inlineStr">
        <is>
          <t>72397</t>
        </is>
      </c>
      <c r="D7" s="3" t="inlineStr">
        <is>
          <t>97</t>
        </is>
      </c>
      <c r="E7" s="3" t="inlineStr">
        <is>
          <t>Đầu 9</t>
        </is>
      </c>
      <c r="F7" s="3" t="inlineStr">
        <is>
          <t>Đuôi 7</t>
        </is>
      </c>
      <c r="G7" s="3" t="inlineStr">
        <is>
          <t>6, 4, 0</t>
        </is>
      </c>
      <c r="H7" s="6" t="inlineStr">
        <is>
          <t>TRƯỢT ❌</t>
        </is>
      </c>
      <c r="I7" s="3" t="inlineStr">
        <is>
          <t>8, 0, 1</t>
        </is>
      </c>
      <c r="J7" s="6" t="inlineStr">
        <is>
          <t>TRƯỢT ❌</t>
        </is>
      </c>
      <c r="K7" s="3" t="inlineStr">
        <is>
          <t>00, 01, 08, 40, 41, 48, 60, 61, 68</t>
        </is>
      </c>
      <c r="L7" s="6" t="inlineStr">
        <is>
          <t>TRƯỢT ❌</t>
        </is>
      </c>
      <c r="M7" s="6" t="inlineStr">
        <is>
          <t>TRƯỢT KHUNG ❌</t>
        </is>
      </c>
    </row>
    <row r="8">
      <c r="A8" s="2" t="n">
        <v>4</v>
      </c>
      <c r="B8" s="2" t="inlineStr">
        <is>
          <t>Chủ nhật ngày 04-01-2026</t>
        </is>
      </c>
      <c r="C8" s="3" t="inlineStr">
        <is>
          <t>70505</t>
        </is>
      </c>
      <c r="D8" s="3" t="inlineStr">
        <is>
          <t>05</t>
        </is>
      </c>
      <c r="E8" s="3" t="inlineStr">
        <is>
          <t>Đầu 0</t>
        </is>
      </c>
      <c r="F8" s="3" t="inlineStr">
        <is>
          <t>Đuôi 5</t>
        </is>
      </c>
      <c r="G8" s="3" t="inlineStr">
        <is>
          <t>6, 4, 0</t>
        </is>
      </c>
      <c r="H8" s="7" t="inlineStr">
        <is>
          <t>TRÚNG 🎯</t>
        </is>
      </c>
      <c r="I8" s="3" t="inlineStr">
        <is>
          <t>8, 9, 0</t>
        </is>
      </c>
      <c r="J8" s="6" t="inlineStr">
        <is>
          <t>TRƯỢT ❌</t>
        </is>
      </c>
      <c r="K8" s="3" t="inlineStr">
        <is>
          <t>00, 08, 09, 40, 48, 49, 60, 68, 69</t>
        </is>
      </c>
      <c r="L8" s="6" t="inlineStr">
        <is>
          <t>TRƯỢT ❌</t>
        </is>
      </c>
      <c r="M8" s="6" t="inlineStr">
        <is>
          <t>TRƯỢT KHUNG ❌</t>
        </is>
      </c>
    </row>
    <row r="9">
      <c r="A9" s="2" t="n">
        <v>5</v>
      </c>
      <c r="B9" s="2" t="inlineStr">
        <is>
          <t>Thứ hai ngày 05-01-2026</t>
        </is>
      </c>
      <c r="C9" s="3" t="inlineStr">
        <is>
          <t>78447</t>
        </is>
      </c>
      <c r="D9" s="3" t="inlineStr">
        <is>
          <t>47</t>
        </is>
      </c>
      <c r="E9" s="3" t="inlineStr">
        <is>
          <t>Đầu 4</t>
        </is>
      </c>
      <c r="F9" s="3" t="inlineStr">
        <is>
          <t>Đuôi 7</t>
        </is>
      </c>
      <c r="G9" s="3" t="inlineStr">
        <is>
          <t>6, 4, 9</t>
        </is>
      </c>
      <c r="H9" s="7" t="inlineStr">
        <is>
          <t>TRÚNG 🎯</t>
        </is>
      </c>
      <c r="I9" s="3" t="inlineStr">
        <is>
          <t>8, 9, 7</t>
        </is>
      </c>
      <c r="J9" s="7" t="inlineStr">
        <is>
          <t>TRÚNG 🎯</t>
        </is>
      </c>
      <c r="K9" s="3" t="inlineStr">
        <is>
          <t>47, 48, 49, 67, 68, 69, 97, 98, 99</t>
        </is>
      </c>
      <c r="L9" s="7" t="inlineStr">
        <is>
          <t>TRÚNG 🎯</t>
        </is>
      </c>
      <c r="M9" s="7" t="inlineStr">
        <is>
          <t>TRÚNG KHUNG 🎯</t>
        </is>
      </c>
    </row>
    <row r="10">
      <c r="A10" s="2" t="n">
        <v>6</v>
      </c>
      <c r="B10" s="2" t="inlineStr">
        <is>
          <t>Thứ ba ngày 06-01-2026</t>
        </is>
      </c>
      <c r="C10" s="3" t="inlineStr">
        <is>
          <t>14389</t>
        </is>
      </c>
      <c r="D10" s="3" t="inlineStr">
        <is>
          <t>89</t>
        </is>
      </c>
      <c r="E10" s="3" t="inlineStr">
        <is>
          <t>Đầu 8</t>
        </is>
      </c>
      <c r="F10" s="3" t="inlineStr">
        <is>
          <t>Đuôi 9</t>
        </is>
      </c>
      <c r="G10" s="3" t="inlineStr">
        <is>
          <t>6, 4, 9</t>
        </is>
      </c>
      <c r="H10" s="6" t="inlineStr">
        <is>
          <t>TRƯỢT ❌</t>
        </is>
      </c>
      <c r="I10" s="3" t="inlineStr">
        <is>
          <t>8, 9, 7</t>
        </is>
      </c>
      <c r="J10" s="7" t="inlineStr">
        <is>
          <t>TRÚNG 🎯</t>
        </is>
      </c>
      <c r="K10" s="3" t="inlineStr">
        <is>
          <t>47, 48, 49, 67, 68, 69, 97, 98, 99</t>
        </is>
      </c>
      <c r="L10" s="6" t="inlineStr">
        <is>
          <t>TRƯỢT ❌</t>
        </is>
      </c>
      <c r="M10" s="6" t="inlineStr">
        <is>
          <t>TRƯỢT KHUNG ❌</t>
        </is>
      </c>
    </row>
    <row r="11">
      <c r="A11" s="2" t="n">
        <v>7</v>
      </c>
      <c r="B11" s="2" t="inlineStr">
        <is>
          <t>Thứ tư ngày 07-01-2026</t>
        </is>
      </c>
      <c r="C11" s="3" t="inlineStr">
        <is>
          <t>40162</t>
        </is>
      </c>
      <c r="D11" s="3" t="inlineStr">
        <is>
          <t>62</t>
        </is>
      </c>
      <c r="E11" s="3" t="inlineStr">
        <is>
          <t>Đầu 6</t>
        </is>
      </c>
      <c r="F11" s="3" t="inlineStr">
        <is>
          <t>Đuôi 2</t>
        </is>
      </c>
      <c r="G11" s="3" t="inlineStr">
        <is>
          <t>6, 4, 9</t>
        </is>
      </c>
      <c r="H11" s="7" t="inlineStr">
        <is>
          <t>TRÚNG 🎯</t>
        </is>
      </c>
      <c r="I11" s="3" t="inlineStr">
        <is>
          <t>8, 7, 5</t>
        </is>
      </c>
      <c r="J11" s="6" t="inlineStr">
        <is>
          <t>TRƯỢT ❌</t>
        </is>
      </c>
      <c r="K11" s="3" t="inlineStr">
        <is>
          <t>45, 47, 48, 65, 67, 68, 95, 97, 98</t>
        </is>
      </c>
      <c r="L11" s="6" t="inlineStr">
        <is>
          <t>TRƯỢT ❌</t>
        </is>
      </c>
      <c r="M11" s="6" t="inlineStr">
        <is>
          <t>TRƯỢT KHUNG ❌</t>
        </is>
      </c>
    </row>
    <row r="12">
      <c r="A12" s="2" t="n">
        <v>8</v>
      </c>
      <c r="B12" s="2" t="inlineStr">
        <is>
          <t>Thứ năm ngày 08-01-2026</t>
        </is>
      </c>
      <c r="C12" s="3" t="inlineStr">
        <is>
          <t>39523</t>
        </is>
      </c>
      <c r="D12" s="3" t="inlineStr">
        <is>
          <t>23</t>
        </is>
      </c>
      <c r="E12" s="3" t="inlineStr">
        <is>
          <t>Đầu 2</t>
        </is>
      </c>
      <c r="F12" s="3" t="inlineStr">
        <is>
          <t>Đuôi 3</t>
        </is>
      </c>
      <c r="G12" s="3" t="inlineStr">
        <is>
          <t>4, 9, 0</t>
        </is>
      </c>
      <c r="H12" s="6" t="inlineStr">
        <is>
          <t>TRƯỢT ❌</t>
        </is>
      </c>
      <c r="I12" s="3" t="inlineStr">
        <is>
          <t>8, 7, 5</t>
        </is>
      </c>
      <c r="J12" s="6" t="inlineStr">
        <is>
          <t>TRƯỢT ❌</t>
        </is>
      </c>
      <c r="K12" s="3" t="inlineStr">
        <is>
          <t>05, 07, 08, 45, 47, 48, 95, 97, 98</t>
        </is>
      </c>
      <c r="L12" s="6" t="inlineStr">
        <is>
          <t>TRƯỢT ❌</t>
        </is>
      </c>
      <c r="M12" s="6" t="inlineStr">
        <is>
          <t>TRƯỢT KHUNG ❌</t>
        </is>
      </c>
    </row>
    <row r="13">
      <c r="A13" s="2" t="n">
        <v>9</v>
      </c>
      <c r="B13" s="2" t="inlineStr">
        <is>
          <t>Thứ sáu ngày 09-01-2026</t>
        </is>
      </c>
      <c r="C13" s="3" t="inlineStr">
        <is>
          <t>67793</t>
        </is>
      </c>
      <c r="D13" s="3" t="inlineStr">
        <is>
          <t>93</t>
        </is>
      </c>
      <c r="E13" s="3" t="inlineStr">
        <is>
          <t>Đầu 9</t>
        </is>
      </c>
      <c r="F13" s="3" t="inlineStr">
        <is>
          <t>Đuôi 3</t>
        </is>
      </c>
      <c r="G13" s="3" t="inlineStr">
        <is>
          <t>4, 0, 9</t>
        </is>
      </c>
      <c r="H13" s="7" t="inlineStr">
        <is>
          <t>TRÚNG 🎯</t>
        </is>
      </c>
      <c r="I13" s="3" t="inlineStr">
        <is>
          <t>8, 5, 7</t>
        </is>
      </c>
      <c r="J13" s="6" t="inlineStr">
        <is>
          <t>TRƯỢT ❌</t>
        </is>
      </c>
      <c r="K13" s="3" t="inlineStr">
        <is>
          <t>05, 07, 08, 45, 47, 48, 95, 97, 98</t>
        </is>
      </c>
      <c r="L13" s="6" t="inlineStr">
        <is>
          <t>TRƯỢT ❌</t>
        </is>
      </c>
      <c r="M13" s="6" t="inlineStr">
        <is>
          <t>TRƯỢT KHUNG ❌</t>
        </is>
      </c>
    </row>
    <row r="14">
      <c r="A14" s="2" t="n">
        <v>10</v>
      </c>
      <c r="B14" s="2" t="inlineStr">
        <is>
          <t>Thứ bảy ngày 10-01-2026</t>
        </is>
      </c>
      <c r="C14" s="3" t="inlineStr">
        <is>
          <t>82438</t>
        </is>
      </c>
      <c r="D14" s="3" t="inlineStr">
        <is>
          <t>38</t>
        </is>
      </c>
      <c r="E14" s="3" t="inlineStr">
        <is>
          <t>Đầu 3</t>
        </is>
      </c>
      <c r="F14" s="3" t="inlineStr">
        <is>
          <t>Đuôi 8</t>
        </is>
      </c>
      <c r="G14" s="3" t="inlineStr">
        <is>
          <t>4, 0, 6</t>
        </is>
      </c>
      <c r="H14" s="6" t="inlineStr">
        <is>
          <t>TRƯỢT ❌</t>
        </is>
      </c>
      <c r="I14" s="3" t="inlineStr">
        <is>
          <t>7, 8, 5</t>
        </is>
      </c>
      <c r="J14" s="7" t="inlineStr">
        <is>
          <t>TRÚNG 🎯</t>
        </is>
      </c>
      <c r="K14" s="3" t="inlineStr">
        <is>
          <t>05, 07, 08, 45, 47, 48, 65, 67, 68</t>
        </is>
      </c>
      <c r="L14" s="6" t="inlineStr">
        <is>
          <t>TRƯỢT ❌</t>
        </is>
      </c>
      <c r="M14" s="6" t="inlineStr">
        <is>
          <t>TRƯỢT KHUNG ❌</t>
        </is>
      </c>
    </row>
    <row r="15">
      <c r="A15" s="2" t="n">
        <v>11</v>
      </c>
      <c r="B15" s="2" t="inlineStr">
        <is>
          <t>Chủ nhật ngày 11-01-2026</t>
        </is>
      </c>
      <c r="C15" s="3" t="inlineStr">
        <is>
          <t>31894</t>
        </is>
      </c>
      <c r="D15" s="3" t="inlineStr">
        <is>
          <t>94</t>
        </is>
      </c>
      <c r="E15" s="3" t="inlineStr">
        <is>
          <t>Đầu 9</t>
        </is>
      </c>
      <c r="F15" s="3" t="inlineStr">
        <is>
          <t>Đuôi 4</t>
        </is>
      </c>
      <c r="G15" s="3" t="inlineStr">
        <is>
          <t>4, 0, 8</t>
        </is>
      </c>
      <c r="H15" s="6" t="inlineStr">
        <is>
          <t>TRƯỢT ❌</t>
        </is>
      </c>
      <c r="I15" s="3" t="inlineStr">
        <is>
          <t>7, 9, 5</t>
        </is>
      </c>
      <c r="J15" s="6" t="inlineStr">
        <is>
          <t>TRƯỢT ❌</t>
        </is>
      </c>
      <c r="K15" s="3" t="inlineStr">
        <is>
          <t>05, 07, 09, 45, 47, 49, 85, 87, 89</t>
        </is>
      </c>
      <c r="L15" s="6" t="inlineStr">
        <is>
          <t>TRƯỢT ❌</t>
        </is>
      </c>
      <c r="M15" s="6" t="inlineStr">
        <is>
          <t>TRƯỢT KHUNG ❌</t>
        </is>
      </c>
    </row>
    <row r="16">
      <c r="A16" s="2" t="n">
        <v>12</v>
      </c>
      <c r="B16" s="2" t="inlineStr">
        <is>
          <t>Thứ hai ngày 12-01-2026</t>
        </is>
      </c>
      <c r="C16" s="3" t="inlineStr">
        <is>
          <t>28027</t>
        </is>
      </c>
      <c r="D16" s="3" t="inlineStr">
        <is>
          <t>27</t>
        </is>
      </c>
      <c r="E16" s="3" t="inlineStr">
        <is>
          <t>Đầu 2</t>
        </is>
      </c>
      <c r="F16" s="3" t="inlineStr">
        <is>
          <t>Đuôi 7</t>
        </is>
      </c>
      <c r="G16" s="3" t="inlineStr">
        <is>
          <t>4, 6, 0</t>
        </is>
      </c>
      <c r="H16" s="6" t="inlineStr">
        <is>
          <t>TRƯỢT ❌</t>
        </is>
      </c>
      <c r="I16" s="3" t="inlineStr">
        <is>
          <t>7, 9, 2</t>
        </is>
      </c>
      <c r="J16" s="7" t="inlineStr">
        <is>
          <t>TRÚNG 🎯</t>
        </is>
      </c>
      <c r="K16" s="3" t="inlineStr">
        <is>
          <t>02, 07, 09, 42, 47, 49, 62, 67, 69</t>
        </is>
      </c>
      <c r="L16" s="6" t="inlineStr">
        <is>
          <t>TRƯỢT ❌</t>
        </is>
      </c>
      <c r="M16" s="6" t="inlineStr">
        <is>
          <t>TRƯỢT KHUNG ❌</t>
        </is>
      </c>
    </row>
    <row r="17">
      <c r="A17" s="2" t="n">
        <v>13</v>
      </c>
      <c r="B17" s="2" t="inlineStr">
        <is>
          <t>Thứ ba ngày 13-01-2026</t>
        </is>
      </c>
      <c r="C17" s="3" t="inlineStr">
        <is>
          <t>02817</t>
        </is>
      </c>
      <c r="D17" s="3" t="inlineStr">
        <is>
          <t>17</t>
        </is>
      </c>
      <c r="E17" s="3" t="inlineStr">
        <is>
          <t>Đầu 1</t>
        </is>
      </c>
      <c r="F17" s="3" t="inlineStr">
        <is>
          <t>Đuôi 7</t>
        </is>
      </c>
      <c r="G17" s="3" t="inlineStr">
        <is>
          <t>4, 6, 0</t>
        </is>
      </c>
      <c r="H17" s="6" t="inlineStr">
        <is>
          <t>TRƯỢT ❌</t>
        </is>
      </c>
      <c r="I17" s="3" t="inlineStr">
        <is>
          <t>9, 2, 5</t>
        </is>
      </c>
      <c r="J17" s="6" t="inlineStr">
        <is>
          <t>TRƯỢT ❌</t>
        </is>
      </c>
      <c r="K17" s="3" t="inlineStr">
        <is>
          <t>02, 05, 09, 42, 45, 49, 62, 65, 69</t>
        </is>
      </c>
      <c r="L17" s="6" t="inlineStr">
        <is>
          <t>TRƯỢT ❌</t>
        </is>
      </c>
      <c r="M17" s="6" t="inlineStr">
        <is>
          <t>TRƯỢT KHUNG ❌</t>
        </is>
      </c>
    </row>
    <row r="18">
      <c r="A18" s="2" t="n">
        <v>14</v>
      </c>
      <c r="B18" s="2" t="inlineStr">
        <is>
          <t>Thứ tư ngày 14-01-2026</t>
        </is>
      </c>
      <c r="C18" s="3" t="inlineStr">
        <is>
          <t>84522</t>
        </is>
      </c>
      <c r="D18" s="3" t="inlineStr">
        <is>
          <t>22</t>
        </is>
      </c>
      <c r="E18" s="3" t="inlineStr">
        <is>
          <t>Đầu 2</t>
        </is>
      </c>
      <c r="F18" s="3" t="inlineStr">
        <is>
          <t>Đuôi 2</t>
        </is>
      </c>
      <c r="G18" s="3" t="inlineStr">
        <is>
          <t>4, 6, 0</t>
        </is>
      </c>
      <c r="H18" s="6" t="inlineStr">
        <is>
          <t>TRƯỢT ❌</t>
        </is>
      </c>
      <c r="I18" s="3" t="inlineStr">
        <is>
          <t>3, 9, 8</t>
        </is>
      </c>
      <c r="J18" s="6" t="inlineStr">
        <is>
          <t>TRƯỢT ❌</t>
        </is>
      </c>
      <c r="K18" s="3" t="inlineStr">
        <is>
          <t>03, 08, 09, 43, 48, 49, 63, 68, 69</t>
        </is>
      </c>
      <c r="L18" s="6" t="inlineStr">
        <is>
          <t>TRƯỢT ❌</t>
        </is>
      </c>
      <c r="M18" s="6" t="inlineStr">
        <is>
          <t>TRƯỢT KHUNG ❌</t>
        </is>
      </c>
    </row>
    <row r="19">
      <c r="A19" s="2" t="n">
        <v>15</v>
      </c>
      <c r="B19" s="2" t="inlineStr">
        <is>
          <t>Thứ năm ngày 15-01-2026</t>
        </is>
      </c>
      <c r="C19" s="3" t="inlineStr">
        <is>
          <t>90128</t>
        </is>
      </c>
      <c r="D19" s="3" t="inlineStr">
        <is>
          <t>28</t>
        </is>
      </c>
      <c r="E19" s="3" t="inlineStr">
        <is>
          <t>Đầu 2</t>
        </is>
      </c>
      <c r="F19" s="3" t="inlineStr">
        <is>
          <t>Đuôi 8</t>
        </is>
      </c>
      <c r="G19" s="3" t="inlineStr">
        <is>
          <t>4, 6, 9</t>
        </is>
      </c>
      <c r="H19" s="6" t="inlineStr">
        <is>
          <t>TRƯỢT ❌</t>
        </is>
      </c>
      <c r="I19" s="3" t="inlineStr">
        <is>
          <t>8, 3, 9</t>
        </is>
      </c>
      <c r="J19" s="7" t="inlineStr">
        <is>
          <t>TRÚNG 🎯</t>
        </is>
      </c>
      <c r="K19" s="3" t="inlineStr">
        <is>
          <t>43, 48, 49, 63, 68, 69, 93, 98, 99</t>
        </is>
      </c>
      <c r="L19" s="6" t="inlineStr">
        <is>
          <t>TRƯỢT ❌</t>
        </is>
      </c>
      <c r="M19" s="6" t="inlineStr">
        <is>
          <t>TRƯỢT KHUNG ❌</t>
        </is>
      </c>
    </row>
    <row r="20">
      <c r="A20" s="2" t="n">
        <v>16</v>
      </c>
      <c r="B20" s="2" t="inlineStr">
        <is>
          <t>Thứ sáu ngày 16-01-2026</t>
        </is>
      </c>
      <c r="C20" s="3" t="inlineStr">
        <is>
          <t>09824</t>
        </is>
      </c>
      <c r="D20" s="3" t="inlineStr">
        <is>
          <t>24</t>
        </is>
      </c>
      <c r="E20" s="3" t="inlineStr">
        <is>
          <t>Đầu 2</t>
        </is>
      </c>
      <c r="F20" s="3" t="inlineStr">
        <is>
          <t>Đuôi 4</t>
        </is>
      </c>
      <c r="G20" s="3" t="inlineStr">
        <is>
          <t>9, 4, 6</t>
        </is>
      </c>
      <c r="H20" s="6" t="inlineStr">
        <is>
          <t>TRƯỢT ❌</t>
        </is>
      </c>
      <c r="I20" s="3" t="inlineStr">
        <is>
          <t>3, 7, 9</t>
        </is>
      </c>
      <c r="J20" s="6" t="inlineStr">
        <is>
          <t>TRƯỢT ❌</t>
        </is>
      </c>
      <c r="K20" s="3" t="inlineStr">
        <is>
          <t>43, 47, 49, 63, 67, 69, 93, 97, 99</t>
        </is>
      </c>
      <c r="L20" s="6" t="inlineStr">
        <is>
          <t>TRƯỢT ❌</t>
        </is>
      </c>
      <c r="M20" s="6" t="inlineStr">
        <is>
          <t>TRƯỢT KHUNG ❌</t>
        </is>
      </c>
    </row>
    <row r="21">
      <c r="A21" s="2" t="n">
        <v>17</v>
      </c>
      <c r="B21" s="2" t="inlineStr">
        <is>
          <t>Thứ bảy ngày 17-01-2026</t>
        </is>
      </c>
      <c r="C21" s="3" t="inlineStr">
        <is>
          <t>17151</t>
        </is>
      </c>
      <c r="D21" s="3" t="inlineStr">
        <is>
          <t>51</t>
        </is>
      </c>
      <c r="E21" s="3" t="inlineStr">
        <is>
          <t>Đầu 5</t>
        </is>
      </c>
      <c r="F21" s="3" t="inlineStr">
        <is>
          <t>Đuôi 1</t>
        </is>
      </c>
      <c r="G21" s="3" t="inlineStr">
        <is>
          <t>9, 4, 6</t>
        </is>
      </c>
      <c r="H21" s="6" t="inlineStr">
        <is>
          <t>TRƯỢT ❌</t>
        </is>
      </c>
      <c r="I21" s="3" t="inlineStr">
        <is>
          <t>7, 3, 9</t>
        </is>
      </c>
      <c r="J21" s="6" t="inlineStr">
        <is>
          <t>TRƯỢT ❌</t>
        </is>
      </c>
      <c r="K21" s="3" t="inlineStr">
        <is>
          <t>43, 47, 49, 63, 67, 69, 93, 97, 99</t>
        </is>
      </c>
      <c r="L21" s="6" t="inlineStr">
        <is>
          <t>TRƯỢT ❌</t>
        </is>
      </c>
      <c r="M21" s="6" t="inlineStr">
        <is>
          <t>TRƯỢT KHUNG ❌</t>
        </is>
      </c>
    </row>
    <row r="22">
      <c r="A22" s="2" t="n">
        <v>18</v>
      </c>
      <c r="B22" s="2" t="inlineStr">
        <is>
          <t>Chủ nhật ngày 18-01-2026</t>
        </is>
      </c>
      <c r="C22" s="3" t="inlineStr">
        <is>
          <t>88286</t>
        </is>
      </c>
      <c r="D22" s="3" t="inlineStr">
        <is>
          <t>86</t>
        </is>
      </c>
      <c r="E22" s="3" t="inlineStr">
        <is>
          <t>Đầu 8</t>
        </is>
      </c>
      <c r="F22" s="3" t="inlineStr">
        <is>
          <t>Đuôi 6</t>
        </is>
      </c>
      <c r="G22" s="3" t="inlineStr">
        <is>
          <t>9, 4, 2</t>
        </is>
      </c>
      <c r="H22" s="6" t="inlineStr">
        <is>
          <t>TRƯỢT ❌</t>
        </is>
      </c>
      <c r="I22" s="3" t="inlineStr">
        <is>
          <t>7, 3, 8</t>
        </is>
      </c>
      <c r="J22" s="6" t="inlineStr">
        <is>
          <t>TRƯỢT ❌</t>
        </is>
      </c>
      <c r="K22" s="3" t="inlineStr">
        <is>
          <t>23, 27, 28, 43, 47, 48, 93, 97, 98</t>
        </is>
      </c>
      <c r="L22" s="6" t="inlineStr">
        <is>
          <t>TRƯỢT ❌</t>
        </is>
      </c>
      <c r="M22" s="6" t="inlineStr">
        <is>
          <t>TRƯỢT KHUNG ❌</t>
        </is>
      </c>
    </row>
    <row r="23">
      <c r="A23" s="2" t="n">
        <v>19</v>
      </c>
      <c r="B23" s="2" t="inlineStr">
        <is>
          <t>Thứ hai ngày 19-01-2026</t>
        </is>
      </c>
      <c r="C23" s="3" t="inlineStr">
        <is>
          <t>56878</t>
        </is>
      </c>
      <c r="D23" s="3" t="inlineStr">
        <is>
          <t>78</t>
        </is>
      </c>
      <c r="E23" s="3" t="inlineStr">
        <is>
          <t>Đầu 7</t>
        </is>
      </c>
      <c r="F23" s="3" t="inlineStr">
        <is>
          <t>Đuôi 8</t>
        </is>
      </c>
      <c r="G23" s="3" t="inlineStr">
        <is>
          <t>9, 2, 4</t>
        </is>
      </c>
      <c r="H23" s="6" t="inlineStr">
        <is>
          <t>TRƯỢT ❌</t>
        </is>
      </c>
      <c r="I23" s="3" t="inlineStr">
        <is>
          <t>7, 8, 2</t>
        </is>
      </c>
      <c r="J23" s="7" t="inlineStr">
        <is>
          <t>TRÚNG 🎯</t>
        </is>
      </c>
      <c r="K23" s="3" t="inlineStr">
        <is>
          <t>22, 27, 28, 42, 47, 48, 92, 97, 98</t>
        </is>
      </c>
      <c r="L23" s="6" t="inlineStr">
        <is>
          <t>TRƯỢT ❌</t>
        </is>
      </c>
      <c r="M23" s="6" t="inlineStr">
        <is>
          <t>TRƯỢT KHUNG ❌</t>
        </is>
      </c>
    </row>
    <row r="24">
      <c r="A24" s="2" t="n">
        <v>20</v>
      </c>
      <c r="B24" s="2" t="inlineStr">
        <is>
          <t>Thứ ba ngày 20-01-2026</t>
        </is>
      </c>
      <c r="C24" s="3" t="inlineStr">
        <is>
          <t>06186</t>
        </is>
      </c>
      <c r="D24" s="3" t="inlineStr">
        <is>
          <t>86</t>
        </is>
      </c>
      <c r="E24" s="3" t="inlineStr">
        <is>
          <t>Đầu 8</t>
        </is>
      </c>
      <c r="F24" s="3" t="inlineStr">
        <is>
          <t>Đuôi 6</t>
        </is>
      </c>
      <c r="G24" s="3" t="inlineStr">
        <is>
          <t>2, 4, 9</t>
        </is>
      </c>
      <c r="H24" s="6" t="inlineStr">
        <is>
          <t>TRƯỢT ❌</t>
        </is>
      </c>
      <c r="I24" s="3" t="inlineStr">
        <is>
          <t>7, 2, 3</t>
        </is>
      </c>
      <c r="J24" s="6" t="inlineStr">
        <is>
          <t>TRƯỢT ❌</t>
        </is>
      </c>
      <c r="K24" s="3" t="inlineStr">
        <is>
          <t>22, 23, 27, 42, 43, 47, 92, 93, 97</t>
        </is>
      </c>
      <c r="L24" s="6" t="inlineStr">
        <is>
          <t>TRƯỢT ❌</t>
        </is>
      </c>
      <c r="M24" s="7" t="inlineStr">
        <is>
          <t>TRÚNG KHUNG 🎯</t>
        </is>
      </c>
    </row>
    <row r="25">
      <c r="A25" s="2" t="n">
        <v>21</v>
      </c>
      <c r="B25" s="2" t="inlineStr">
        <is>
          <t>Thứ tư ngày 21-01-2026</t>
        </is>
      </c>
      <c r="C25" s="3" t="inlineStr">
        <is>
          <t>84063</t>
        </is>
      </c>
      <c r="D25" s="3" t="inlineStr">
        <is>
          <t>63</t>
        </is>
      </c>
      <c r="E25" s="3" t="inlineStr">
        <is>
          <t>Đầu 6</t>
        </is>
      </c>
      <c r="F25" s="3" t="inlineStr">
        <is>
          <t>Đuôi 3</t>
        </is>
      </c>
      <c r="G25" s="3" t="inlineStr">
        <is>
          <t>2, 4, 9</t>
        </is>
      </c>
      <c r="H25" s="6" t="inlineStr">
        <is>
          <t>TRƯỢT ❌</t>
        </is>
      </c>
      <c r="I25" s="3" t="inlineStr">
        <is>
          <t>7, 8, 2</t>
        </is>
      </c>
      <c r="J25" s="6" t="inlineStr">
        <is>
          <t>TRƯỢT ❌</t>
        </is>
      </c>
      <c r="K25" s="3" t="inlineStr">
        <is>
          <t>22, 27, 28, 42, 47, 48, 92, 97, 98</t>
        </is>
      </c>
      <c r="L25" s="6" t="inlineStr">
        <is>
          <t>TRƯỢT ❌</t>
        </is>
      </c>
      <c r="M25" s="7" t="inlineStr">
        <is>
          <t>TRÚNG KHUNG 🎯</t>
        </is>
      </c>
    </row>
    <row r="26">
      <c r="A26" s="2" t="n">
        <v>22</v>
      </c>
      <c r="B26" s="2" t="inlineStr">
        <is>
          <t>Thứ năm ngày 22-01-2026</t>
        </is>
      </c>
      <c r="C26" s="3" t="inlineStr">
        <is>
          <t>57022</t>
        </is>
      </c>
      <c r="D26" s="3" t="inlineStr">
        <is>
          <t>22</t>
        </is>
      </c>
      <c r="E26" s="3" t="inlineStr">
        <is>
          <t>Đầu 2</t>
        </is>
      </c>
      <c r="F26" s="3" t="inlineStr">
        <is>
          <t>Đuôi 2</t>
        </is>
      </c>
      <c r="G26" s="3" t="inlineStr">
        <is>
          <t>2, 9, 4</t>
        </is>
      </c>
      <c r="H26" s="7" t="inlineStr">
        <is>
          <t>TRÚNG 🎯</t>
        </is>
      </c>
      <c r="I26" s="3" t="inlineStr">
        <is>
          <t>7, 8, 2</t>
        </is>
      </c>
      <c r="J26" s="7" t="inlineStr">
        <is>
          <t>TRÚNG 🎯</t>
        </is>
      </c>
      <c r="K26" s="3" t="inlineStr">
        <is>
          <t>22, 27, 28, 42, 47, 48, 92, 97, 98</t>
        </is>
      </c>
      <c r="L26" s="7" t="inlineStr">
        <is>
          <t>TRÚNG 🎯</t>
        </is>
      </c>
      <c r="M26" s="7" t="inlineStr">
        <is>
          <t>TRÚNG KHUNG 🎯</t>
        </is>
      </c>
    </row>
    <row r="27">
      <c r="A27" s="2" t="n">
        <v>23</v>
      </c>
      <c r="B27" s="2" t="inlineStr">
        <is>
          <t>Thứ sáu ngày 23-01-2026</t>
        </is>
      </c>
      <c r="C27" s="3" t="inlineStr">
        <is>
          <t>52062</t>
        </is>
      </c>
      <c r="D27" s="3" t="inlineStr">
        <is>
          <t>62</t>
        </is>
      </c>
      <c r="E27" s="3" t="inlineStr">
        <is>
          <t>Đầu 6</t>
        </is>
      </c>
      <c r="F27" s="3" t="inlineStr">
        <is>
          <t>Đuôi 2</t>
        </is>
      </c>
      <c r="G27" s="3" t="inlineStr">
        <is>
          <t>9, 2, 4</t>
        </is>
      </c>
      <c r="H27" s="6" t="inlineStr">
        <is>
          <t>TRƯỢT ❌</t>
        </is>
      </c>
      <c r="I27" s="3" t="inlineStr">
        <is>
          <t>7, 8, 4</t>
        </is>
      </c>
      <c r="J27" s="6" t="inlineStr">
        <is>
          <t>TRƯỢT ❌</t>
        </is>
      </c>
      <c r="K27" s="3" t="inlineStr">
        <is>
          <t>24, 27, 28, 44, 47, 48, 94, 97, 98</t>
        </is>
      </c>
      <c r="L27" s="6" t="inlineStr">
        <is>
          <t>TRƯỢT ❌</t>
        </is>
      </c>
      <c r="M27" s="6" t="inlineStr">
        <is>
          <t>TRƯỢT KHUNG ❌</t>
        </is>
      </c>
    </row>
    <row r="28">
      <c r="A28" s="2" t="n">
        <v>24</v>
      </c>
      <c r="B28" s="2" t="inlineStr">
        <is>
          <t>Thứ bảy ngày 24-01-2026</t>
        </is>
      </c>
      <c r="C28" s="3" t="inlineStr">
        <is>
          <t>08230</t>
        </is>
      </c>
      <c r="D28" s="3" t="inlineStr">
        <is>
          <t>30</t>
        </is>
      </c>
      <c r="E28" s="3" t="inlineStr">
        <is>
          <t>Đầu 3</t>
        </is>
      </c>
      <c r="F28" s="3" t="inlineStr">
        <is>
          <t>Đuôi 0</t>
        </is>
      </c>
      <c r="G28" s="3" t="inlineStr">
        <is>
          <t>2, 9, 4</t>
        </is>
      </c>
      <c r="H28" s="6" t="inlineStr">
        <is>
          <t>TRƯỢT ❌</t>
        </is>
      </c>
      <c r="I28" s="3" t="inlineStr">
        <is>
          <t>8, 7, 4</t>
        </is>
      </c>
      <c r="J28" s="6" t="inlineStr">
        <is>
          <t>TRƯỢT ❌</t>
        </is>
      </c>
      <c r="K28" s="3" t="inlineStr">
        <is>
          <t>24, 27, 28, 44, 47, 48, 94, 97, 98</t>
        </is>
      </c>
      <c r="L28" s="6" t="inlineStr">
        <is>
          <t>TRƯỢT ❌</t>
        </is>
      </c>
      <c r="M28" s="6" t="inlineStr">
        <is>
          <t>TRƯỢT KHUNG ❌</t>
        </is>
      </c>
    </row>
    <row r="29">
      <c r="A29" s="2" t="n">
        <v>25</v>
      </c>
      <c r="B29" s="2" t="inlineStr">
        <is>
          <t>Chủ nhật ngày 25-01-2026</t>
        </is>
      </c>
      <c r="C29" s="3" t="inlineStr">
        <is>
          <t>00974</t>
        </is>
      </c>
      <c r="D29" s="3" t="inlineStr">
        <is>
          <t>74</t>
        </is>
      </c>
      <c r="E29" s="3" t="inlineStr">
        <is>
          <t>Đầu 7</t>
        </is>
      </c>
      <c r="F29" s="3" t="inlineStr">
        <is>
          <t>Đuôi 4</t>
        </is>
      </c>
      <c r="G29" s="3" t="inlineStr">
        <is>
          <t>2, 8, 9</t>
        </is>
      </c>
      <c r="H29" s="6" t="inlineStr">
        <is>
          <t>TRƯỢT ❌</t>
        </is>
      </c>
      <c r="I29" s="3" t="inlineStr">
        <is>
          <t>8, 7, 4</t>
        </is>
      </c>
      <c r="J29" s="7" t="inlineStr">
        <is>
          <t>TRÚNG 🎯</t>
        </is>
      </c>
      <c r="K29" s="3" t="inlineStr">
        <is>
          <t>24, 27, 28, 84, 87, 88, 94, 97, 98</t>
        </is>
      </c>
      <c r="L29" s="6" t="inlineStr">
        <is>
          <t>TRƯỢT ❌</t>
        </is>
      </c>
      <c r="M29" s="6" t="inlineStr">
        <is>
          <t>TRƯỢT KHUNG ❌</t>
        </is>
      </c>
    </row>
    <row r="30">
      <c r="A30" s="2" t="n">
        <v>26</v>
      </c>
      <c r="B30" s="2" t="inlineStr">
        <is>
          <t>Thứ hai ngày 26-01-2026</t>
        </is>
      </c>
      <c r="C30" s="3" t="inlineStr">
        <is>
          <t>39380</t>
        </is>
      </c>
      <c r="D30" s="3" t="inlineStr">
        <is>
          <t>80</t>
        </is>
      </c>
      <c r="E30" s="3" t="inlineStr">
        <is>
          <t>Đầu 8</t>
        </is>
      </c>
      <c r="F30" s="3" t="inlineStr">
        <is>
          <t>Đuôi 0</t>
        </is>
      </c>
      <c r="G30" s="3" t="inlineStr">
        <is>
          <t>2, 8, 9</t>
        </is>
      </c>
      <c r="H30" s="7" t="inlineStr">
        <is>
          <t>TRÚNG 🎯</t>
        </is>
      </c>
      <c r="I30" s="3" t="inlineStr">
        <is>
          <t>8, 7, 3</t>
        </is>
      </c>
      <c r="J30" s="6" t="inlineStr">
        <is>
          <t>TRƯỢT ❌</t>
        </is>
      </c>
      <c r="K30" s="3" t="inlineStr">
        <is>
          <t>23, 27, 28, 83, 87, 88, 93, 97, 98</t>
        </is>
      </c>
      <c r="L30" s="6" t="inlineStr">
        <is>
          <t>TRƯỢT ❌</t>
        </is>
      </c>
      <c r="M30" s="6" t="inlineStr">
        <is>
          <t>TRƯỢT KHUNG ❌</t>
        </is>
      </c>
    </row>
    <row r="31">
      <c r="A31" s="2" t="n">
        <v>27</v>
      </c>
      <c r="B31" s="2" t="inlineStr">
        <is>
          <t>Thứ ba ngày 27-01-2026</t>
        </is>
      </c>
      <c r="C31" s="3" t="inlineStr">
        <is>
          <t>24121</t>
        </is>
      </c>
      <c r="D31" s="3" t="inlineStr">
        <is>
          <t>21</t>
        </is>
      </c>
      <c r="E31" s="3" t="inlineStr">
        <is>
          <t>Đầu 2</t>
        </is>
      </c>
      <c r="F31" s="3" t="inlineStr">
        <is>
          <t>Đuôi 1</t>
        </is>
      </c>
      <c r="G31" s="3" t="inlineStr">
        <is>
          <t>2, 9, 6</t>
        </is>
      </c>
      <c r="H31" s="7" t="inlineStr">
        <is>
          <t>TRÚNG 🎯</t>
        </is>
      </c>
      <c r="I31" s="3" t="inlineStr">
        <is>
          <t>8, 7, 3</t>
        </is>
      </c>
      <c r="J31" s="6" t="inlineStr">
        <is>
          <t>TRƯỢT ❌</t>
        </is>
      </c>
      <c r="K31" s="3" t="inlineStr">
        <is>
          <t>23, 27, 28, 63, 67, 68, 93, 97, 98</t>
        </is>
      </c>
      <c r="L31" s="6" t="inlineStr">
        <is>
          <t>TRƯỢT ❌</t>
        </is>
      </c>
      <c r="M31" s="6" t="inlineStr">
        <is>
          <t>TRƯỢT KHUNG ❌</t>
        </is>
      </c>
    </row>
    <row r="32">
      <c r="A32" s="2" t="n">
        <v>28</v>
      </c>
      <c r="B32" s="2" t="inlineStr">
        <is>
          <t>Thứ tư ngày 28-01-2026</t>
        </is>
      </c>
      <c r="C32" s="3" t="inlineStr">
        <is>
          <t>38814</t>
        </is>
      </c>
      <c r="D32" s="3" t="inlineStr">
        <is>
          <t>14</t>
        </is>
      </c>
      <c r="E32" s="3" t="inlineStr">
        <is>
          <t>Đầu 1</t>
        </is>
      </c>
      <c r="F32" s="3" t="inlineStr">
        <is>
          <t>Đuôi 4</t>
        </is>
      </c>
      <c r="G32" s="3" t="inlineStr">
        <is>
          <t>6, 2, 4</t>
        </is>
      </c>
      <c r="H32" s="6" t="inlineStr">
        <is>
          <t>TRƯỢT ❌</t>
        </is>
      </c>
      <c r="I32" s="3" t="inlineStr">
        <is>
          <t>8, 2, 7</t>
        </is>
      </c>
      <c r="J32" s="6" t="inlineStr">
        <is>
          <t>TRƯỢT ❌</t>
        </is>
      </c>
      <c r="K32" s="3" t="inlineStr">
        <is>
          <t>22, 27, 28, 42, 47, 48, 62, 67, 68</t>
        </is>
      </c>
      <c r="L32" s="6" t="inlineStr">
        <is>
          <t>TRƯỢT ❌</t>
        </is>
      </c>
      <c r="M32" s="6" t="inlineStr">
        <is>
          <t>TRƯỢT KHUNG ❌</t>
        </is>
      </c>
    </row>
    <row r="33">
      <c r="A33" s="2" t="n">
        <v>29</v>
      </c>
      <c r="B33" s="2" t="inlineStr">
        <is>
          <t>Thứ năm ngày 29-01-2026</t>
        </is>
      </c>
      <c r="C33" s="3" t="inlineStr">
        <is>
          <t>32845</t>
        </is>
      </c>
      <c r="D33" s="3" t="inlineStr">
        <is>
          <t>45</t>
        </is>
      </c>
      <c r="E33" s="3" t="inlineStr">
        <is>
          <t>Đầu 4</t>
        </is>
      </c>
      <c r="F33" s="3" t="inlineStr">
        <is>
          <t>Đuôi 5</t>
        </is>
      </c>
      <c r="G33" s="3" t="inlineStr">
        <is>
          <t>6, 2, 3</t>
        </is>
      </c>
      <c r="H33" s="6" t="inlineStr">
        <is>
          <t>TRƯỢT ❌</t>
        </is>
      </c>
      <c r="I33" s="3" t="inlineStr">
        <is>
          <t>8, 2, 7</t>
        </is>
      </c>
      <c r="J33" s="6" t="inlineStr">
        <is>
          <t>TRƯỢT ❌</t>
        </is>
      </c>
      <c r="K33" s="3" t="inlineStr">
        <is>
          <t>22, 27, 28, 32, 37, 38, 62, 67, 68</t>
        </is>
      </c>
      <c r="L33" s="6" t="inlineStr">
        <is>
          <t>TRƯỢT ❌</t>
        </is>
      </c>
      <c r="M33" s="6" t="inlineStr">
        <is>
          <t>TRƯỢT KHUNG ❌</t>
        </is>
      </c>
    </row>
    <row r="34">
      <c r="A34" s="2" t="n">
        <v>30</v>
      </c>
      <c r="B34" s="2" t="inlineStr">
        <is>
          <t>Thứ sáu ngày 30-01-2026</t>
        </is>
      </c>
      <c r="C34" s="3" t="inlineStr">
        <is>
          <t>42754</t>
        </is>
      </c>
      <c r="D34" s="3" t="inlineStr">
        <is>
          <t>54</t>
        </is>
      </c>
      <c r="E34" s="3" t="inlineStr">
        <is>
          <t>Đầu 5</t>
        </is>
      </c>
      <c r="F34" s="3" t="inlineStr">
        <is>
          <t>Đuôi 4</t>
        </is>
      </c>
      <c r="G34" s="3" t="inlineStr">
        <is>
          <t>2, 6, 8</t>
        </is>
      </c>
      <c r="H34" s="6" t="inlineStr">
        <is>
          <t>TRƯỢT ❌</t>
        </is>
      </c>
      <c r="I34" s="3" t="inlineStr">
        <is>
          <t>8, 2, 3</t>
        </is>
      </c>
      <c r="J34" s="6" t="inlineStr">
        <is>
          <t>TRƯỢT ❌</t>
        </is>
      </c>
      <c r="K34" s="3" t="inlineStr">
        <is>
          <t>22, 23, 28, 62, 63, 68, 82, 83, 88</t>
        </is>
      </c>
      <c r="L34" s="6" t="inlineStr">
        <is>
          <t>TRƯỢT ❌</t>
        </is>
      </c>
      <c r="M34" s="6" t="inlineStr">
        <is>
          <t>TRƯỢT KHUNG ❌</t>
        </is>
      </c>
    </row>
    <row r="35">
      <c r="A35" s="2" t="n">
        <v>31</v>
      </c>
      <c r="B35" s="2" t="inlineStr">
        <is>
          <t>Thứ bảy ngày 31-01-2026</t>
        </is>
      </c>
      <c r="C35" s="3" t="inlineStr">
        <is>
          <t>01377</t>
        </is>
      </c>
      <c r="D35" s="3" t="inlineStr">
        <is>
          <t>77</t>
        </is>
      </c>
      <c r="E35" s="3" t="inlineStr">
        <is>
          <t>Đầu 7</t>
        </is>
      </c>
      <c r="F35" s="3" t="inlineStr">
        <is>
          <t>Đuôi 7</t>
        </is>
      </c>
      <c r="G35" s="3" t="inlineStr">
        <is>
          <t>2, 8, 6</t>
        </is>
      </c>
      <c r="H35" s="6" t="inlineStr">
        <is>
          <t>TRƯỢT ❌</t>
        </is>
      </c>
      <c r="I35" s="3" t="inlineStr">
        <is>
          <t>2, 8, 3</t>
        </is>
      </c>
      <c r="J35" s="6" t="inlineStr">
        <is>
          <t>TRƯỢT ❌</t>
        </is>
      </c>
      <c r="K35" s="3" t="inlineStr">
        <is>
          <t>22, 23, 28, 62, 63, 68, 82, 83, 88</t>
        </is>
      </c>
      <c r="L35" s="6" t="inlineStr">
        <is>
          <t>TRƯỢT ❌</t>
        </is>
      </c>
      <c r="M35" s="6" t="inlineStr">
        <is>
          <t>TRƯỢT KHUNG ❌</t>
        </is>
      </c>
    </row>
    <row r="36">
      <c r="A36" s="2" t="n">
        <v>32</v>
      </c>
      <c r="B36" s="2" t="inlineStr">
        <is>
          <t>Chủ nhật ngày 01-02-2026</t>
        </is>
      </c>
      <c r="C36" s="3" t="inlineStr">
        <is>
          <t>73461</t>
        </is>
      </c>
      <c r="D36" s="3" t="inlineStr">
        <is>
          <t>61</t>
        </is>
      </c>
      <c r="E36" s="3" t="inlineStr">
        <is>
          <t>Đầu 6</t>
        </is>
      </c>
      <c r="F36" s="3" t="inlineStr">
        <is>
          <t>Đuôi 1</t>
        </is>
      </c>
      <c r="G36" s="3" t="inlineStr">
        <is>
          <t>2, 8, 6</t>
        </is>
      </c>
      <c r="H36" s="7" t="inlineStr">
        <is>
          <t>TRÚNG 🎯</t>
        </is>
      </c>
      <c r="I36" s="3" t="inlineStr">
        <is>
          <t>2, 3, 8</t>
        </is>
      </c>
      <c r="J36" s="6" t="inlineStr">
        <is>
          <t>TRƯỢT ❌</t>
        </is>
      </c>
      <c r="K36" s="3" t="inlineStr">
        <is>
          <t>22, 23, 28, 62, 63, 68, 82, 83, 88</t>
        </is>
      </c>
      <c r="L36" s="6" t="inlineStr">
        <is>
          <t>TRƯỢT ❌</t>
        </is>
      </c>
      <c r="M36" s="6" t="inlineStr">
        <is>
          <t>TRƯỢT KHUNG ❌</t>
        </is>
      </c>
    </row>
    <row r="37">
      <c r="A37" s="2" t="n">
        <v>33</v>
      </c>
      <c r="B37" s="2" t="inlineStr">
        <is>
          <t>Thứ hai ngày 02-02-2026</t>
        </is>
      </c>
      <c r="C37" s="3" t="inlineStr">
        <is>
          <t>97648</t>
        </is>
      </c>
      <c r="D37" s="3" t="inlineStr">
        <is>
          <t>48</t>
        </is>
      </c>
      <c r="E37" s="3" t="inlineStr">
        <is>
          <t>Đầu 4</t>
        </is>
      </c>
      <c r="F37" s="3" t="inlineStr">
        <is>
          <t>Đuôi 8</t>
        </is>
      </c>
      <c r="G37" s="3" t="inlineStr">
        <is>
          <t>2, 8, 1</t>
        </is>
      </c>
      <c r="H37" s="6" t="inlineStr">
        <is>
          <t>TRƯỢT ❌</t>
        </is>
      </c>
      <c r="I37" s="3" t="inlineStr">
        <is>
          <t>2, 3, 4</t>
        </is>
      </c>
      <c r="J37" s="6" t="inlineStr">
        <is>
          <t>TRƯỢT ❌</t>
        </is>
      </c>
      <c r="K37" s="3" t="inlineStr">
        <is>
          <t>12, 13, 14, 22, 23, 24, 82, 83, 84</t>
        </is>
      </c>
      <c r="L37" s="6" t="inlineStr">
        <is>
          <t>TRƯỢT ❌</t>
        </is>
      </c>
      <c r="M37" s="6" t="inlineStr">
        <is>
          <t>TRƯỢT KHUNG ❌</t>
        </is>
      </c>
    </row>
    <row r="38">
      <c r="A38" s="2" t="n">
        <v>34</v>
      </c>
      <c r="B38" s="2" t="inlineStr">
        <is>
          <t>Thứ ba ngày 03-02-2026</t>
        </is>
      </c>
      <c r="C38" s="3" t="inlineStr">
        <is>
          <t>06517</t>
        </is>
      </c>
      <c r="D38" s="3" t="inlineStr">
        <is>
          <t>17</t>
        </is>
      </c>
      <c r="E38" s="3" t="inlineStr">
        <is>
          <t>Đầu 1</t>
        </is>
      </c>
      <c r="F38" s="3" t="inlineStr">
        <is>
          <t>Đuôi 7</t>
        </is>
      </c>
      <c r="G38" s="3" t="inlineStr">
        <is>
          <t>2, 8, 1</t>
        </is>
      </c>
      <c r="H38" s="7" t="inlineStr">
        <is>
          <t>TRÚNG 🎯</t>
        </is>
      </c>
      <c r="I38" s="3" t="inlineStr">
        <is>
          <t>2, 4, 3</t>
        </is>
      </c>
      <c r="J38" s="6" t="inlineStr">
        <is>
          <t>TRƯỢT ❌</t>
        </is>
      </c>
      <c r="K38" s="3" t="inlineStr">
        <is>
          <t>12, 13, 14, 22, 23, 24, 82, 83, 84</t>
        </is>
      </c>
      <c r="L38" s="6" t="inlineStr">
        <is>
          <t>TRƯỢT ❌</t>
        </is>
      </c>
      <c r="M38" s="6" t="inlineStr">
        <is>
          <t>TRƯỢT KHUNG ❌</t>
        </is>
      </c>
    </row>
    <row r="39">
      <c r="A39" s="2" t="n">
        <v>35</v>
      </c>
      <c r="B39" s="2" t="inlineStr">
        <is>
          <t>Thứ tư ngày 04-02-2026</t>
        </is>
      </c>
      <c r="C39" s="3" t="inlineStr">
        <is>
          <t>10268</t>
        </is>
      </c>
      <c r="D39" s="3" t="inlineStr">
        <is>
          <t>68</t>
        </is>
      </c>
      <c r="E39" s="3" t="inlineStr">
        <is>
          <t>Đầu 6</t>
        </is>
      </c>
      <c r="F39" s="3" t="inlineStr">
        <is>
          <t>Đuôi 8</t>
        </is>
      </c>
      <c r="G39" s="3" t="inlineStr">
        <is>
          <t>2, 8, 3</t>
        </is>
      </c>
      <c r="H39" s="6" t="inlineStr">
        <is>
          <t>TRƯỢT ❌</t>
        </is>
      </c>
      <c r="I39" s="3" t="inlineStr">
        <is>
          <t>4, 2, 3</t>
        </is>
      </c>
      <c r="J39" s="6" t="inlineStr">
        <is>
          <t>TRƯỢT ❌</t>
        </is>
      </c>
      <c r="K39" s="3" t="inlineStr">
        <is>
          <t>22, 23, 24, 32, 33, 34, 82, 83, 84</t>
        </is>
      </c>
      <c r="L39" s="6" t="inlineStr">
        <is>
          <t>TRƯỢT ❌</t>
        </is>
      </c>
      <c r="M39" s="7" t="inlineStr">
        <is>
          <t>TRÚNG KHUNG 🎯</t>
        </is>
      </c>
    </row>
    <row r="40">
      <c r="A40" s="2" t="n">
        <v>36</v>
      </c>
      <c r="B40" s="2" t="inlineStr">
        <is>
          <t>Thứ năm ngày 05-02-2026</t>
        </is>
      </c>
      <c r="C40" s="3" t="inlineStr">
        <is>
          <t>06133</t>
        </is>
      </c>
      <c r="D40" s="3" t="inlineStr">
        <is>
          <t>33</t>
        </is>
      </c>
      <c r="E40" s="3" t="inlineStr">
        <is>
          <t>Đầu 3</t>
        </is>
      </c>
      <c r="F40" s="3" t="inlineStr">
        <is>
          <t>Đuôi 3</t>
        </is>
      </c>
      <c r="G40" s="3" t="inlineStr">
        <is>
          <t>2, 8, 7</t>
        </is>
      </c>
      <c r="H40" s="6" t="inlineStr">
        <is>
          <t>TRƯỢT ❌</t>
        </is>
      </c>
      <c r="I40" s="3" t="inlineStr">
        <is>
          <t>4, 2, 3</t>
        </is>
      </c>
      <c r="J40" s="7" t="inlineStr">
        <is>
          <t>TRÚNG 🎯</t>
        </is>
      </c>
      <c r="K40" s="3" t="inlineStr">
        <is>
          <t>22, 23, 24, 72, 73, 74, 82, 83, 84</t>
        </is>
      </c>
      <c r="L40" s="6" t="inlineStr">
        <is>
          <t>TRƯỢT ❌</t>
        </is>
      </c>
      <c r="M40" s="6" t="inlineStr">
        <is>
          <t>TRƯỢT KHUNG ❌</t>
        </is>
      </c>
    </row>
    <row r="41">
      <c r="A41" s="2" t="n">
        <v>37</v>
      </c>
      <c r="B41" s="2" t="inlineStr">
        <is>
          <t>Thứ sáu ngày 06-02-2026</t>
        </is>
      </c>
      <c r="C41" s="3" t="inlineStr">
        <is>
          <t>38385</t>
        </is>
      </c>
      <c r="D41" s="3" t="inlineStr">
        <is>
          <t>85</t>
        </is>
      </c>
      <c r="E41" s="3" t="inlineStr">
        <is>
          <t>Đầu 8</t>
        </is>
      </c>
      <c r="F41" s="3" t="inlineStr">
        <is>
          <t>Đuôi 5</t>
        </is>
      </c>
      <c r="G41" s="3" t="inlineStr">
        <is>
          <t>2, 7, 8</t>
        </is>
      </c>
      <c r="H41" s="7" t="inlineStr">
        <is>
          <t>TRÚNG 🎯</t>
        </is>
      </c>
      <c r="I41" s="3" t="inlineStr">
        <is>
          <t>4, 2, 1</t>
        </is>
      </c>
      <c r="J41" s="6" t="inlineStr">
        <is>
          <t>TRƯỢT ❌</t>
        </is>
      </c>
      <c r="K41" s="3" t="inlineStr">
        <is>
          <t>21, 22, 24, 71, 72, 74, 81, 82, 84</t>
        </is>
      </c>
      <c r="L41" s="6" t="inlineStr">
        <is>
          <t>TRƯỢT ❌</t>
        </is>
      </c>
      <c r="M41" s="6" t="inlineStr">
        <is>
          <t>TRƯỢT KHUNG ❌</t>
        </is>
      </c>
    </row>
    <row r="42">
      <c r="A42" s="2" t="n">
        <v>38</v>
      </c>
      <c r="B42" s="2" t="inlineStr">
        <is>
          <t>Thứ bảy ngày 07-02-2026</t>
        </is>
      </c>
      <c r="C42" s="3" t="inlineStr">
        <is>
          <t>57977</t>
        </is>
      </c>
      <c r="D42" s="3" t="inlineStr">
        <is>
          <t>77</t>
        </is>
      </c>
      <c r="E42" s="3" t="inlineStr">
        <is>
          <t>Đầu 7</t>
        </is>
      </c>
      <c r="F42" s="3" t="inlineStr">
        <is>
          <t>Đuôi 7</t>
        </is>
      </c>
      <c r="G42" s="3" t="inlineStr">
        <is>
          <t>2, 7, 4</t>
        </is>
      </c>
      <c r="H42" s="7" t="inlineStr">
        <is>
          <t>TRÚNG 🎯</t>
        </is>
      </c>
      <c r="I42" s="3" t="inlineStr">
        <is>
          <t>4, 1, 2</t>
        </is>
      </c>
      <c r="J42" s="6" t="inlineStr">
        <is>
          <t>TRƯỢT ❌</t>
        </is>
      </c>
      <c r="K42" s="3" t="inlineStr">
        <is>
          <t>21, 22, 24, 41, 42, 44, 71, 72, 74</t>
        </is>
      </c>
      <c r="L42" s="6" t="inlineStr">
        <is>
          <t>TRƯỢT ❌</t>
        </is>
      </c>
      <c r="M42" s="6" t="inlineStr">
        <is>
          <t>TRƯỢT KHUNG ❌</t>
        </is>
      </c>
    </row>
    <row r="43">
      <c r="A43" s="2" t="n">
        <v>39</v>
      </c>
      <c r="B43" s="2" t="inlineStr">
        <is>
          <t>Chủ nhật ngày 08-02-2026</t>
        </is>
      </c>
      <c r="C43" s="3" t="inlineStr">
        <is>
          <t>05901</t>
        </is>
      </c>
      <c r="D43" s="3" t="inlineStr">
        <is>
          <t>01</t>
        </is>
      </c>
      <c r="E43" s="3" t="inlineStr">
        <is>
          <t>Đầu 0</t>
        </is>
      </c>
      <c r="F43" s="3" t="inlineStr">
        <is>
          <t>Đuôi 1</t>
        </is>
      </c>
      <c r="G43" s="3" t="inlineStr">
        <is>
          <t>2, 1, 6</t>
        </is>
      </c>
      <c r="H43" s="6" t="inlineStr">
        <is>
          <t>TRƯỢT ❌</t>
        </is>
      </c>
      <c r="I43" s="3" t="inlineStr">
        <is>
          <t>4, 1, 8</t>
        </is>
      </c>
      <c r="J43" s="7" t="inlineStr">
        <is>
          <t>TRÚNG 🎯</t>
        </is>
      </c>
      <c r="K43" s="3" t="inlineStr">
        <is>
          <t>11, 14, 18, 21, 24, 28, 61, 64, 68</t>
        </is>
      </c>
      <c r="L43" s="6" t="inlineStr">
        <is>
          <t>TRƯỢT ❌</t>
        </is>
      </c>
      <c r="M43" s="6" t="inlineStr">
        <is>
          <t>TRƯỢT KHUNG ❌</t>
        </is>
      </c>
    </row>
    <row r="44">
      <c r="A44" s="2" t="n">
        <v>40</v>
      </c>
      <c r="B44" s="2" t="inlineStr">
        <is>
          <t>Thứ hai ngày 09-02-2026</t>
        </is>
      </c>
      <c r="C44" s="3" t="inlineStr">
        <is>
          <t>65390</t>
        </is>
      </c>
      <c r="D44" s="3" t="inlineStr">
        <is>
          <t>90</t>
        </is>
      </c>
      <c r="E44" s="3" t="inlineStr">
        <is>
          <t>Đầu 9</t>
        </is>
      </c>
      <c r="F44" s="3" t="inlineStr">
        <is>
          <t>Đuôi 0</t>
        </is>
      </c>
      <c r="G44" s="3" t="inlineStr">
        <is>
          <t>2, 6, 1</t>
        </is>
      </c>
      <c r="H44" s="6" t="inlineStr">
        <is>
          <t>TRƯỢT ❌</t>
        </is>
      </c>
      <c r="I44" s="3" t="inlineStr">
        <is>
          <t>8, 4, 7</t>
        </is>
      </c>
      <c r="J44" s="6" t="inlineStr">
        <is>
          <t>TRƯỢT ❌</t>
        </is>
      </c>
      <c r="K44" s="3" t="inlineStr">
        <is>
          <t>14, 17, 18, 24, 27, 28, 64, 67, 68</t>
        </is>
      </c>
      <c r="L44" s="6" t="inlineStr">
        <is>
          <t>TRƯỢT ❌</t>
        </is>
      </c>
      <c r="M44" s="6" t="inlineStr">
        <is>
          <t>TRƯỢT KHUNG ❌</t>
        </is>
      </c>
    </row>
    <row r="45">
      <c r="A45" s="2" t="n">
        <v>41</v>
      </c>
      <c r="B45" s="2" t="inlineStr">
        <is>
          <t>Thứ ba ngày 10-02-2026</t>
        </is>
      </c>
      <c r="C45" s="3" t="inlineStr">
        <is>
          <t>20692</t>
        </is>
      </c>
      <c r="D45" s="3" t="inlineStr">
        <is>
          <t>92</t>
        </is>
      </c>
      <c r="E45" s="3" t="inlineStr">
        <is>
          <t>Đầu 9</t>
        </is>
      </c>
      <c r="F45" s="3" t="inlineStr">
        <is>
          <t>Đuôi 2</t>
        </is>
      </c>
      <c r="G45" s="3" t="inlineStr">
        <is>
          <t>2, 6, 1</t>
        </is>
      </c>
      <c r="H45" s="6" t="inlineStr">
        <is>
          <t>TRƯỢT ❌</t>
        </is>
      </c>
      <c r="I45" s="3" t="inlineStr">
        <is>
          <t>4, 8, 7</t>
        </is>
      </c>
      <c r="J45" s="6" t="inlineStr">
        <is>
          <t>TRƯỢT ❌</t>
        </is>
      </c>
      <c r="K45" s="3" t="inlineStr">
        <is>
          <t>14, 17, 18, 24, 27, 28, 64, 67, 68</t>
        </is>
      </c>
      <c r="L45" s="6" t="inlineStr">
        <is>
          <t>TRƯỢT ❌</t>
        </is>
      </c>
      <c r="M45" s="6" t="inlineStr">
        <is>
          <t>TRƯỢT KHUNG ❌</t>
        </is>
      </c>
    </row>
    <row r="46">
      <c r="A46" s="2" t="n">
        <v>42</v>
      </c>
      <c r="B46" s="2" t="inlineStr">
        <is>
          <t>Thứ tư ngày 11-02-2026</t>
        </is>
      </c>
      <c r="C46" s="3" t="inlineStr">
        <is>
          <t>81475</t>
        </is>
      </c>
      <c r="D46" s="3" t="inlineStr">
        <is>
          <t>75</t>
        </is>
      </c>
      <c r="E46" s="3" t="inlineStr">
        <is>
          <t>Đầu 7</t>
        </is>
      </c>
      <c r="F46" s="3" t="inlineStr">
        <is>
          <t>Đuôi 5</t>
        </is>
      </c>
      <c r="G46" s="3" t="inlineStr">
        <is>
          <t>2, 6, 8</t>
        </is>
      </c>
      <c r="H46" s="6" t="inlineStr">
        <is>
          <t>TRƯỢT ❌</t>
        </is>
      </c>
      <c r="I46" s="3" t="inlineStr">
        <is>
          <t>8, 4, 7</t>
        </is>
      </c>
      <c r="J46" s="6" t="inlineStr">
        <is>
          <t>TRƯỢT ❌</t>
        </is>
      </c>
      <c r="K46" s="3" t="inlineStr">
        <is>
          <t>24, 27, 28, 64, 67, 68, 84, 87, 88</t>
        </is>
      </c>
      <c r="L46" s="6" t="inlineStr">
        <is>
          <t>TRƯỢT ❌</t>
        </is>
      </c>
      <c r="M46" s="6" t="inlineStr">
        <is>
          <t>TRƯỢT KHUNG ❌</t>
        </is>
      </c>
    </row>
    <row r="47">
      <c r="A47" s="2" t="n">
        <v>43</v>
      </c>
      <c r="B47" s="2" t="inlineStr">
        <is>
          <t>Thứ năm ngày 12-02-2026</t>
        </is>
      </c>
      <c r="C47" s="3" t="inlineStr">
        <is>
          <t>93177</t>
        </is>
      </c>
      <c r="D47" s="3" t="inlineStr">
        <is>
          <t>77</t>
        </is>
      </c>
      <c r="E47" s="3" t="inlineStr">
        <is>
          <t>Đầu 7</t>
        </is>
      </c>
      <c r="F47" s="3" t="inlineStr">
        <is>
          <t>Đuôi 7</t>
        </is>
      </c>
      <c r="G47" s="3" t="inlineStr">
        <is>
          <t>2, 6, 8</t>
        </is>
      </c>
      <c r="H47" s="6" t="inlineStr">
        <is>
          <t>TRƯỢT ❌</t>
        </is>
      </c>
      <c r="I47" s="3" t="inlineStr">
        <is>
          <t>7, 8, 4</t>
        </is>
      </c>
      <c r="J47" s="7" t="inlineStr">
        <is>
          <t>TRÚNG 🎯</t>
        </is>
      </c>
      <c r="K47" s="3" t="inlineStr">
        <is>
          <t>24, 27, 28, 64, 67, 68, 84, 87, 88</t>
        </is>
      </c>
      <c r="L47" s="6" t="inlineStr">
        <is>
          <t>TRƯỢT ❌</t>
        </is>
      </c>
      <c r="M47" s="6" t="inlineStr">
        <is>
          <t>TRƯỢT KHUNG ❌</t>
        </is>
      </c>
    </row>
    <row r="48">
      <c r="A48" s="2" t="n">
        <v>44</v>
      </c>
      <c r="B48" s="2" t="inlineStr">
        <is>
          <t>Thứ sáu ngày 13-02-2026</t>
        </is>
      </c>
      <c r="C48" s="3" t="inlineStr">
        <is>
          <t>90630</t>
        </is>
      </c>
      <c r="D48" s="3" t="inlineStr">
        <is>
          <t>30</t>
        </is>
      </c>
      <c r="E48" s="3" t="inlineStr">
        <is>
          <t>Đầu 3</t>
        </is>
      </c>
      <c r="F48" s="3" t="inlineStr">
        <is>
          <t>Đuôi 0</t>
        </is>
      </c>
      <c r="G48" s="3" t="inlineStr">
        <is>
          <t>8, 6, 2</t>
        </is>
      </c>
      <c r="H48" s="6" t="inlineStr">
        <is>
          <t>TRƯỢT ❌</t>
        </is>
      </c>
      <c r="I48" s="3" t="inlineStr">
        <is>
          <t>1, 4, 8</t>
        </is>
      </c>
      <c r="J48" s="6" t="inlineStr">
        <is>
          <t>TRƯỢT ❌</t>
        </is>
      </c>
      <c r="K48" s="3" t="inlineStr">
        <is>
          <t>21, 24, 28, 61, 64, 68, 81, 84, 88</t>
        </is>
      </c>
      <c r="L48" s="6" t="inlineStr">
        <is>
          <t>TRƯỢT ❌</t>
        </is>
      </c>
      <c r="M48" s="7" t="inlineStr">
        <is>
          <t>TRÚNG KHUNG 🎯</t>
        </is>
      </c>
    </row>
    <row r="49">
      <c r="A49" s="2" t="n">
        <v>45</v>
      </c>
      <c r="B49" s="2" t="inlineStr">
        <is>
          <t>Thứ bảy ngày 14-02-2026</t>
        </is>
      </c>
      <c r="C49" s="3" t="inlineStr">
        <is>
          <t>22601</t>
        </is>
      </c>
      <c r="D49" s="3" t="inlineStr">
        <is>
          <t>01</t>
        </is>
      </c>
      <c r="E49" s="3" t="inlineStr">
        <is>
          <t>Đầu 0</t>
        </is>
      </c>
      <c r="F49" s="3" t="inlineStr">
        <is>
          <t>Đuôi 1</t>
        </is>
      </c>
      <c r="G49" s="3" t="inlineStr">
        <is>
          <t>8, 6, 7</t>
        </is>
      </c>
      <c r="H49" s="6" t="inlineStr">
        <is>
          <t>TRƯỢT ❌</t>
        </is>
      </c>
      <c r="I49" s="3" t="inlineStr">
        <is>
          <t>1, 4, 8</t>
        </is>
      </c>
      <c r="J49" s="7" t="inlineStr">
        <is>
          <t>TRÚNG 🎯</t>
        </is>
      </c>
      <c r="K49" s="3" t="inlineStr">
        <is>
          <t>61, 64, 68, 71, 74, 78, 81, 84, 88</t>
        </is>
      </c>
      <c r="L49" s="6" t="inlineStr">
        <is>
          <t>TRƯỢT ❌</t>
        </is>
      </c>
      <c r="M49" s="7" t="inlineStr">
        <is>
          <t>TRÚNG KHUNG 🎯</t>
        </is>
      </c>
    </row>
    <row r="50">
      <c r="A50" s="2" t="n">
        <v>46</v>
      </c>
      <c r="B50" s="2" t="inlineStr">
        <is>
          <t>Chủ nhật ngày 15-02-2026</t>
        </is>
      </c>
      <c r="C50" s="3" t="inlineStr">
        <is>
          <t>36481</t>
        </is>
      </c>
      <c r="D50" s="3" t="inlineStr">
        <is>
          <t>81</t>
        </is>
      </c>
      <c r="E50" s="3" t="inlineStr">
        <is>
          <t>Đầu 8</t>
        </is>
      </c>
      <c r="F50" s="3" t="inlineStr">
        <is>
          <t>Đuôi 1</t>
        </is>
      </c>
      <c r="G50" s="3" t="inlineStr">
        <is>
          <t>6, 7, 8</t>
        </is>
      </c>
      <c r="H50" s="7" t="inlineStr">
        <is>
          <t>TRÚNG 🎯</t>
        </is>
      </c>
      <c r="I50" s="3" t="inlineStr">
        <is>
          <t>4, 2, 8</t>
        </is>
      </c>
      <c r="J50" s="6" t="inlineStr">
        <is>
          <t>TRƯỢT ❌</t>
        </is>
      </c>
      <c r="K50" s="3" t="inlineStr">
        <is>
          <t>62, 64, 68, 72, 74, 78, 82, 84, 88</t>
        </is>
      </c>
      <c r="L50" s="6" t="inlineStr">
        <is>
          <t>TRƯỢT ❌</t>
        </is>
      </c>
      <c r="M50" s="6" t="inlineStr">
        <is>
          <t>TRƯỢT KHUNG ❌</t>
        </is>
      </c>
    </row>
    <row r="51">
      <c r="A51" s="2" t="n">
        <v>47</v>
      </c>
      <c r="B51" s="2" t="inlineStr">
        <is>
          <t>Thứ sáu ngày 20-02-2026</t>
        </is>
      </c>
      <c r="C51" s="3" t="inlineStr">
        <is>
          <t>44413</t>
        </is>
      </c>
      <c r="D51" s="3" t="inlineStr">
        <is>
          <t>13</t>
        </is>
      </c>
      <c r="E51" s="3" t="inlineStr">
        <is>
          <t>Đầu 1</t>
        </is>
      </c>
      <c r="F51" s="3" t="inlineStr">
        <is>
          <t>Đuôi 3</t>
        </is>
      </c>
      <c r="G51" s="3" t="inlineStr">
        <is>
          <t>7, 6, 1</t>
        </is>
      </c>
      <c r="H51" s="7" t="inlineStr">
        <is>
          <t>TRÚNG 🎯</t>
        </is>
      </c>
      <c r="I51" s="3" t="inlineStr">
        <is>
          <t>2, 5, 8</t>
        </is>
      </c>
      <c r="J51" s="6" t="inlineStr">
        <is>
          <t>TRƯỢT ❌</t>
        </is>
      </c>
      <c r="K51" s="3" t="inlineStr">
        <is>
          <t>12, 15, 18, 62, 65, 68, 72, 75, 78</t>
        </is>
      </c>
      <c r="L51" s="6" t="inlineStr">
        <is>
          <t>TRƯỢT ❌</t>
        </is>
      </c>
      <c r="M51" s="7" t="inlineStr">
        <is>
          <t>TRÚNG KHUNG 🎯</t>
        </is>
      </c>
    </row>
    <row r="52">
      <c r="A52" s="2" t="n">
        <v>48</v>
      </c>
      <c r="B52" s="2" t="inlineStr">
        <is>
          <t>Thứ bảy ngày 21-02-2026</t>
        </is>
      </c>
      <c r="C52" s="3" t="inlineStr">
        <is>
          <t>64512</t>
        </is>
      </c>
      <c r="D52" s="3" t="inlineStr">
        <is>
          <t>12</t>
        </is>
      </c>
      <c r="E52" s="3" t="inlineStr">
        <is>
          <t>Đầu 1</t>
        </is>
      </c>
      <c r="F52" s="3" t="inlineStr">
        <is>
          <t>Đuôi 2</t>
        </is>
      </c>
      <c r="G52" s="3" t="inlineStr">
        <is>
          <t>7, 6, 8</t>
        </is>
      </c>
      <c r="H52" s="6" t="inlineStr">
        <is>
          <t>TRƯỢT ❌</t>
        </is>
      </c>
      <c r="I52" s="3" t="inlineStr">
        <is>
          <t>7, 2, 5</t>
        </is>
      </c>
      <c r="J52" s="7" t="inlineStr">
        <is>
          <t>TRÚNG 🎯</t>
        </is>
      </c>
      <c r="K52" s="3" t="inlineStr">
        <is>
          <t>62, 65, 67, 72, 75, 77, 82, 85, 87</t>
        </is>
      </c>
      <c r="L52" s="6" t="inlineStr">
        <is>
          <t>TRƯỢT ❌</t>
        </is>
      </c>
      <c r="M52" s="6" t="inlineStr">
        <is>
          <t>TRƯỢT KHUNG ❌</t>
        </is>
      </c>
    </row>
    <row r="53">
      <c r="A53" s="2" t="n">
        <v>49</v>
      </c>
      <c r="B53" s="2" t="inlineStr">
        <is>
          <t>Chủ nhật ngày 22-02-2026</t>
        </is>
      </c>
      <c r="C53" s="3" t="inlineStr">
        <is>
          <t>67655</t>
        </is>
      </c>
      <c r="D53" s="3" t="inlineStr">
        <is>
          <t>55</t>
        </is>
      </c>
      <c r="E53" s="3" t="inlineStr">
        <is>
          <t>Đầu 5</t>
        </is>
      </c>
      <c r="F53" s="3" t="inlineStr">
        <is>
          <t>Đuôi 5</t>
        </is>
      </c>
      <c r="G53" s="3" t="inlineStr">
        <is>
          <t>7, 6, 3</t>
        </is>
      </c>
      <c r="H53" s="6" t="inlineStr">
        <is>
          <t>TRƯỢT ❌</t>
        </is>
      </c>
      <c r="I53" s="3" t="inlineStr">
        <is>
          <t>0, 7, 5</t>
        </is>
      </c>
      <c r="J53" s="7" t="inlineStr">
        <is>
          <t>TRÚNG 🎯</t>
        </is>
      </c>
      <c r="K53" s="3" t="inlineStr">
        <is>
          <t>30, 35, 37, 60, 65, 67, 70, 75, 77</t>
        </is>
      </c>
      <c r="L53" s="6" t="inlineStr">
        <is>
          <t>TRƯỢT ❌</t>
        </is>
      </c>
      <c r="M53" s="7" t="inlineStr">
        <is>
          <t>TRÚNG KHUNG 🎯</t>
        </is>
      </c>
    </row>
    <row r="54">
      <c r="A54" s="2" t="n">
        <v>50</v>
      </c>
      <c r="B54" s="2" t="inlineStr">
        <is>
          <t>Thứ hai ngày 23-02-2026</t>
        </is>
      </c>
      <c r="C54" s="3" t="inlineStr">
        <is>
          <t>65037</t>
        </is>
      </c>
      <c r="D54" s="3" t="inlineStr">
        <is>
          <t>37</t>
        </is>
      </c>
      <c r="E54" s="3" t="inlineStr">
        <is>
          <t>Đầu 3</t>
        </is>
      </c>
      <c r="F54" s="3" t="inlineStr">
        <is>
          <t>Đuôi 7</t>
        </is>
      </c>
      <c r="G54" s="3" t="inlineStr">
        <is>
          <t>7, 6, 3</t>
        </is>
      </c>
      <c r="H54" s="7" t="inlineStr">
        <is>
          <t>TRÚNG 🎯</t>
        </is>
      </c>
      <c r="I54" s="3" t="inlineStr">
        <is>
          <t>0, 7, 1</t>
        </is>
      </c>
      <c r="J54" s="7" t="inlineStr">
        <is>
          <t>TRÚNG 🎯</t>
        </is>
      </c>
      <c r="K54" s="3" t="inlineStr">
        <is>
          <t>30, 31, 37, 60, 61, 67, 70, 71, 77</t>
        </is>
      </c>
      <c r="L54" s="7" t="inlineStr">
        <is>
          <t>TRÚNG 🎯</t>
        </is>
      </c>
      <c r="M54" s="7" t="inlineStr">
        <is>
          <t>TRÚNG KHUNG 🎯</t>
        </is>
      </c>
    </row>
    <row r="55">
      <c r="A55" s="2" t="n">
        <v>51</v>
      </c>
      <c r="B55" s="2" t="inlineStr">
        <is>
          <t>Thứ ba ngày 24-02-2026</t>
        </is>
      </c>
      <c r="C55" s="3" t="inlineStr">
        <is>
          <t>48153</t>
        </is>
      </c>
      <c r="D55" s="3" t="inlineStr">
        <is>
          <t>53</t>
        </is>
      </c>
      <c r="E55" s="3" t="inlineStr">
        <is>
          <t>Đầu 5</t>
        </is>
      </c>
      <c r="F55" s="3" t="inlineStr">
        <is>
          <t>Đuôi 3</t>
        </is>
      </c>
      <c r="G55" s="3" t="inlineStr">
        <is>
          <t>7, 6, 8</t>
        </is>
      </c>
      <c r="H55" s="6" t="inlineStr">
        <is>
          <t>TRƯỢT ❌</t>
        </is>
      </c>
      <c r="I55" s="3" t="inlineStr">
        <is>
          <t>1, 0, 2</t>
        </is>
      </c>
      <c r="J55" s="6" t="inlineStr">
        <is>
          <t>TRƯỢT ❌</t>
        </is>
      </c>
      <c r="K55" s="3" t="inlineStr">
        <is>
          <t>60, 61, 62, 70, 71, 72, 80, 81, 82</t>
        </is>
      </c>
      <c r="L55" s="6" t="inlineStr">
        <is>
          <t>TRƯỢT ❌</t>
        </is>
      </c>
      <c r="M55" s="6" t="inlineStr">
        <is>
          <t>TRƯỢT KHUNG ❌</t>
        </is>
      </c>
    </row>
    <row r="56">
      <c r="A56" s="2" t="n">
        <v>52</v>
      </c>
      <c r="B56" s="2" t="inlineStr">
        <is>
          <t>Thứ tư ngày 25-02-2026</t>
        </is>
      </c>
      <c r="C56" s="3" t="inlineStr">
        <is>
          <t>86408</t>
        </is>
      </c>
      <c r="D56" s="3" t="inlineStr">
        <is>
          <t>08</t>
        </is>
      </c>
      <c r="E56" s="3" t="inlineStr">
        <is>
          <t>Đầu 0</t>
        </is>
      </c>
      <c r="F56" s="3" t="inlineStr">
        <is>
          <t>Đuôi 8</t>
        </is>
      </c>
      <c r="G56" s="3" t="inlineStr">
        <is>
          <t>7, 8, 1</t>
        </is>
      </c>
      <c r="H56" s="6" t="inlineStr">
        <is>
          <t>TRƯỢT ❌</t>
        </is>
      </c>
      <c r="I56" s="3" t="inlineStr">
        <is>
          <t>1, 0, 2</t>
        </is>
      </c>
      <c r="J56" s="6" t="inlineStr">
        <is>
          <t>TRƯỢT ❌</t>
        </is>
      </c>
      <c r="K56" s="3" t="inlineStr">
        <is>
          <t>10, 11, 12, 70, 71, 72, 80, 81, 82</t>
        </is>
      </c>
      <c r="L56" s="6" t="inlineStr">
        <is>
          <t>TRƯỢT ❌</t>
        </is>
      </c>
      <c r="M56" s="6" t="inlineStr">
        <is>
          <t>TRƯỢT KHUNG ❌</t>
        </is>
      </c>
    </row>
    <row r="57">
      <c r="A57" s="2" t="n">
        <v>53</v>
      </c>
      <c r="B57" s="2" t="inlineStr">
        <is>
          <t>Thứ năm ngày 26-02-2026</t>
        </is>
      </c>
      <c r="C57" s="3" t="inlineStr">
        <is>
          <t>13283</t>
        </is>
      </c>
      <c r="D57" s="3" t="inlineStr">
        <is>
          <t>83</t>
        </is>
      </c>
      <c r="E57" s="3" t="inlineStr">
        <is>
          <t>Đầu 8</t>
        </is>
      </c>
      <c r="F57" s="3" t="inlineStr">
        <is>
          <t>Đuôi 3</t>
        </is>
      </c>
      <c r="G57" s="3" t="inlineStr">
        <is>
          <t>7, 1, 8</t>
        </is>
      </c>
      <c r="H57" s="7" t="inlineStr">
        <is>
          <t>TRÚNG 🎯</t>
        </is>
      </c>
      <c r="I57" s="3" t="inlineStr">
        <is>
          <t>1, 0, 2</t>
        </is>
      </c>
      <c r="J57" s="6" t="inlineStr">
        <is>
          <t>TRƯỢT ❌</t>
        </is>
      </c>
      <c r="K57" s="3" t="inlineStr">
        <is>
          <t>10, 11, 12, 70, 71, 72, 80, 81, 82</t>
        </is>
      </c>
      <c r="L57" s="6" t="inlineStr">
        <is>
          <t>TRƯỢT ❌</t>
        </is>
      </c>
      <c r="M57" s="6" t="inlineStr">
        <is>
          <t>TRƯỢT KHUNG ❌</t>
        </is>
      </c>
    </row>
    <row r="58">
      <c r="A58" s="2" t="n">
        <v>54</v>
      </c>
      <c r="B58" s="2" t="inlineStr">
        <is>
          <t>Thứ sáu ngày 27-02-2026</t>
        </is>
      </c>
      <c r="C58" s="3" t="inlineStr">
        <is>
          <t>47891</t>
        </is>
      </c>
      <c r="D58" s="3" t="inlineStr">
        <is>
          <t>91</t>
        </is>
      </c>
      <c r="E58" s="3" t="inlineStr">
        <is>
          <t>Đầu 9</t>
        </is>
      </c>
      <c r="F58" s="3" t="inlineStr">
        <is>
          <t>Đuôi 1</t>
        </is>
      </c>
      <c r="G58" s="3" t="inlineStr">
        <is>
          <t>7, 1, 3</t>
        </is>
      </c>
      <c r="H58" s="6" t="inlineStr">
        <is>
          <t>TRƯỢT ❌</t>
        </is>
      </c>
      <c r="I58" s="3" t="inlineStr">
        <is>
          <t>1, 5, 0</t>
        </is>
      </c>
      <c r="J58" s="7" t="inlineStr">
        <is>
          <t>TRÚNG 🎯</t>
        </is>
      </c>
      <c r="K58" s="3" t="inlineStr">
        <is>
          <t>10, 11, 15, 30, 31, 35, 70, 71, 75</t>
        </is>
      </c>
      <c r="L58" s="6" t="inlineStr">
        <is>
          <t>TRƯỢT ❌</t>
        </is>
      </c>
      <c r="M58" s="6" t="inlineStr">
        <is>
          <t>TRƯỢT KHUNG ❌</t>
        </is>
      </c>
    </row>
    <row r="59">
      <c r="A59" s="2" t="n">
        <v>55</v>
      </c>
      <c r="B59" s="2" t="inlineStr">
        <is>
          <t>Thứ bảy ngày 28-02-2026</t>
        </is>
      </c>
      <c r="C59" s="3" t="inlineStr">
        <is>
          <t>90148</t>
        </is>
      </c>
      <c r="D59" s="3" t="inlineStr">
        <is>
          <t>48</t>
        </is>
      </c>
      <c r="E59" s="3" t="inlineStr">
        <is>
          <t>Đầu 4</t>
        </is>
      </c>
      <c r="F59" s="3" t="inlineStr">
        <is>
          <t>Đuôi 8</t>
        </is>
      </c>
      <c r="G59" s="3" t="inlineStr">
        <is>
          <t>7, 1, 3</t>
        </is>
      </c>
      <c r="H59" s="6" t="inlineStr">
        <is>
          <t>TRƯỢT ❌</t>
        </is>
      </c>
      <c r="I59" s="3" t="inlineStr">
        <is>
          <t>7, 5, 0</t>
        </is>
      </c>
      <c r="J59" s="6" t="inlineStr">
        <is>
          <t>TRƯỢT ❌</t>
        </is>
      </c>
      <c r="K59" s="3" t="inlineStr">
        <is>
          <t>10, 15, 17, 30, 35, 37, 70, 75, 77</t>
        </is>
      </c>
      <c r="L59" s="6" t="inlineStr">
        <is>
          <t>TRƯỢT ❌</t>
        </is>
      </c>
      <c r="M59" s="6" t="inlineStr">
        <is>
          <t>TRƯỢT KHUNG ❌</t>
        </is>
      </c>
    </row>
    <row r="60">
      <c r="A60" s="2" t="n">
        <v>56</v>
      </c>
      <c r="B60" s="2" t="inlineStr">
        <is>
          <t>Chủ nhật ngày 01-03-2026</t>
        </is>
      </c>
      <c r="C60" s="3" t="inlineStr">
        <is>
          <t>75257</t>
        </is>
      </c>
      <c r="D60" s="3" t="inlineStr">
        <is>
          <t>57</t>
        </is>
      </c>
      <c r="E60" s="3" t="inlineStr">
        <is>
          <t>Đầu 5</t>
        </is>
      </c>
      <c r="F60" s="3" t="inlineStr">
        <is>
          <t>Đuôi 7</t>
        </is>
      </c>
      <c r="G60" s="3" t="inlineStr">
        <is>
          <t>1, 7, 3</t>
        </is>
      </c>
      <c r="H60" s="6" t="inlineStr">
        <is>
          <t>TRƯỢT ❌</t>
        </is>
      </c>
      <c r="I60" s="3" t="inlineStr">
        <is>
          <t>7, 5, 1</t>
        </is>
      </c>
      <c r="J60" s="7" t="inlineStr">
        <is>
          <t>TRÚNG 🎯</t>
        </is>
      </c>
      <c r="K60" s="3" t="inlineStr">
        <is>
          <t>11, 15, 17, 31, 35, 37, 71, 75, 77</t>
        </is>
      </c>
      <c r="L60" s="6" t="inlineStr">
        <is>
          <t>TRƯỢT ❌</t>
        </is>
      </c>
      <c r="M60" s="6" t="inlineStr">
        <is>
          <t>TRƯỢT KHUNG ❌</t>
        </is>
      </c>
    </row>
    <row r="61">
      <c r="A61" s="2" t="n">
        <v>57</v>
      </c>
      <c r="B61" s="2" t="inlineStr">
        <is>
          <t>Thứ hai ngày 02-03-2026</t>
        </is>
      </c>
      <c r="C61" s="3" t="inlineStr">
        <is>
          <t>70078</t>
        </is>
      </c>
      <c r="D61" s="3" t="inlineStr">
        <is>
          <t>78</t>
        </is>
      </c>
      <c r="E61" s="3" t="inlineStr">
        <is>
          <t>Đầu 7</t>
        </is>
      </c>
      <c r="F61" s="3" t="inlineStr">
        <is>
          <t>Đuôi 8</t>
        </is>
      </c>
      <c r="G61" s="3" t="inlineStr">
        <is>
          <t>1, 7, 0</t>
        </is>
      </c>
      <c r="H61" s="7" t="inlineStr">
        <is>
          <t>TRÚNG 🎯</t>
        </is>
      </c>
      <c r="I61" s="3" t="inlineStr">
        <is>
          <t>5, 1, 3</t>
        </is>
      </c>
      <c r="J61" s="6" t="inlineStr">
        <is>
          <t>TRƯỢT ❌</t>
        </is>
      </c>
      <c r="K61" s="3" t="inlineStr">
        <is>
          <t>01, 03, 05, 11, 13, 15, 71, 73, 75</t>
        </is>
      </c>
      <c r="L61" s="6" t="inlineStr">
        <is>
          <t>TRƯỢT ❌</t>
        </is>
      </c>
      <c r="M61" s="6" t="inlineStr">
        <is>
          <t>TRƯỢT KHUNG ❌</t>
        </is>
      </c>
    </row>
    <row r="62">
      <c r="A62" s="2" t="n">
        <v>58</v>
      </c>
      <c r="B62" s="2" t="inlineStr">
        <is>
          <t>Thứ ba ngày 03-03-2026</t>
        </is>
      </c>
      <c r="C62" s="3" t="inlineStr">
        <is>
          <t>10619</t>
        </is>
      </c>
      <c r="D62" s="3" t="inlineStr">
        <is>
          <t>19</t>
        </is>
      </c>
      <c r="E62" s="3" t="inlineStr">
        <is>
          <t>Đầu 1</t>
        </is>
      </c>
      <c r="F62" s="3" t="inlineStr">
        <is>
          <t>Đuôi 9</t>
        </is>
      </c>
      <c r="G62" s="3" t="inlineStr">
        <is>
          <t>1, 0, 3</t>
        </is>
      </c>
      <c r="H62" s="7" t="inlineStr">
        <is>
          <t>TRÚNG 🎯</t>
        </is>
      </c>
      <c r="I62" s="3" t="inlineStr">
        <is>
          <t>3, 5, 1</t>
        </is>
      </c>
      <c r="J62" s="6" t="inlineStr">
        <is>
          <t>TRƯỢT ❌</t>
        </is>
      </c>
      <c r="K62" s="3" t="inlineStr">
        <is>
          <t>01, 03, 05, 11, 13, 15, 31, 33, 35</t>
        </is>
      </c>
      <c r="L62" s="6" t="inlineStr">
        <is>
          <t>TRƯỢT ❌</t>
        </is>
      </c>
      <c r="M62" s="6" t="inlineStr">
        <is>
          <t>TRƯỢT KHUNG ❌</t>
        </is>
      </c>
    </row>
    <row r="63">
      <c r="A63" s="2" t="n">
        <v>59</v>
      </c>
      <c r="B63" s="2" t="inlineStr">
        <is>
          <t>Thứ tư ngày 04-03-2026</t>
        </is>
      </c>
      <c r="C63" s="3" t="inlineStr">
        <is>
          <t>16659</t>
        </is>
      </c>
      <c r="D63" s="3" t="inlineStr">
        <is>
          <t>59</t>
        </is>
      </c>
      <c r="E63" s="3" t="inlineStr">
        <is>
          <t>Đầu 5</t>
        </is>
      </c>
      <c r="F63" s="3" t="inlineStr">
        <is>
          <t>Đuôi 9</t>
        </is>
      </c>
      <c r="G63" s="3" t="inlineStr">
        <is>
          <t>0, 8, 9</t>
        </is>
      </c>
      <c r="H63" s="6" t="inlineStr">
        <is>
          <t>TRƯỢT ❌</t>
        </is>
      </c>
      <c r="I63" s="3" t="inlineStr">
        <is>
          <t>1, 3, 5</t>
        </is>
      </c>
      <c r="J63" s="6" t="inlineStr">
        <is>
          <t>TRƯỢT ❌</t>
        </is>
      </c>
      <c r="K63" s="3" t="inlineStr">
        <is>
          <t>01, 03, 05, 81, 83, 85, 91, 93, 95</t>
        </is>
      </c>
      <c r="L63" s="6" t="inlineStr">
        <is>
          <t>TRƯỢT ❌</t>
        </is>
      </c>
      <c r="M63" s="6" t="inlineStr">
        <is>
          <t>TRƯỢT KHUNG ❌</t>
        </is>
      </c>
    </row>
    <row r="64">
      <c r="A64" s="2" t="n">
        <v>60</v>
      </c>
      <c r="B64" s="2" t="inlineStr">
        <is>
          <t>Thứ năm ngày 05-03-2026</t>
        </is>
      </c>
      <c r="C64" s="3" t="inlineStr">
        <is>
          <t>38249</t>
        </is>
      </c>
      <c r="D64" s="3" t="inlineStr">
        <is>
          <t>49</t>
        </is>
      </c>
      <c r="E64" s="3" t="inlineStr">
        <is>
          <t>Đầu 4</t>
        </is>
      </c>
      <c r="F64" s="3" t="inlineStr">
        <is>
          <t>Đuôi 9</t>
        </is>
      </c>
      <c r="G64" s="3" t="inlineStr">
        <is>
          <t>0, 8, 9</t>
        </is>
      </c>
      <c r="H64" s="6" t="inlineStr">
        <is>
          <t>TRƯỢT ❌</t>
        </is>
      </c>
      <c r="I64" s="3" t="inlineStr">
        <is>
          <t>1, 3, 7</t>
        </is>
      </c>
      <c r="J64" s="6" t="inlineStr">
        <is>
          <t>TRƯỢT ❌</t>
        </is>
      </c>
      <c r="K64" s="3" t="inlineStr">
        <is>
          <t>01, 03, 07, 81, 83, 87, 91, 93, 97</t>
        </is>
      </c>
      <c r="L64" s="6" t="inlineStr">
        <is>
          <t>TRƯỢT ❌</t>
        </is>
      </c>
      <c r="M64" s="6" t="inlineStr">
        <is>
          <t>TRƯỢT KHUNG ❌</t>
        </is>
      </c>
    </row>
    <row r="65">
      <c r="A65" s="2" t="n">
        <v>61</v>
      </c>
      <c r="B65" s="2" t="inlineStr">
        <is>
          <t>Thứ sáu ngày 06-03-2026</t>
        </is>
      </c>
      <c r="C65" s="3" t="inlineStr">
        <is>
          <t>51951</t>
        </is>
      </c>
      <c r="D65" s="3" t="inlineStr">
        <is>
          <t>51</t>
        </is>
      </c>
      <c r="E65" s="3" t="inlineStr">
        <is>
          <t>Đầu 5</t>
        </is>
      </c>
      <c r="F65" s="3" t="inlineStr">
        <is>
          <t>Đuôi 1</t>
        </is>
      </c>
      <c r="G65" s="3" t="inlineStr">
        <is>
          <t>8, 9, 7</t>
        </is>
      </c>
      <c r="H65" s="6" t="inlineStr">
        <is>
          <t>TRƯỢT ❌</t>
        </is>
      </c>
      <c r="I65" s="3" t="inlineStr">
        <is>
          <t>7, 1, 3</t>
        </is>
      </c>
      <c r="J65" s="7" t="inlineStr">
        <is>
          <t>TRÚNG 🎯</t>
        </is>
      </c>
      <c r="K65" s="3" t="inlineStr">
        <is>
          <t>71, 73, 77, 81, 83, 87, 91, 93, 97</t>
        </is>
      </c>
      <c r="L65" s="6" t="inlineStr">
        <is>
          <t>TRƯỢT ❌</t>
        </is>
      </c>
      <c r="M65" s="6" t="inlineStr">
        <is>
          <t>TRƯỢT KHUNG ❌</t>
        </is>
      </c>
    </row>
    <row r="66">
      <c r="A66" s="2" t="n">
        <v>62</v>
      </c>
      <c r="B66" s="2" t="inlineStr">
        <is>
          <t>Thứ bảy ngày 07-03-2026</t>
        </is>
      </c>
      <c r="C66" s="3" t="inlineStr">
        <is>
          <t>81336</t>
        </is>
      </c>
      <c r="D66" s="3" t="inlineStr">
        <is>
          <t>36</t>
        </is>
      </c>
      <c r="E66" s="3" t="inlineStr">
        <is>
          <t>Đầu 3</t>
        </is>
      </c>
      <c r="F66" s="3" t="inlineStr">
        <is>
          <t>Đuôi 6</t>
        </is>
      </c>
      <c r="G66" s="3" t="inlineStr">
        <is>
          <t>7, 9, 0</t>
        </is>
      </c>
      <c r="H66" s="6" t="inlineStr">
        <is>
          <t>TRƯỢT ❌</t>
        </is>
      </c>
      <c r="I66" s="3" t="inlineStr">
        <is>
          <t>7, 8, 3</t>
        </is>
      </c>
      <c r="J66" s="6" t="inlineStr">
        <is>
          <t>TRƯỢT ❌</t>
        </is>
      </c>
      <c r="K66" s="3" t="inlineStr">
        <is>
          <t>03, 07, 08, 73, 77, 78, 93, 97, 98</t>
        </is>
      </c>
      <c r="L66" s="6" t="inlineStr">
        <is>
          <t>TRƯỢT ❌</t>
        </is>
      </c>
      <c r="M66" s="6" t="inlineStr">
        <is>
          <t>TRƯỢT KHUNG ❌</t>
        </is>
      </c>
    </row>
    <row r="67">
      <c r="A67" s="2" t="n">
        <v>63</v>
      </c>
      <c r="B67" s="2" t="inlineStr">
        <is>
          <t>Chủ nhật ngày 08-03-2026</t>
        </is>
      </c>
      <c r="C67" s="3" t="inlineStr">
        <is>
          <t>90580</t>
        </is>
      </c>
      <c r="D67" s="3" t="inlineStr">
        <is>
          <t>80</t>
        </is>
      </c>
      <c r="E67" s="3" t="inlineStr">
        <is>
          <t>Đầu 8</t>
        </is>
      </c>
      <c r="F67" s="3" t="inlineStr">
        <is>
          <t>Đuôi 0</t>
        </is>
      </c>
      <c r="G67" s="3" t="inlineStr">
        <is>
          <t>1, 7, 0</t>
        </is>
      </c>
      <c r="H67" s="6" t="inlineStr">
        <is>
          <t>TRƯỢT ❌</t>
        </is>
      </c>
      <c r="I67" s="3" t="inlineStr">
        <is>
          <t>7, 8, 3</t>
        </is>
      </c>
      <c r="J67" s="6" t="inlineStr">
        <is>
          <t>TRƯỢT ❌</t>
        </is>
      </c>
      <c r="K67" s="3" t="inlineStr">
        <is>
          <t>03, 07, 08, 13, 17, 18, 73, 77, 78</t>
        </is>
      </c>
      <c r="L67" s="6" t="inlineStr">
        <is>
          <t>TRƯỢT ❌</t>
        </is>
      </c>
      <c r="M67" s="6" t="inlineStr">
        <is>
          <t>TRƯỢT KHUNG ❌</t>
        </is>
      </c>
    </row>
    <row r="68">
      <c r="A68" s="2" t="n">
        <v>64</v>
      </c>
      <c r="B68" s="2" t="inlineStr">
        <is>
          <t>Thứ hai ngày 09-03-2026</t>
        </is>
      </c>
      <c r="C68" s="3" t="inlineStr">
        <is>
          <t>22342</t>
        </is>
      </c>
      <c r="D68" s="3" t="inlineStr">
        <is>
          <t>42</t>
        </is>
      </c>
      <c r="E68" s="3" t="inlineStr">
        <is>
          <t>Đầu 4</t>
        </is>
      </c>
      <c r="F68" s="3" t="inlineStr">
        <is>
          <t>Đuôi 2</t>
        </is>
      </c>
      <c r="G68" s="3" t="inlineStr">
        <is>
          <t>1, 7, 0</t>
        </is>
      </c>
      <c r="H68" s="6" t="inlineStr">
        <is>
          <t>TRƯỢT ❌</t>
        </is>
      </c>
      <c r="I68" s="3" t="inlineStr">
        <is>
          <t>7, 8, 3</t>
        </is>
      </c>
      <c r="J68" s="6" t="inlineStr">
        <is>
          <t>TRƯỢT ❌</t>
        </is>
      </c>
      <c r="K68" s="3" t="inlineStr">
        <is>
          <t>03, 07, 08, 13, 17, 18, 73, 77, 78</t>
        </is>
      </c>
      <c r="L68" s="6" t="inlineStr">
        <is>
          <t>TRƯỢT ❌</t>
        </is>
      </c>
      <c r="M68" s="6" t="inlineStr">
        <is>
          <t>TRƯỢT KHUNG ❌</t>
        </is>
      </c>
    </row>
    <row r="69">
      <c r="A69" s="2" t="n">
        <v>65</v>
      </c>
      <c r="B69" s="2" t="inlineStr">
        <is>
          <t>Thứ ba ngày 10-03-2026</t>
        </is>
      </c>
      <c r="C69" s="3" t="inlineStr">
        <is>
          <t>30368</t>
        </is>
      </c>
      <c r="D69" s="3" t="inlineStr">
        <is>
          <t>68</t>
        </is>
      </c>
      <c r="E69" s="3" t="inlineStr">
        <is>
          <t>Đầu 6</t>
        </is>
      </c>
      <c r="F69" s="3" t="inlineStr">
        <is>
          <t>Đuôi 8</t>
        </is>
      </c>
      <c r="G69" s="3" t="inlineStr">
        <is>
          <t>7, 1, 5</t>
        </is>
      </c>
      <c r="H69" s="6" t="inlineStr">
        <is>
          <t>TRƯỢT ❌</t>
        </is>
      </c>
      <c r="I69" s="3" t="inlineStr">
        <is>
          <t>8, 3, 7</t>
        </is>
      </c>
      <c r="J69" s="7" t="inlineStr">
        <is>
          <t>TRÚNG 🎯</t>
        </is>
      </c>
      <c r="K69" s="3" t="inlineStr">
        <is>
          <t>13, 17, 18, 53, 57, 58, 73, 77, 78</t>
        </is>
      </c>
      <c r="L69" s="6" t="inlineStr">
        <is>
          <t>TRƯỢT ❌</t>
        </is>
      </c>
      <c r="M69" s="6" t="inlineStr">
        <is>
          <t>TRƯỢT KHUNG ❌</t>
        </is>
      </c>
    </row>
    <row r="70">
      <c r="A70" s="2" t="n">
        <v>66</v>
      </c>
      <c r="B70" s="2" t="inlineStr">
        <is>
          <t>Thứ tư ngày 11-03-2026</t>
        </is>
      </c>
      <c r="C70" s="3" t="inlineStr">
        <is>
          <t>72124</t>
        </is>
      </c>
      <c r="D70" s="3" t="inlineStr">
        <is>
          <t>24</t>
        </is>
      </c>
      <c r="E70" s="3" t="inlineStr">
        <is>
          <t>Đầu 2</t>
        </is>
      </c>
      <c r="F70" s="3" t="inlineStr">
        <is>
          <t>Đuôi 4</t>
        </is>
      </c>
      <c r="G70" s="3" t="inlineStr">
        <is>
          <t>5, 7, 1</t>
        </is>
      </c>
      <c r="H70" s="6" t="inlineStr">
        <is>
          <t>TRƯỢT ❌</t>
        </is>
      </c>
      <c r="I70" s="3" t="inlineStr">
        <is>
          <t>1, 3, 7</t>
        </is>
      </c>
      <c r="J70" s="6" t="inlineStr">
        <is>
          <t>TRƯỢT ❌</t>
        </is>
      </c>
      <c r="K70" s="3" t="inlineStr">
        <is>
          <t>11, 13, 17, 51, 53, 57, 71, 73, 77</t>
        </is>
      </c>
      <c r="L70" s="6" t="inlineStr">
        <is>
          <t>TRƯỢT ❌</t>
        </is>
      </c>
      <c r="M70" s="6" t="inlineStr">
        <is>
          <t>TRƯỢT KHUNG ❌</t>
        </is>
      </c>
    </row>
    <row r="71">
      <c r="A71" s="2" t="n">
        <v>67</v>
      </c>
      <c r="B71" s="2" t="inlineStr">
        <is>
          <t>Thứ năm ngày 12-03-2026</t>
        </is>
      </c>
      <c r="C71" s="3" t="inlineStr">
        <is>
          <t>86759</t>
        </is>
      </c>
      <c r="D71" s="3" t="inlineStr">
        <is>
          <t>59</t>
        </is>
      </c>
      <c r="E71" s="3" t="inlineStr">
        <is>
          <t>Đầu 5</t>
        </is>
      </c>
      <c r="F71" s="3" t="inlineStr">
        <is>
          <t>Đuôi 9</t>
        </is>
      </c>
      <c r="G71" s="3" t="inlineStr">
        <is>
          <t>5, 7, 3</t>
        </is>
      </c>
      <c r="H71" s="7" t="inlineStr">
        <is>
          <t>TRÚNG 🎯</t>
        </is>
      </c>
      <c r="I71" s="3" t="inlineStr">
        <is>
          <t>1, 7, 9</t>
        </is>
      </c>
      <c r="J71" s="7" t="inlineStr">
        <is>
          <t>TRÚNG 🎯</t>
        </is>
      </c>
      <c r="K71" s="3" t="inlineStr">
        <is>
          <t>31, 37, 39, 51, 57, 59, 71, 77, 79</t>
        </is>
      </c>
      <c r="L71" s="7" t="inlineStr">
        <is>
          <t>TRÚNG 🎯</t>
        </is>
      </c>
      <c r="M71" s="7" t="inlineStr">
        <is>
          <t>TRÚNG KHUNG 🎯</t>
        </is>
      </c>
    </row>
    <row r="72">
      <c r="A72" s="2" t="n">
        <v>68</v>
      </c>
      <c r="B72" s="2" t="inlineStr">
        <is>
          <t>Thứ sáu ngày 13-03-2026</t>
        </is>
      </c>
      <c r="C72" s="3" t="inlineStr">
        <is>
          <t>56848</t>
        </is>
      </c>
      <c r="D72" s="3" t="inlineStr">
        <is>
          <t>48</t>
        </is>
      </c>
      <c r="E72" s="3" t="inlineStr">
        <is>
          <t>Đầu 4</t>
        </is>
      </c>
      <c r="F72" s="3" t="inlineStr">
        <is>
          <t>Đuôi 8</t>
        </is>
      </c>
      <c r="G72" s="3" t="inlineStr">
        <is>
          <t>7, 3, 8</t>
        </is>
      </c>
      <c r="H72" s="6" t="inlineStr">
        <is>
          <t>TRƯỢT ❌</t>
        </is>
      </c>
      <c r="I72" s="3" t="inlineStr">
        <is>
          <t>1, 7, 0</t>
        </is>
      </c>
      <c r="J72" s="6" t="inlineStr">
        <is>
          <t>TRƯỢT ❌</t>
        </is>
      </c>
      <c r="K72" s="3" t="inlineStr">
        <is>
          <t>30, 31, 37, 70, 71, 77, 80, 81, 87</t>
        </is>
      </c>
      <c r="L72" s="6" t="inlineStr">
        <is>
          <t>TRƯỢT ❌</t>
        </is>
      </c>
      <c r="M72" s="7" t="inlineStr">
        <is>
          <t>TRÚNG KHUNG 🎯</t>
        </is>
      </c>
    </row>
    <row r="73">
      <c r="A73" s="2" t="n">
        <v>69</v>
      </c>
      <c r="B73" s="2" t="inlineStr">
        <is>
          <t>Thứ bảy ngày 14-03-2026</t>
        </is>
      </c>
      <c r="C73" s="3" t="inlineStr">
        <is>
          <t>01770</t>
        </is>
      </c>
      <c r="D73" s="3" t="inlineStr">
        <is>
          <t>70</t>
        </is>
      </c>
      <c r="E73" s="3" t="inlineStr">
        <is>
          <t>Đầu 7</t>
        </is>
      </c>
      <c r="F73" s="3" t="inlineStr">
        <is>
          <t>Đuôi 0</t>
        </is>
      </c>
      <c r="G73" s="3" t="inlineStr">
        <is>
          <t>3, 8, 5</t>
        </is>
      </c>
      <c r="H73" s="6" t="inlineStr">
        <is>
          <t>TRƯỢT ❌</t>
        </is>
      </c>
      <c r="I73" s="3" t="inlineStr">
        <is>
          <t>1, 0, 2</t>
        </is>
      </c>
      <c r="J73" s="7" t="inlineStr">
        <is>
          <t>TRÚNG 🎯</t>
        </is>
      </c>
      <c r="K73" s="3" t="inlineStr">
        <is>
          <t>30, 31, 32, 50, 51, 52, 80, 81, 82</t>
        </is>
      </c>
      <c r="L73" s="6" t="inlineStr">
        <is>
          <t>TRƯỢT ❌</t>
        </is>
      </c>
      <c r="M73" s="7" t="inlineStr">
        <is>
          <t>TRÚNG KHUNG 🎯</t>
        </is>
      </c>
    </row>
    <row r="74">
      <c r="A74" s="2" t="n">
        <v>70</v>
      </c>
      <c r="B74" s="2" t="inlineStr">
        <is>
          <t>Chủ nhật ngày 15-03-2026</t>
        </is>
      </c>
      <c r="C74" s="3" t="inlineStr">
        <is>
          <t>77552</t>
        </is>
      </c>
      <c r="D74" s="3" t="inlineStr">
        <is>
          <t>52</t>
        </is>
      </c>
      <c r="E74" s="3" t="inlineStr">
        <is>
          <t>Đầu 5</t>
        </is>
      </c>
      <c r="F74" s="3" t="inlineStr">
        <is>
          <t>Đuôi 2</t>
        </is>
      </c>
      <c r="G74" s="3" t="inlineStr">
        <is>
          <t>5, 3, 8</t>
        </is>
      </c>
      <c r="H74" s="7" t="inlineStr">
        <is>
          <t>TRÚNG 🎯</t>
        </is>
      </c>
      <c r="I74" s="3" t="inlineStr">
        <is>
          <t>1, 2, 7</t>
        </is>
      </c>
      <c r="J74" s="7" t="inlineStr">
        <is>
          <t>TRÚNG 🎯</t>
        </is>
      </c>
      <c r="K74" s="3" t="inlineStr">
        <is>
          <t>31, 32, 37, 51, 52, 57, 81, 82, 87</t>
        </is>
      </c>
      <c r="L74" s="7" t="inlineStr">
        <is>
          <t>TRÚNG 🎯</t>
        </is>
      </c>
      <c r="M74" s="7" t="inlineStr">
        <is>
          <t>TRÚNG KHUNG 🎯</t>
        </is>
      </c>
    </row>
    <row r="75">
      <c r="A75" s="2" t="n">
        <v>71</v>
      </c>
      <c r="B75" s="2" t="inlineStr">
        <is>
          <t>Thứ hai ngày 16-03-2026</t>
        </is>
      </c>
      <c r="C75" s="3" t="inlineStr">
        <is>
          <t>07969</t>
        </is>
      </c>
      <c r="D75" s="3" t="inlineStr">
        <is>
          <t>69</t>
        </is>
      </c>
      <c r="E75" s="3" t="inlineStr">
        <is>
          <t>Đầu 6</t>
        </is>
      </c>
      <c r="F75" s="3" t="inlineStr">
        <is>
          <t>Đuôi 9</t>
        </is>
      </c>
      <c r="G75" s="3" t="inlineStr">
        <is>
          <t>8, 5, 1</t>
        </is>
      </c>
      <c r="H75" s="6" t="inlineStr">
        <is>
          <t>TRƯỢT ❌</t>
        </is>
      </c>
      <c r="I75" s="3" t="inlineStr">
        <is>
          <t>1, 7, 8</t>
        </is>
      </c>
      <c r="J75" s="6" t="inlineStr">
        <is>
          <t>TRƯỢT ❌</t>
        </is>
      </c>
      <c r="K75" s="3" t="inlineStr">
        <is>
          <t>11, 17, 18, 51, 57, 58, 81, 87, 88</t>
        </is>
      </c>
      <c r="L75" s="6" t="inlineStr">
        <is>
          <t>TRƯỢT ❌</t>
        </is>
      </c>
      <c r="M75" s="7" t="inlineStr">
        <is>
          <t>TRÚNG KHUNG 🎯</t>
        </is>
      </c>
    </row>
    <row r="76">
      <c r="A76" s="2" t="n">
        <v>72</v>
      </c>
      <c r="B76" s="2" t="inlineStr">
        <is>
          <t>Thứ ba ngày 17-03-2026</t>
        </is>
      </c>
      <c r="C76" s="3" t="inlineStr">
        <is>
          <t>25287</t>
        </is>
      </c>
      <c r="D76" s="3" t="inlineStr">
        <is>
          <t>87</t>
        </is>
      </c>
      <c r="E76" s="3" t="inlineStr">
        <is>
          <t>Đầu 8</t>
        </is>
      </c>
      <c r="F76" s="3" t="inlineStr">
        <is>
          <t>Đuôi 7</t>
        </is>
      </c>
      <c r="G76" s="3" t="inlineStr">
        <is>
          <t>5, 1, 3</t>
        </is>
      </c>
      <c r="H76" s="6" t="inlineStr">
        <is>
          <t>TRƯỢT ❌</t>
        </is>
      </c>
      <c r="I76" s="3" t="inlineStr">
        <is>
          <t>1, 8, 7</t>
        </is>
      </c>
      <c r="J76" s="7" t="inlineStr">
        <is>
          <t>TRÚNG 🎯</t>
        </is>
      </c>
      <c r="K76" s="3" t="inlineStr">
        <is>
          <t>11, 17, 18, 31, 37, 38, 51, 57, 58</t>
        </is>
      </c>
      <c r="L76" s="6" t="inlineStr">
        <is>
          <t>TRƯỢT ❌</t>
        </is>
      </c>
      <c r="M76" s="6" t="inlineStr">
        <is>
          <t>TRƯỢT KHUNG ❌</t>
        </is>
      </c>
    </row>
    <row r="77">
      <c r="A77" s="2" t="n">
        <v>73</v>
      </c>
      <c r="B77" s="2" t="inlineStr">
        <is>
          <t>Thứ tư ngày 18-03-2026</t>
        </is>
      </c>
      <c r="C77" s="3" t="inlineStr">
        <is>
          <t>75495</t>
        </is>
      </c>
      <c r="D77" s="3" t="inlineStr">
        <is>
          <t>95</t>
        </is>
      </c>
      <c r="E77" s="3" t="inlineStr">
        <is>
          <t>Đầu 9</t>
        </is>
      </c>
      <c r="F77" s="3" t="inlineStr">
        <is>
          <t>Đuôi 5</t>
        </is>
      </c>
      <c r="G77" s="3" t="inlineStr">
        <is>
          <t>5, 4, 1</t>
        </is>
      </c>
      <c r="H77" s="6" t="inlineStr">
        <is>
          <t>TRƯỢT ❌</t>
        </is>
      </c>
      <c r="I77" s="3" t="inlineStr">
        <is>
          <t>8, 1, 9</t>
        </is>
      </c>
      <c r="J77" s="6" t="inlineStr">
        <is>
          <t>TRƯỢT ❌</t>
        </is>
      </c>
      <c r="K77" s="3" t="inlineStr">
        <is>
          <t>11, 18, 19, 41, 48, 49, 51, 58, 59</t>
        </is>
      </c>
      <c r="L77" s="6" t="inlineStr">
        <is>
          <t>TRƯỢT ❌</t>
        </is>
      </c>
      <c r="M77" s="6" t="inlineStr">
        <is>
          <t>TRƯỢT KHUNG ❌</t>
        </is>
      </c>
    </row>
    <row r="78">
      <c r="A78" s="2" t="n">
        <v>74</v>
      </c>
      <c r="B78" s="2" t="inlineStr">
        <is>
          <t>Thứ năm ngày 19-03-2026</t>
        </is>
      </c>
      <c r="C78" s="3" t="inlineStr">
        <is>
          <t>81124</t>
        </is>
      </c>
      <c r="D78" s="3" t="inlineStr">
        <is>
          <t>24</t>
        </is>
      </c>
      <c r="E78" s="3" t="inlineStr">
        <is>
          <t>Đầu 2</t>
        </is>
      </c>
      <c r="F78" s="3" t="inlineStr">
        <is>
          <t>Đuôi 4</t>
        </is>
      </c>
      <c r="G78" s="3" t="inlineStr">
        <is>
          <t>5, 4, 1</t>
        </is>
      </c>
      <c r="H78" s="6" t="inlineStr">
        <is>
          <t>TRƯỢT ❌</t>
        </is>
      </c>
      <c r="I78" s="3" t="inlineStr">
        <is>
          <t>8, 1, 0</t>
        </is>
      </c>
      <c r="J78" s="6" t="inlineStr">
        <is>
          <t>TRƯỢT ❌</t>
        </is>
      </c>
      <c r="K78" s="3" t="inlineStr">
        <is>
          <t>10, 11, 18, 40, 41, 48, 50, 51, 58</t>
        </is>
      </c>
      <c r="L78" s="6" t="inlineStr">
        <is>
          <t>TRƯỢT ❌</t>
        </is>
      </c>
      <c r="M78" s="6" t="inlineStr">
        <is>
          <t>TRƯỢT KHUNG ❌</t>
        </is>
      </c>
    </row>
    <row r="79">
      <c r="A79" s="2" t="n">
        <v>75</v>
      </c>
      <c r="B79" s="2" t="inlineStr">
        <is>
          <t>Thứ sáu ngày 20-03-2026</t>
        </is>
      </c>
      <c r="C79" s="3" t="inlineStr">
        <is>
          <t>88594</t>
        </is>
      </c>
      <c r="D79" s="3" t="inlineStr">
        <is>
          <t>94</t>
        </is>
      </c>
      <c r="E79" s="3" t="inlineStr">
        <is>
          <t>Đầu 9</t>
        </is>
      </c>
      <c r="F79" s="3" t="inlineStr">
        <is>
          <t>Đuôi 4</t>
        </is>
      </c>
      <c r="G79" s="3" t="inlineStr">
        <is>
          <t>5, 4, 3</t>
        </is>
      </c>
      <c r="H79" s="6" t="inlineStr">
        <is>
          <t>TRƯỢT ❌</t>
        </is>
      </c>
      <c r="I79" s="3" t="inlineStr">
        <is>
          <t>8, 1, 2</t>
        </is>
      </c>
      <c r="J79" s="6" t="inlineStr">
        <is>
          <t>TRƯỢT ❌</t>
        </is>
      </c>
      <c r="K79" s="3" t="inlineStr">
        <is>
          <t>31, 32, 38, 41, 42, 48, 51, 52, 58</t>
        </is>
      </c>
      <c r="L79" s="6" t="inlineStr">
        <is>
          <t>TRƯỢT ❌</t>
        </is>
      </c>
      <c r="M79" s="6" t="inlineStr">
        <is>
          <t>TRƯỢT KHUNG ❌</t>
        </is>
      </c>
    </row>
    <row r="80">
      <c r="A80" s="2" t="n">
        <v>76</v>
      </c>
      <c r="B80" s="2" t="inlineStr">
        <is>
          <t>Thứ bảy ngày 21-03-2026</t>
        </is>
      </c>
      <c r="C80" s="3" t="inlineStr">
        <is>
          <t>58646</t>
        </is>
      </c>
      <c r="D80" s="3" t="inlineStr">
        <is>
          <t>46</t>
        </is>
      </c>
      <c r="E80" s="3" t="inlineStr">
        <is>
          <t>Đầu 4</t>
        </is>
      </c>
      <c r="F80" s="3" t="inlineStr">
        <is>
          <t>Đuôi 6</t>
        </is>
      </c>
      <c r="G80" s="3" t="inlineStr">
        <is>
          <t>5, 4, 8</t>
        </is>
      </c>
      <c r="H80" s="7" t="inlineStr">
        <is>
          <t>TRÚNG 🎯</t>
        </is>
      </c>
      <c r="I80" s="3" t="inlineStr">
        <is>
          <t>8, 9, 2</t>
        </is>
      </c>
      <c r="J80" s="6" t="inlineStr">
        <is>
          <t>TRƯỢT ❌</t>
        </is>
      </c>
      <c r="K80" s="3" t="inlineStr">
        <is>
          <t>42, 48, 49, 52, 58, 59, 82, 88, 89</t>
        </is>
      </c>
      <c r="L80" s="6" t="inlineStr">
        <is>
          <t>TRƯỢT ❌</t>
        </is>
      </c>
      <c r="M80" s="6" t="inlineStr">
        <is>
          <t>TRƯỢT KHUNG ❌</t>
        </is>
      </c>
    </row>
    <row r="81">
      <c r="A81" s="2" t="n">
        <v>77</v>
      </c>
      <c r="B81" s="2" t="inlineStr">
        <is>
          <t>Chủ nhật ngày 22-03-2026</t>
        </is>
      </c>
      <c r="C81" s="3" t="inlineStr">
        <is>
          <t>77514</t>
        </is>
      </c>
      <c r="D81" s="3" t="inlineStr">
        <is>
          <t>14</t>
        </is>
      </c>
      <c r="E81" s="3" t="inlineStr">
        <is>
          <t>Đầu 1</t>
        </is>
      </c>
      <c r="F81" s="3" t="inlineStr">
        <is>
          <t>Đuôi 4</t>
        </is>
      </c>
      <c r="G81" s="3" t="inlineStr">
        <is>
          <t>5, 8, 3</t>
        </is>
      </c>
      <c r="H81" s="6" t="inlineStr">
        <is>
          <t>TRƯỢT ❌</t>
        </is>
      </c>
      <c r="I81" s="3" t="inlineStr">
        <is>
          <t>9, 8, 2</t>
        </is>
      </c>
      <c r="J81" s="6" t="inlineStr">
        <is>
          <t>TRƯỢT ❌</t>
        </is>
      </c>
      <c r="K81" s="3" t="inlineStr">
        <is>
          <t>32, 38, 39, 52, 58, 59, 82, 88, 89</t>
        </is>
      </c>
      <c r="L81" s="6" t="inlineStr">
        <is>
          <t>TRƯỢT ❌</t>
        </is>
      </c>
      <c r="M81" s="7" t="inlineStr">
        <is>
          <t>TRÚNG KHUNG 🎯</t>
        </is>
      </c>
    </row>
    <row r="82">
      <c r="A82" s="2" t="n">
        <v>78</v>
      </c>
      <c r="B82" s="2" t="inlineStr">
        <is>
          <t>Thứ hai ngày 23-03-2026</t>
        </is>
      </c>
      <c r="C82" s="3" t="inlineStr">
        <is>
          <t>03829</t>
        </is>
      </c>
      <c r="D82" s="3" t="inlineStr">
        <is>
          <t>29</t>
        </is>
      </c>
      <c r="E82" s="3" t="inlineStr">
        <is>
          <t>Đầu 2</t>
        </is>
      </c>
      <c r="F82" s="3" t="inlineStr">
        <is>
          <t>Đuôi 9</t>
        </is>
      </c>
      <c r="G82" s="3" t="inlineStr">
        <is>
          <t>5, 8, 4</t>
        </is>
      </c>
      <c r="H82" s="6" t="inlineStr">
        <is>
          <t>TRƯỢT ❌</t>
        </is>
      </c>
      <c r="I82" s="3" t="inlineStr">
        <is>
          <t>9, 8, 2</t>
        </is>
      </c>
      <c r="J82" s="7" t="inlineStr">
        <is>
          <t>TRÚNG 🎯</t>
        </is>
      </c>
      <c r="K82" s="3" t="inlineStr">
        <is>
          <t>42, 48, 49, 52, 58, 59, 82, 88, 89</t>
        </is>
      </c>
      <c r="L82" s="6" t="inlineStr">
        <is>
          <t>TRƯỢT ❌</t>
        </is>
      </c>
      <c r="M82" s="7" t="inlineStr">
        <is>
          <t>TRÚNG KHUNG 🎯</t>
        </is>
      </c>
    </row>
    <row r="83">
      <c r="A83" s="2" t="n">
        <v>79</v>
      </c>
      <c r="B83" s="2" t="inlineStr">
        <is>
          <t>Thứ ba ngày 24-03-2026</t>
        </is>
      </c>
      <c r="C83" s="3" t="inlineStr">
        <is>
          <t>53988</t>
        </is>
      </c>
      <c r="D83" s="3" t="inlineStr">
        <is>
          <t>88</t>
        </is>
      </c>
      <c r="E83" s="3" t="inlineStr">
        <is>
          <t>Đầu 8</t>
        </is>
      </c>
      <c r="F83" s="3" t="inlineStr">
        <is>
          <t>Đuôi 8</t>
        </is>
      </c>
      <c r="G83" s="3" t="inlineStr">
        <is>
          <t>5, 8, 4</t>
        </is>
      </c>
      <c r="H83" s="7" t="inlineStr">
        <is>
          <t>TRÚNG 🎯</t>
        </is>
      </c>
      <c r="I83" s="3" t="inlineStr">
        <is>
          <t>8, 7, 9</t>
        </is>
      </c>
      <c r="J83" s="7" t="inlineStr">
        <is>
          <t>TRÚNG 🎯</t>
        </is>
      </c>
      <c r="K83" s="3" t="inlineStr">
        <is>
          <t>47, 48, 49, 57, 58, 59, 87, 88, 89</t>
        </is>
      </c>
      <c r="L83" s="7" t="inlineStr">
        <is>
          <t>TRÚNG 🎯</t>
        </is>
      </c>
      <c r="M83" s="7" t="inlineStr">
        <is>
          <t>TRÚNG KHUNG 🎯</t>
        </is>
      </c>
    </row>
    <row r="84">
      <c r="A84" s="2" t="n">
        <v>80</v>
      </c>
      <c r="B84" s="2" t="inlineStr">
        <is>
          <t>Thứ tư ngày 25-03-2026</t>
        </is>
      </c>
      <c r="C84" s="3" t="inlineStr">
        <is>
          <t>44693</t>
        </is>
      </c>
      <c r="D84" s="3" t="inlineStr">
        <is>
          <t>93</t>
        </is>
      </c>
      <c r="E84" s="3" t="inlineStr">
        <is>
          <t>Đầu 9</t>
        </is>
      </c>
      <c r="F84" s="3" t="inlineStr">
        <is>
          <t>Đuôi 3</t>
        </is>
      </c>
      <c r="G84" s="3" t="inlineStr">
        <is>
          <t>5, 9, 4</t>
        </is>
      </c>
      <c r="H84" s="7" t="inlineStr">
        <is>
          <t>TRÚNG 🎯</t>
        </is>
      </c>
      <c r="I84" s="3" t="inlineStr">
        <is>
          <t>7, 9, 8</t>
        </is>
      </c>
      <c r="J84" s="6" t="inlineStr">
        <is>
          <t>TRƯỢT ❌</t>
        </is>
      </c>
      <c r="K84" s="3" t="inlineStr">
        <is>
          <t>47, 48, 49, 57, 58, 59, 97, 98, 99</t>
        </is>
      </c>
      <c r="L84" s="6" t="inlineStr">
        <is>
          <t>TRƯỢT ❌</t>
        </is>
      </c>
      <c r="M84" s="6" t="inlineStr">
        <is>
          <t>TRƯỢT KHUNG ❌</t>
        </is>
      </c>
    </row>
    <row r="85">
      <c r="A85" s="2" t="n">
        <v>81</v>
      </c>
      <c r="B85" s="2" t="inlineStr">
        <is>
          <t>Thứ năm ngày 26-03-2026</t>
        </is>
      </c>
      <c r="C85" s="3" t="inlineStr">
        <is>
          <t>61332</t>
        </is>
      </c>
      <c r="D85" s="3" t="inlineStr">
        <is>
          <t>32</t>
        </is>
      </c>
      <c r="E85" s="3" t="inlineStr">
        <is>
          <t>Đầu 3</t>
        </is>
      </c>
      <c r="F85" s="3" t="inlineStr">
        <is>
          <t>Đuôi 2</t>
        </is>
      </c>
      <c r="G85" s="3" t="inlineStr">
        <is>
          <t>5, 4, 6</t>
        </is>
      </c>
      <c r="H85" s="6" t="inlineStr">
        <is>
          <t>TRƯỢT ❌</t>
        </is>
      </c>
      <c r="I85" s="3" t="inlineStr">
        <is>
          <t>9, 8, 4</t>
        </is>
      </c>
      <c r="J85" s="6" t="inlineStr">
        <is>
          <t>TRƯỢT ❌</t>
        </is>
      </c>
      <c r="K85" s="3" t="inlineStr">
        <is>
          <t>44, 48, 49, 54, 58, 59, 64, 68, 69</t>
        </is>
      </c>
      <c r="L85" s="6" t="inlineStr">
        <is>
          <t>TRƯỢT ❌</t>
        </is>
      </c>
      <c r="M85" s="6" t="inlineStr">
        <is>
          <t>TRƯỢT KHUNG ❌</t>
        </is>
      </c>
    </row>
    <row r="86">
      <c r="A86" s="2" t="n">
        <v>82</v>
      </c>
      <c r="B86" s="2" t="inlineStr">
        <is>
          <t>Thứ sáu ngày 27-03-2026</t>
        </is>
      </c>
      <c r="C86" s="3" t="inlineStr">
        <is>
          <t>96422</t>
        </is>
      </c>
      <c r="D86" s="3" t="inlineStr">
        <is>
          <t>22</t>
        </is>
      </c>
      <c r="E86" s="3" t="inlineStr">
        <is>
          <t>Đầu 2</t>
        </is>
      </c>
      <c r="F86" s="3" t="inlineStr">
        <is>
          <t>Đuôi 2</t>
        </is>
      </c>
      <c r="G86" s="3" t="inlineStr">
        <is>
          <t>4, 5, 1</t>
        </is>
      </c>
      <c r="H86" s="6" t="inlineStr">
        <is>
          <t>TRƯỢT ❌</t>
        </is>
      </c>
      <c r="I86" s="3" t="inlineStr">
        <is>
          <t>4, 9, 8</t>
        </is>
      </c>
      <c r="J86" s="6" t="inlineStr">
        <is>
          <t>TRƯỢT ❌</t>
        </is>
      </c>
      <c r="K86" s="3" t="inlineStr">
        <is>
          <t>14, 18, 19, 44, 48, 49, 54, 58, 59</t>
        </is>
      </c>
      <c r="L86" s="6" t="inlineStr">
        <is>
          <t>TRƯỢT ❌</t>
        </is>
      </c>
      <c r="M86" s="6" t="inlineStr">
        <is>
          <t>TRƯỢT KHUNG ❌</t>
        </is>
      </c>
    </row>
    <row r="87">
      <c r="A87" s="2" t="n">
        <v>83</v>
      </c>
      <c r="B87" s="2" t="inlineStr">
        <is>
          <t>Thứ bảy ngày 28-03-2026</t>
        </is>
      </c>
      <c r="C87" s="3" t="inlineStr">
        <is>
          <t>37188</t>
        </is>
      </c>
      <c r="D87" s="3" t="inlineStr">
        <is>
          <t>88</t>
        </is>
      </c>
      <c r="E87" s="3" t="inlineStr">
        <is>
          <t>Đầu 8</t>
        </is>
      </c>
      <c r="F87" s="3" t="inlineStr">
        <is>
          <t>Đuôi 8</t>
        </is>
      </c>
      <c r="G87" s="3" t="inlineStr">
        <is>
          <t>4, 5, 8</t>
        </is>
      </c>
      <c r="H87" s="7" t="inlineStr">
        <is>
          <t>TRÚNG 🎯</t>
        </is>
      </c>
      <c r="I87" s="3" t="inlineStr">
        <is>
          <t>9, 4, 8</t>
        </is>
      </c>
      <c r="J87" s="7" t="inlineStr">
        <is>
          <t>TRÚNG 🎯</t>
        </is>
      </c>
      <c r="K87" s="3" t="inlineStr">
        <is>
          <t>44, 48, 49, 54, 58, 59, 84, 88, 89</t>
        </is>
      </c>
      <c r="L87" s="7" t="inlineStr">
        <is>
          <t>TRÚNG 🎯</t>
        </is>
      </c>
      <c r="M87" s="7" t="inlineStr">
        <is>
          <t>TRÚNG KHUNG 🎯</t>
        </is>
      </c>
    </row>
    <row r="88">
      <c r="A88" s="2" t="n">
        <v>84</v>
      </c>
      <c r="B88" s="2" t="inlineStr">
        <is>
          <t>Chủ nhật ngày 29-03-2026</t>
        </is>
      </c>
      <c r="C88" s="3" t="inlineStr">
        <is>
          <t>64464</t>
        </is>
      </c>
      <c r="D88" s="3" t="inlineStr">
        <is>
          <t>64</t>
        </is>
      </c>
      <c r="E88" s="3" t="inlineStr">
        <is>
          <t>Đầu 6</t>
        </is>
      </c>
      <c r="F88" s="3" t="inlineStr">
        <is>
          <t>Đuôi 4</t>
        </is>
      </c>
      <c r="G88" s="3" t="inlineStr">
        <is>
          <t>4, 5, 9</t>
        </is>
      </c>
      <c r="H88" s="6" t="inlineStr">
        <is>
          <t>TRƯỢT ❌</t>
        </is>
      </c>
      <c r="I88" s="3" t="inlineStr">
        <is>
          <t>9, 4, 8</t>
        </is>
      </c>
      <c r="J88" s="7" t="inlineStr">
        <is>
          <t>TRÚNG 🎯</t>
        </is>
      </c>
      <c r="K88" s="3" t="inlineStr">
        <is>
          <t>44, 48, 49, 54, 58, 59, 94, 98, 99</t>
        </is>
      </c>
      <c r="L88" s="6" t="inlineStr">
        <is>
          <t>TRƯỢT ❌</t>
        </is>
      </c>
      <c r="M88" s="6" t="inlineStr">
        <is>
          <t>TRƯỢT KHUNG ❌</t>
        </is>
      </c>
    </row>
    <row r="89">
      <c r="A89" s="2" t="n">
        <v>85</v>
      </c>
      <c r="B89" s="2" t="inlineStr">
        <is>
          <t>Thứ hai ngày 30-03-2026</t>
        </is>
      </c>
      <c r="C89" s="3" t="inlineStr">
        <is>
          <t>11591</t>
        </is>
      </c>
      <c r="D89" s="3" t="inlineStr">
        <is>
          <t>91</t>
        </is>
      </c>
      <c r="E89" s="3" t="inlineStr">
        <is>
          <t>Đầu 9</t>
        </is>
      </c>
      <c r="F89" s="3" t="inlineStr">
        <is>
          <t>Đuôi 1</t>
        </is>
      </c>
      <c r="G89" s="3" t="inlineStr">
        <is>
          <t>4, 5, 9</t>
        </is>
      </c>
      <c r="H89" s="7" t="inlineStr">
        <is>
          <t>TRÚNG 🎯</t>
        </is>
      </c>
      <c r="I89" s="3" t="inlineStr">
        <is>
          <t>9, 8, 0</t>
        </is>
      </c>
      <c r="J89" s="6" t="inlineStr">
        <is>
          <t>TRƯỢT ❌</t>
        </is>
      </c>
      <c r="K89" s="3" t="inlineStr">
        <is>
          <t>40, 48, 49, 50, 58, 59, 90, 98, 99</t>
        </is>
      </c>
      <c r="L89" s="6" t="inlineStr">
        <is>
          <t>TRƯỢT ❌</t>
        </is>
      </c>
      <c r="M89" s="6" t="inlineStr">
        <is>
          <t>TRƯỢT KHUNG ❌</t>
        </is>
      </c>
    </row>
    <row r="90">
      <c r="A90" s="2" t="n">
        <v>86</v>
      </c>
      <c r="B90" s="2" t="inlineStr">
        <is>
          <t>Thứ ba ngày 31-03-2026</t>
        </is>
      </c>
      <c r="C90" s="3" t="inlineStr">
        <is>
          <t>31666</t>
        </is>
      </c>
      <c r="D90" s="3" t="inlineStr">
        <is>
          <t>66</t>
        </is>
      </c>
      <c r="E90" s="3" t="inlineStr">
        <is>
          <t>Đầu 6</t>
        </is>
      </c>
      <c r="F90" s="3" t="inlineStr">
        <is>
          <t>Đuôi 6</t>
        </is>
      </c>
      <c r="G90" s="3" t="inlineStr">
        <is>
          <t>5, 4, 2</t>
        </is>
      </c>
      <c r="H90" s="6" t="inlineStr">
        <is>
          <t>TRƯỢT ❌</t>
        </is>
      </c>
      <c r="I90" s="3" t="inlineStr">
        <is>
          <t>9, 8, 2</t>
        </is>
      </c>
      <c r="J90" s="6" t="inlineStr">
        <is>
          <t>TRƯỢT ❌</t>
        </is>
      </c>
      <c r="K90" s="3" t="inlineStr">
        <is>
          <t>22, 28, 29, 42, 48, 49, 52, 58, 59</t>
        </is>
      </c>
      <c r="L90" s="6" t="inlineStr">
        <is>
          <t>TRƯỢT ❌</t>
        </is>
      </c>
      <c r="M90" s="6" t="inlineStr">
        <is>
          <t>TRƯỢT KHUNG ❌</t>
        </is>
      </c>
    </row>
    <row r="91">
      <c r="A91" s="2" t="n">
        <v>87</v>
      </c>
      <c r="B91" s="2" t="inlineStr">
        <is>
          <t>Thứ tư ngày 01-04-2026</t>
        </is>
      </c>
      <c r="C91" s="3" t="inlineStr">
        <is>
          <t>91267</t>
        </is>
      </c>
      <c r="D91" s="3" t="inlineStr">
        <is>
          <t>67</t>
        </is>
      </c>
      <c r="E91" s="3" t="inlineStr">
        <is>
          <t>Đầu 6</t>
        </is>
      </c>
      <c r="F91" s="3" t="inlineStr">
        <is>
          <t>Đuôi 7</t>
        </is>
      </c>
      <c r="G91" s="3" t="inlineStr">
        <is>
          <t>2, 4, 5</t>
        </is>
      </c>
      <c r="H91" s="6" t="inlineStr">
        <is>
          <t>TRƯỢT ❌</t>
        </is>
      </c>
      <c r="I91" s="3" t="inlineStr">
        <is>
          <t>9, 2, 8</t>
        </is>
      </c>
      <c r="J91" s="6" t="inlineStr">
        <is>
          <t>TRƯỢT ❌</t>
        </is>
      </c>
      <c r="K91" s="3" t="inlineStr">
        <is>
          <t>22, 28, 29, 42, 48, 49, 52, 58, 59</t>
        </is>
      </c>
      <c r="L91" s="6" t="inlineStr">
        <is>
          <t>TRƯỢT ❌</t>
        </is>
      </c>
      <c r="M91" s="6" t="inlineStr">
        <is>
          <t>TRƯỢT KHUNG ❌</t>
        </is>
      </c>
    </row>
    <row r="92">
      <c r="A92" s="2" t="n">
        <v>88</v>
      </c>
      <c r="B92" s="2" t="inlineStr">
        <is>
          <t>Thứ năm ngày 02-04-2026</t>
        </is>
      </c>
      <c r="C92" s="3" t="inlineStr">
        <is>
          <t>12944</t>
        </is>
      </c>
      <c r="D92" s="3" t="inlineStr">
        <is>
          <t>44</t>
        </is>
      </c>
      <c r="E92" s="3" t="inlineStr">
        <is>
          <t>Đầu 4</t>
        </is>
      </c>
      <c r="F92" s="3" t="inlineStr">
        <is>
          <t>Đuôi 4</t>
        </is>
      </c>
      <c r="G92" s="3" t="inlineStr">
        <is>
          <t>2, 8, 4</t>
        </is>
      </c>
      <c r="H92" s="7" t="inlineStr">
        <is>
          <t>TRÚNG 🎯</t>
        </is>
      </c>
      <c r="I92" s="3" t="inlineStr">
        <is>
          <t>9, 2, 8</t>
        </is>
      </c>
      <c r="J92" s="6" t="inlineStr">
        <is>
          <t>TRƯỢT ❌</t>
        </is>
      </c>
      <c r="K92" s="3" t="inlineStr">
        <is>
          <t>22, 28, 29, 42, 48, 49, 82, 88, 89</t>
        </is>
      </c>
      <c r="L92" s="6" t="inlineStr">
        <is>
          <t>TRƯỢT ❌</t>
        </is>
      </c>
      <c r="M92" s="6" t="inlineStr">
        <is>
          <t>TRƯỢT KHUNG ❌</t>
        </is>
      </c>
    </row>
    <row r="93">
      <c r="A93" s="2" t="n">
        <v>89</v>
      </c>
      <c r="B93" s="2" t="inlineStr">
        <is>
          <t>Thứ sáu ngày 03-04-2026</t>
        </is>
      </c>
      <c r="C93" s="3" t="inlineStr">
        <is>
          <t>29737</t>
        </is>
      </c>
      <c r="D93" s="3" t="inlineStr">
        <is>
          <t>37</t>
        </is>
      </c>
      <c r="E93" s="3" t="inlineStr">
        <is>
          <t>Đầu 3</t>
        </is>
      </c>
      <c r="F93" s="3" t="inlineStr">
        <is>
          <t>Đuôi 7</t>
        </is>
      </c>
      <c r="G93" s="3" t="inlineStr">
        <is>
          <t>2, 8, 5</t>
        </is>
      </c>
      <c r="H93" s="6" t="inlineStr">
        <is>
          <t>TRƯỢT ❌</t>
        </is>
      </c>
      <c r="I93" s="3" t="inlineStr">
        <is>
          <t>9, 2, 8</t>
        </is>
      </c>
      <c r="J93" s="6" t="inlineStr">
        <is>
          <t>TRƯỢT ❌</t>
        </is>
      </c>
      <c r="K93" s="3" t="inlineStr">
        <is>
          <t>22, 28, 29, 52, 58, 59, 82, 88, 89</t>
        </is>
      </c>
      <c r="L93" s="6" t="inlineStr">
        <is>
          <t>TRƯỢT ❌</t>
        </is>
      </c>
      <c r="M93" s="6" t="inlineStr">
        <is>
          <t>TRƯỢT KHUNG ❌</t>
        </is>
      </c>
    </row>
    <row r="94">
      <c r="A94" s="2" t="n">
        <v>90</v>
      </c>
      <c r="B94" s="2" t="inlineStr">
        <is>
          <t>Thứ bảy ngày 04-04-2026</t>
        </is>
      </c>
      <c r="C94" s="3" t="inlineStr">
        <is>
          <t>02855</t>
        </is>
      </c>
      <c r="D94" s="3" t="inlineStr">
        <is>
          <t>55</t>
        </is>
      </c>
      <c r="E94" s="3" t="inlineStr">
        <is>
          <t>Đầu 5</t>
        </is>
      </c>
      <c r="F94" s="3" t="inlineStr">
        <is>
          <t>Đuôi 5</t>
        </is>
      </c>
      <c r="G94" s="3" t="inlineStr">
        <is>
          <t>2, 8, 9</t>
        </is>
      </c>
      <c r="H94" s="6" t="inlineStr">
        <is>
          <t>TRƯỢT ❌</t>
        </is>
      </c>
      <c r="I94" s="3" t="inlineStr">
        <is>
          <t>2, 8, 9</t>
        </is>
      </c>
      <c r="J94" s="6" t="inlineStr">
        <is>
          <t>TRƯỢT ❌</t>
        </is>
      </c>
      <c r="K94" s="3" t="inlineStr">
        <is>
          <t>22, 28, 29, 82, 88, 89, 92, 98, 99</t>
        </is>
      </c>
      <c r="L94" s="6" t="inlineStr">
        <is>
          <t>TRƯỢT ❌</t>
        </is>
      </c>
      <c r="M94" s="7" t="inlineStr">
        <is>
          <t>TRÚNG KHUNG 🎯</t>
        </is>
      </c>
    </row>
    <row r="95">
      <c r="A95" s="2" t="n">
        <v>91</v>
      </c>
      <c r="B95" s="2" t="inlineStr">
        <is>
          <t>Chủ nhật ngày 05-04-2026</t>
        </is>
      </c>
      <c r="C95" s="3" t="inlineStr">
        <is>
          <t>76406</t>
        </is>
      </c>
      <c r="D95" s="3" t="inlineStr">
        <is>
          <t>06</t>
        </is>
      </c>
      <c r="E95" s="3" t="inlineStr">
        <is>
          <t>Đầu 0</t>
        </is>
      </c>
      <c r="F95" s="3" t="inlineStr">
        <is>
          <t>Đuôi 6</t>
        </is>
      </c>
      <c r="G95" s="3" t="inlineStr">
        <is>
          <t>8, 9, 2</t>
        </is>
      </c>
      <c r="H95" s="6" t="inlineStr">
        <is>
          <t>TRƯỢT ❌</t>
        </is>
      </c>
      <c r="I95" s="3" t="inlineStr">
        <is>
          <t>8, 2, 4</t>
        </is>
      </c>
      <c r="J95" s="6" t="inlineStr">
        <is>
          <t>TRƯỢT ❌</t>
        </is>
      </c>
      <c r="K95" s="3" t="inlineStr">
        <is>
          <t>22, 24, 28, 82, 84, 88, 92, 94, 98</t>
        </is>
      </c>
      <c r="L95" s="6" t="inlineStr">
        <is>
          <t>TRƯỢT ❌</t>
        </is>
      </c>
      <c r="M95" s="7" t="inlineStr">
        <is>
          <t>TRÚNG KHUNG 🎯</t>
        </is>
      </c>
    </row>
    <row r="96">
      <c r="A96" s="2" t="n">
        <v>92</v>
      </c>
      <c r="B96" s="2" t="inlineStr">
        <is>
          <t>Thứ hai ngày 06-04-2026</t>
        </is>
      </c>
      <c r="C96" s="3" t="inlineStr">
        <is>
          <t>02382</t>
        </is>
      </c>
      <c r="D96" s="3" t="inlineStr">
        <is>
          <t>82</t>
        </is>
      </c>
      <c r="E96" s="3" t="inlineStr">
        <is>
          <t>Đầu 8</t>
        </is>
      </c>
      <c r="F96" s="3" t="inlineStr">
        <is>
          <t>Đuôi 2</t>
        </is>
      </c>
      <c r="G96" s="3" t="inlineStr">
        <is>
          <t>6, 9, 2</t>
        </is>
      </c>
      <c r="H96" s="6" t="inlineStr">
        <is>
          <t>TRƯỢT ❌</t>
        </is>
      </c>
      <c r="I96" s="3" t="inlineStr">
        <is>
          <t>4, 2, 8</t>
        </is>
      </c>
      <c r="J96" s="7" t="inlineStr">
        <is>
          <t>TRÚNG 🎯</t>
        </is>
      </c>
      <c r="K96" s="3" t="inlineStr">
        <is>
          <t>22, 24, 28, 62, 64, 68, 92, 94, 98</t>
        </is>
      </c>
      <c r="L96" s="6" t="inlineStr">
        <is>
          <t>TRƯỢT ❌</t>
        </is>
      </c>
      <c r="M96" s="6" t="inlineStr">
        <is>
          <t>TRƯỢT KHUNG ❌</t>
        </is>
      </c>
    </row>
    <row r="97">
      <c r="A97" s="2" t="n">
        <v>93</v>
      </c>
      <c r="B97" s="2" t="inlineStr">
        <is>
          <t>Thứ ba ngày 07-04-2026</t>
        </is>
      </c>
      <c r="C97" s="3" t="inlineStr">
        <is>
          <t>27450</t>
        </is>
      </c>
      <c r="D97" s="3" t="inlineStr">
        <is>
          <t>50</t>
        </is>
      </c>
      <c r="E97" s="3" t="inlineStr">
        <is>
          <t>Đầu 5</t>
        </is>
      </c>
      <c r="F97" s="3" t="inlineStr">
        <is>
          <t>Đuôi 0</t>
        </is>
      </c>
      <c r="G97" s="3" t="inlineStr">
        <is>
          <t>6, 4, 9</t>
        </is>
      </c>
      <c r="H97" s="6" t="inlineStr">
        <is>
          <t>TRƯỢT ❌</t>
        </is>
      </c>
      <c r="I97" s="3" t="inlineStr">
        <is>
          <t>4, 8, 9</t>
        </is>
      </c>
      <c r="J97" s="6" t="inlineStr">
        <is>
          <t>TRƯỢT ❌</t>
        </is>
      </c>
      <c r="K97" s="3" t="inlineStr">
        <is>
          <t>44, 48, 49, 64, 68, 69, 94, 98, 99</t>
        </is>
      </c>
      <c r="L97" s="6" t="inlineStr">
        <is>
          <t>TRƯỢT ❌</t>
        </is>
      </c>
      <c r="M97" s="6" t="inlineStr">
        <is>
          <t>TRƯỢT KHUNG ❌</t>
        </is>
      </c>
    </row>
    <row r="98">
      <c r="A98" s="2" t="n">
        <v>94</v>
      </c>
      <c r="B98" s="2" t="inlineStr">
        <is>
          <t>Thứ tư ngày 08-04-2026</t>
        </is>
      </c>
      <c r="C98" s="3" t="inlineStr">
        <is>
          <t>45625</t>
        </is>
      </c>
      <c r="D98" s="3" t="inlineStr">
        <is>
          <t>25</t>
        </is>
      </c>
      <c r="E98" s="3" t="inlineStr">
        <is>
          <t>Đầu 2</t>
        </is>
      </c>
      <c r="F98" s="3" t="inlineStr">
        <is>
          <t>Đuôi 5</t>
        </is>
      </c>
      <c r="G98" s="3" t="inlineStr">
        <is>
          <t>6, 4, 2</t>
        </is>
      </c>
      <c r="H98" s="7" t="inlineStr">
        <is>
          <t>TRÚNG 🎯</t>
        </is>
      </c>
      <c r="I98" s="3" t="inlineStr">
        <is>
          <t>4, 8, 7</t>
        </is>
      </c>
      <c r="J98" s="6" t="inlineStr">
        <is>
          <t>TRƯỢT ❌</t>
        </is>
      </c>
      <c r="K98" s="3" t="inlineStr">
        <is>
          <t>24, 27, 28, 44, 47, 48, 64, 67, 68</t>
        </is>
      </c>
      <c r="L98" s="6" t="inlineStr">
        <is>
          <t>TRƯỢT ❌</t>
        </is>
      </c>
      <c r="M98" s="6" t="inlineStr">
        <is>
          <t>TRƯỢT KHUNG ❌</t>
        </is>
      </c>
    </row>
    <row r="99">
      <c r="A99" s="2" t="n">
        <v>95</v>
      </c>
      <c r="B99" s="2" t="inlineStr">
        <is>
          <t>Thứ năm ngày 09-04-2026</t>
        </is>
      </c>
      <c r="C99" s="3" t="inlineStr">
        <is>
          <t>46120</t>
        </is>
      </c>
      <c r="D99" s="3" t="inlineStr">
        <is>
          <t>20</t>
        </is>
      </c>
      <c r="E99" s="3" t="inlineStr">
        <is>
          <t>Đầu 2</t>
        </is>
      </c>
      <c r="F99" s="3" t="inlineStr">
        <is>
          <t>Đuôi 0</t>
        </is>
      </c>
      <c r="G99" s="3" t="inlineStr">
        <is>
          <t>6, 9, 4</t>
        </is>
      </c>
      <c r="H99" s="6" t="inlineStr">
        <is>
          <t>TRƯỢT ❌</t>
        </is>
      </c>
      <c r="I99" s="3" t="inlineStr">
        <is>
          <t>4, 8, 7</t>
        </is>
      </c>
      <c r="J99" s="6" t="inlineStr">
        <is>
          <t>TRƯỢT ❌</t>
        </is>
      </c>
      <c r="K99" s="3" t="inlineStr">
        <is>
          <t>44, 47, 48, 64, 67, 68, 94, 97, 98</t>
        </is>
      </c>
      <c r="L99" s="6" t="inlineStr">
        <is>
          <t>TRƯỢT ❌</t>
        </is>
      </c>
      <c r="M99" s="6" t="inlineStr">
        <is>
          <t>TRƯỢT KHUNG ❌</t>
        </is>
      </c>
    </row>
    <row r="100">
      <c r="A100" s="2" t="n">
        <v>96</v>
      </c>
      <c r="B100" s="2" t="inlineStr">
        <is>
          <t>Thứ sáu ngày 10-04-2026</t>
        </is>
      </c>
      <c r="C100" s="3" t="inlineStr">
        <is>
          <t>24204</t>
        </is>
      </c>
      <c r="D100" s="3" t="inlineStr">
        <is>
          <t>04</t>
        </is>
      </c>
      <c r="E100" s="3" t="inlineStr">
        <is>
          <t>Đầu 0</t>
        </is>
      </c>
      <c r="F100" s="3" t="inlineStr">
        <is>
          <t>Đuôi 4</t>
        </is>
      </c>
      <c r="G100" s="3" t="inlineStr">
        <is>
          <t>6, 9, 4</t>
        </is>
      </c>
      <c r="H100" s="6" t="inlineStr">
        <is>
          <t>TRƯỢT ❌</t>
        </is>
      </c>
      <c r="I100" s="3" t="inlineStr">
        <is>
          <t>4, 6, 7</t>
        </is>
      </c>
      <c r="J100" s="7" t="inlineStr">
        <is>
          <t>TRÚNG 🎯</t>
        </is>
      </c>
      <c r="K100" s="3" t="inlineStr">
        <is>
          <t>44, 46, 47, 64, 66, 67, 94, 96, 97</t>
        </is>
      </c>
      <c r="L100" s="6" t="inlineStr">
        <is>
          <t>TRƯỢT ❌</t>
        </is>
      </c>
      <c r="M100" s="6" t="inlineStr">
        <is>
          <t>TRƯỢT KHUNG ❌</t>
        </is>
      </c>
    </row>
    <row r="101">
      <c r="A101" s="2" t="n">
        <v>97</v>
      </c>
      <c r="B101" s="2" t="inlineStr">
        <is>
          <t>Thứ bảy ngày 11-04-2026</t>
        </is>
      </c>
      <c r="C101" s="3" t="inlineStr">
        <is>
          <t>12000</t>
        </is>
      </c>
      <c r="D101" s="3" t="inlineStr">
        <is>
          <t>00</t>
        </is>
      </c>
      <c r="E101" s="3" t="inlineStr">
        <is>
          <t>Đầu 0</t>
        </is>
      </c>
      <c r="F101" s="3" t="inlineStr">
        <is>
          <t>Đuôi 0</t>
        </is>
      </c>
      <c r="G101" s="3" t="inlineStr">
        <is>
          <t>8, 6, 9</t>
        </is>
      </c>
      <c r="H101" s="6" t="inlineStr">
        <is>
          <t>TRƯỢT ❌</t>
        </is>
      </c>
      <c r="I101" s="3" t="inlineStr">
        <is>
          <t>2, 6, 7</t>
        </is>
      </c>
      <c r="J101" s="6" t="inlineStr">
        <is>
          <t>TRƯỢT ❌</t>
        </is>
      </c>
      <c r="K101" s="3" t="inlineStr">
        <is>
          <t>62, 66, 67, 82, 86, 87, 92, 96, 97</t>
        </is>
      </c>
      <c r="L101" s="6" t="inlineStr">
        <is>
          <t>TRƯỢT ❌</t>
        </is>
      </c>
      <c r="M101" s="6" t="inlineStr">
        <is>
          <t>TRƯỢT KHUNG ❌</t>
        </is>
      </c>
    </row>
    <row r="102">
      <c r="A102" s="2" t="n">
        <v>98</v>
      </c>
      <c r="B102" s="2" t="inlineStr">
        <is>
          <t>Chủ nhật ngày 12-04-2026</t>
        </is>
      </c>
      <c r="C102" s="3" t="inlineStr">
        <is>
          <t>22738</t>
        </is>
      </c>
      <c r="D102" s="3" t="inlineStr">
        <is>
          <t>38</t>
        </is>
      </c>
      <c r="E102" s="3" t="inlineStr">
        <is>
          <t>Đầu 3</t>
        </is>
      </c>
      <c r="F102" s="3" t="inlineStr">
        <is>
          <t>Đuôi 8</t>
        </is>
      </c>
      <c r="G102" s="3" t="inlineStr">
        <is>
          <t>8, 6, 9</t>
        </is>
      </c>
      <c r="H102" s="6" t="inlineStr">
        <is>
          <t>TRƯỢT ❌</t>
        </is>
      </c>
      <c r="I102" s="3" t="inlineStr">
        <is>
          <t>2, 6, 4</t>
        </is>
      </c>
      <c r="J102" s="6" t="inlineStr">
        <is>
          <t>TRƯỢT ❌</t>
        </is>
      </c>
      <c r="K102" s="3" t="inlineStr">
        <is>
          <t>62, 64, 66, 82, 84, 86, 92, 94, 96</t>
        </is>
      </c>
      <c r="L102" s="6" t="inlineStr">
        <is>
          <t>TRƯỢT ❌</t>
        </is>
      </c>
      <c r="M102" s="6" t="inlineStr">
        <is>
          <t>TRƯỢT KHUNG ❌</t>
        </is>
      </c>
    </row>
    <row r="103">
      <c r="A103" s="2" t="n">
        <v>99</v>
      </c>
      <c r="B103" s="2" t="inlineStr">
        <is>
          <t>Thứ hai ngày 13-04-2026</t>
        </is>
      </c>
      <c r="C103" s="3" t="inlineStr">
        <is>
          <t>92763</t>
        </is>
      </c>
      <c r="D103" s="3" t="inlineStr">
        <is>
          <t>63</t>
        </is>
      </c>
      <c r="E103" s="3" t="inlineStr">
        <is>
          <t>Đầu 6</t>
        </is>
      </c>
      <c r="F103" s="3" t="inlineStr">
        <is>
          <t>Đuôi 3</t>
        </is>
      </c>
      <c r="G103" s="3" t="inlineStr">
        <is>
          <t>8, 6, 9</t>
        </is>
      </c>
      <c r="H103" s="7" t="inlineStr">
        <is>
          <t>TRÚNG 🎯</t>
        </is>
      </c>
      <c r="I103" s="3" t="inlineStr">
        <is>
          <t>2, 4, 5</t>
        </is>
      </c>
      <c r="J103" s="6" t="inlineStr">
        <is>
          <t>TRƯỢT ❌</t>
        </is>
      </c>
      <c r="K103" s="3" t="inlineStr">
        <is>
          <t>62, 64, 65, 82, 84, 85, 92, 94, 95</t>
        </is>
      </c>
      <c r="L103" s="6" t="inlineStr">
        <is>
          <t>TRƯỢT ❌</t>
        </is>
      </c>
      <c r="M103" s="6" t="inlineStr">
        <is>
          <t>TRƯỢT KHUNG ❌</t>
        </is>
      </c>
    </row>
    <row r="104">
      <c r="A104" s="2" t="n">
        <v>100</v>
      </c>
      <c r="B104" s="2" t="inlineStr">
        <is>
          <t>Thứ ba ngày 14-04-2026</t>
        </is>
      </c>
      <c r="C104" s="3" t="inlineStr">
        <is>
          <t>03714</t>
        </is>
      </c>
      <c r="D104" s="3" t="inlineStr">
        <is>
          <t>14</t>
        </is>
      </c>
      <c r="E104" s="3" t="inlineStr">
        <is>
          <t>Đầu 1</t>
        </is>
      </c>
      <c r="F104" s="3" t="inlineStr">
        <is>
          <t>Đuôi 4</t>
        </is>
      </c>
      <c r="G104" s="3" t="inlineStr">
        <is>
          <t>2, 8, 9</t>
        </is>
      </c>
      <c r="H104" s="6" t="inlineStr">
        <is>
          <t>TRƯỢT ❌</t>
        </is>
      </c>
      <c r="I104" s="3" t="inlineStr">
        <is>
          <t>2, 4, 5</t>
        </is>
      </c>
      <c r="J104" s="7" t="inlineStr">
        <is>
          <t>TRÚNG 🎯</t>
        </is>
      </c>
      <c r="K104" s="3" t="inlineStr">
        <is>
          <t>22, 24, 25, 82, 84, 85, 92, 94, 95</t>
        </is>
      </c>
      <c r="L104" s="6" t="inlineStr">
        <is>
          <t>TRƯỢT ❌</t>
        </is>
      </c>
      <c r="M104" s="6" t="inlineStr">
        <is>
          <t>TRƯỢT KHUNG ❌</t>
        </is>
      </c>
    </row>
    <row r="105">
      <c r="A105" s="2" t="n">
        <v>101</v>
      </c>
      <c r="B105" s="2" t="inlineStr">
        <is>
          <t>Thứ tư ngày 15-04-2026</t>
        </is>
      </c>
      <c r="C105" s="3" t="inlineStr">
        <is>
          <t>35035</t>
        </is>
      </c>
      <c r="D105" s="3" t="inlineStr">
        <is>
          <t>35</t>
        </is>
      </c>
      <c r="E105" s="3" t="inlineStr">
        <is>
          <t>Đầu 3</t>
        </is>
      </c>
      <c r="F105" s="3" t="inlineStr">
        <is>
          <t>Đuôi 5</t>
        </is>
      </c>
      <c r="G105" s="3" t="inlineStr">
        <is>
          <t>2, 8, 9</t>
        </is>
      </c>
      <c r="H105" s="6" t="inlineStr">
        <is>
          <t>TRƯỢT ❌</t>
        </is>
      </c>
      <c r="I105" s="3" t="inlineStr">
        <is>
          <t>5, 4, 2</t>
        </is>
      </c>
      <c r="J105" s="7" t="inlineStr">
        <is>
          <t>TRÚNG 🎯</t>
        </is>
      </c>
      <c r="K105" s="3" t="inlineStr">
        <is>
          <t>22, 24, 25, 82, 84, 85, 92, 94, 95</t>
        </is>
      </c>
      <c r="L105" s="6" t="inlineStr">
        <is>
          <t>TRƯỢT ❌</t>
        </is>
      </c>
      <c r="M105" s="6" t="inlineStr">
        <is>
          <t>TRƯỢT KHUNG ❌</t>
        </is>
      </c>
    </row>
    <row r="106">
      <c r="A106" s="2" t="n">
        <v>102</v>
      </c>
      <c r="B106" s="2" t="inlineStr">
        <is>
          <t>Thứ năm ngày 16-04-2026</t>
        </is>
      </c>
      <c r="C106" s="3" t="inlineStr">
        <is>
          <t>38455</t>
        </is>
      </c>
      <c r="D106" s="3" t="inlineStr">
        <is>
          <t>55</t>
        </is>
      </c>
      <c r="E106" s="3" t="inlineStr">
        <is>
          <t>Đầu 5</t>
        </is>
      </c>
      <c r="F106" s="3" t="inlineStr">
        <is>
          <t>Đuôi 5</t>
        </is>
      </c>
      <c r="G106" s="3" t="inlineStr">
        <is>
          <t>2, 8, 0</t>
        </is>
      </c>
      <c r="H106" s="6" t="inlineStr">
        <is>
          <t>TRƯỢT ❌</t>
        </is>
      </c>
      <c r="I106" s="3" t="inlineStr">
        <is>
          <t>4, 0, 2</t>
        </is>
      </c>
      <c r="J106" s="6" t="inlineStr">
        <is>
          <t>TRƯỢT ❌</t>
        </is>
      </c>
      <c r="K106" s="3" t="inlineStr">
        <is>
          <t>00, 02, 04, 20, 22, 24, 80, 82, 84</t>
        </is>
      </c>
      <c r="L106" s="6" t="inlineStr">
        <is>
          <t>TRƯỢT ❌</t>
        </is>
      </c>
      <c r="M106" s="6" t="inlineStr">
        <is>
          <t>TRƯỢT KHUNG ❌</t>
        </is>
      </c>
    </row>
    <row r="107">
      <c r="A107" s="2" t="n">
        <v>103</v>
      </c>
      <c r="B107" s="2" t="inlineStr">
        <is>
          <t>Thứ sáu ngày 17-04-2026</t>
        </is>
      </c>
      <c r="C107" s="3" t="inlineStr">
        <is>
          <t>17243</t>
        </is>
      </c>
      <c r="D107" s="3" t="inlineStr">
        <is>
          <t>43</t>
        </is>
      </c>
      <c r="E107" s="3" t="inlineStr">
        <is>
          <t>Đầu 4</t>
        </is>
      </c>
      <c r="F107" s="3" t="inlineStr">
        <is>
          <t>Đuôi 3</t>
        </is>
      </c>
      <c r="G107" s="3" t="inlineStr">
        <is>
          <t>2, 0, 8</t>
        </is>
      </c>
      <c r="H107" s="6" t="inlineStr">
        <is>
          <t>TRƯỢT ❌</t>
        </is>
      </c>
      <c r="I107" s="3" t="inlineStr">
        <is>
          <t>4, 0, 8</t>
        </is>
      </c>
      <c r="J107" s="6" t="inlineStr">
        <is>
          <t>TRƯỢT ❌</t>
        </is>
      </c>
      <c r="K107" s="3" t="inlineStr">
        <is>
          <t>00, 04, 08, 20, 24, 28, 80, 84, 88</t>
        </is>
      </c>
      <c r="L107" s="6" t="inlineStr">
        <is>
          <t>TRƯỢT ❌</t>
        </is>
      </c>
      <c r="M107" s="6" t="inlineStr">
        <is>
          <t>TRƯỢT KHUNG ❌</t>
        </is>
      </c>
    </row>
    <row r="108">
      <c r="A108" s="2" t="n">
        <v>104</v>
      </c>
      <c r="B108" s="2" t="inlineStr">
        <is>
          <t>Thứ bảy ngày 18-04-2026</t>
        </is>
      </c>
      <c r="C108" s="3" t="inlineStr">
        <is>
          <t>93725</t>
        </is>
      </c>
      <c r="D108" s="3" t="inlineStr">
        <is>
          <t>25</t>
        </is>
      </c>
      <c r="E108" s="3" t="inlineStr">
        <is>
          <t>Đầu 2</t>
        </is>
      </c>
      <c r="F108" s="3" t="inlineStr">
        <is>
          <t>Đuôi 5</t>
        </is>
      </c>
      <c r="G108" s="3" t="inlineStr">
        <is>
          <t>2, 6, 0</t>
        </is>
      </c>
      <c r="H108" s="7" t="inlineStr">
        <is>
          <t>TRÚNG 🎯</t>
        </is>
      </c>
      <c r="I108" s="3" t="inlineStr">
        <is>
          <t>4, 0, 8</t>
        </is>
      </c>
      <c r="J108" s="6" t="inlineStr">
        <is>
          <t>TRƯỢT ❌</t>
        </is>
      </c>
      <c r="K108" s="3" t="inlineStr">
        <is>
          <t>00, 04, 08, 20, 24, 28, 60, 64, 68</t>
        </is>
      </c>
      <c r="L108" s="6" t="inlineStr">
        <is>
          <t>TRƯỢT ❌</t>
        </is>
      </c>
      <c r="M108" s="6" t="inlineStr">
        <is>
          <t>TRƯỢT KHUNG ❌</t>
        </is>
      </c>
    </row>
    <row r="109">
      <c r="A109" s="2" t="n">
        <v>105</v>
      </c>
      <c r="B109" s="2" t="inlineStr">
        <is>
          <t>Chủ nhật ngày 19-04-2026</t>
        </is>
      </c>
      <c r="C109" s="3" t="inlineStr">
        <is>
          <t>74197</t>
        </is>
      </c>
      <c r="D109" s="3" t="inlineStr">
        <is>
          <t>97</t>
        </is>
      </c>
      <c r="E109" s="3" t="inlineStr">
        <is>
          <t>Đầu 9</t>
        </is>
      </c>
      <c r="F109" s="3" t="inlineStr">
        <is>
          <t>Đuôi 7</t>
        </is>
      </c>
      <c r="G109" s="3" t="inlineStr">
        <is>
          <t>6, 0, 8</t>
        </is>
      </c>
      <c r="H109" s="6" t="inlineStr">
        <is>
          <t>TRƯỢT ❌</t>
        </is>
      </c>
      <c r="I109" s="3" t="inlineStr">
        <is>
          <t>4, 0, 8</t>
        </is>
      </c>
      <c r="J109" s="6" t="inlineStr">
        <is>
          <t>TRƯỢT ❌</t>
        </is>
      </c>
      <c r="K109" s="3" t="inlineStr">
        <is>
          <t>00, 04, 08, 60, 64, 68, 80, 84, 88</t>
        </is>
      </c>
      <c r="L109" s="6" t="inlineStr">
        <is>
          <t>TRƯỢT ❌</t>
        </is>
      </c>
      <c r="M109" s="6" t="inlineStr">
        <is>
          <t>TRƯỢT KHUNG ❌</t>
        </is>
      </c>
    </row>
    <row r="110">
      <c r="A110" s="2" t="n">
        <v>106</v>
      </c>
      <c r="B110" s="2" t="inlineStr">
        <is>
          <t>Thứ hai ngày 20-04-2026</t>
        </is>
      </c>
      <c r="C110" s="3" t="inlineStr">
        <is>
          <t>48076</t>
        </is>
      </c>
      <c r="D110" s="3" t="inlineStr">
        <is>
          <t>76</t>
        </is>
      </c>
      <c r="E110" s="3" t="inlineStr">
        <is>
          <t>Đầu 7</t>
        </is>
      </c>
      <c r="F110" s="3" t="inlineStr">
        <is>
          <t>Đuôi 6</t>
        </is>
      </c>
      <c r="G110" s="3" t="inlineStr">
        <is>
          <t>3, 6, 0</t>
        </is>
      </c>
      <c r="H110" s="6" t="inlineStr">
        <is>
          <t>TRƯỢT ❌</t>
        </is>
      </c>
      <c r="I110" s="3" t="inlineStr">
        <is>
          <t>4, 8, 0</t>
        </is>
      </c>
      <c r="J110" s="6" t="inlineStr">
        <is>
          <t>TRƯỢT ❌</t>
        </is>
      </c>
      <c r="K110" s="3" t="inlineStr">
        <is>
          <t>00, 04, 08, 30, 34, 38, 60, 64, 68</t>
        </is>
      </c>
      <c r="L110" s="6" t="inlineStr">
        <is>
          <t>TRƯỢT ❌</t>
        </is>
      </c>
      <c r="M110" s="6" t="inlineStr">
        <is>
          <t>TRƯỢT KHUNG ❌</t>
        </is>
      </c>
    </row>
    <row r="111">
      <c r="A111" s="2" t="n">
        <v>107</v>
      </c>
      <c r="B111" s="2" t="inlineStr">
        <is>
          <t>Thứ ba ngày 21-04-2026</t>
        </is>
      </c>
      <c r="C111" s="3" t="inlineStr">
        <is>
          <t>36948</t>
        </is>
      </c>
      <c r="D111" s="3" t="inlineStr">
        <is>
          <t>48</t>
        </is>
      </c>
      <c r="E111" s="3" t="inlineStr">
        <is>
          <t>Đầu 4</t>
        </is>
      </c>
      <c r="F111" s="3" t="inlineStr">
        <is>
          <t>Đuôi 8</t>
        </is>
      </c>
      <c r="G111" s="3" t="inlineStr">
        <is>
          <t>3, 6, 5</t>
        </is>
      </c>
      <c r="H111" s="6" t="inlineStr">
        <is>
          <t>TRƯỢT ❌</t>
        </is>
      </c>
      <c r="I111" s="3" t="inlineStr">
        <is>
          <t>4, 0, 2</t>
        </is>
      </c>
      <c r="J111" s="6" t="inlineStr">
        <is>
          <t>TRƯỢT ❌</t>
        </is>
      </c>
      <c r="K111" s="3" t="inlineStr">
        <is>
          <t>30, 32, 34, 50, 52, 54, 60, 62, 64</t>
        </is>
      </c>
      <c r="L111" s="6" t="inlineStr">
        <is>
          <t>TRƯỢT ❌</t>
        </is>
      </c>
      <c r="M111" s="6" t="inlineStr">
        <is>
          <t>TRƯỢT KHUNG ❌</t>
        </is>
      </c>
    </row>
    <row r="112">
      <c r="A112" s="2" t="n">
        <v>108</v>
      </c>
      <c r="B112" s="2" t="inlineStr">
        <is>
          <t>Thứ tư ngày 22-04-2026</t>
        </is>
      </c>
      <c r="C112" s="3" t="inlineStr">
        <is>
          <t>66239</t>
        </is>
      </c>
      <c r="D112" s="3" t="inlineStr">
        <is>
          <t>39</t>
        </is>
      </c>
      <c r="E112" s="3" t="inlineStr">
        <is>
          <t>Đầu 3</t>
        </is>
      </c>
      <c r="F112" s="3" t="inlineStr">
        <is>
          <t>Đuôi 9</t>
        </is>
      </c>
      <c r="G112" s="3" t="inlineStr">
        <is>
          <t>3, 6, 5</t>
        </is>
      </c>
      <c r="H112" s="7" t="inlineStr">
        <is>
          <t>TRÚNG 🎯</t>
        </is>
      </c>
      <c r="I112" s="3" t="inlineStr">
        <is>
          <t>4, 3, 5</t>
        </is>
      </c>
      <c r="J112" s="6" t="inlineStr">
        <is>
          <t>TRƯỢT ❌</t>
        </is>
      </c>
      <c r="K112" s="3" t="inlineStr">
        <is>
          <t>33, 34, 35, 53, 54, 55, 63, 64, 65</t>
        </is>
      </c>
      <c r="L112" s="6" t="inlineStr">
        <is>
          <t>TRƯỢT ❌</t>
        </is>
      </c>
      <c r="M112" s="6" t="inlineStr">
        <is>
          <t>TRƯỢT KHUNG ❌</t>
        </is>
      </c>
    </row>
    <row r="113">
      <c r="A113" s="2" t="n">
        <v>109</v>
      </c>
      <c r="B113" s="2" t="inlineStr">
        <is>
          <t>Thứ năm ngày 23-04-2026</t>
        </is>
      </c>
      <c r="C113" s="3" t="inlineStr">
        <is>
          <t>09876</t>
        </is>
      </c>
      <c r="D113" s="3" t="inlineStr">
        <is>
          <t>76</t>
        </is>
      </c>
      <c r="E113" s="3" t="inlineStr">
        <is>
          <t>Đầu 7</t>
        </is>
      </c>
      <c r="F113" s="3" t="inlineStr">
        <is>
          <t>Đuôi 6</t>
        </is>
      </c>
      <c r="G113" s="3" t="inlineStr">
        <is>
          <t>2, 6, 5</t>
        </is>
      </c>
      <c r="H113" s="6" t="inlineStr">
        <is>
          <t>TRƯỢT ❌</t>
        </is>
      </c>
      <c r="I113" s="3" t="inlineStr">
        <is>
          <t>5, 4, 3</t>
        </is>
      </c>
      <c r="J113" s="6" t="inlineStr">
        <is>
          <t>TRƯỢT ❌</t>
        </is>
      </c>
      <c r="K113" s="3" t="inlineStr">
        <is>
          <t>23, 24, 25, 53, 54, 55, 63, 64, 65</t>
        </is>
      </c>
      <c r="L113" s="6" t="inlineStr">
        <is>
          <t>TRƯỢT ❌</t>
        </is>
      </c>
      <c r="M113" s="6" t="inlineStr">
        <is>
          <t>TRƯỢT KHUNG ❌</t>
        </is>
      </c>
    </row>
    <row r="114">
      <c r="A114" s="2" t="n">
        <v>110</v>
      </c>
      <c r="B114" s="2" t="inlineStr">
        <is>
          <t>Thứ sáu ngày 24-04-2026</t>
        </is>
      </c>
      <c r="C114" s="3" t="inlineStr">
        <is>
          <t>08717</t>
        </is>
      </c>
      <c r="D114" s="3" t="inlineStr">
        <is>
          <t>17</t>
        </is>
      </c>
      <c r="E114" s="3" t="inlineStr">
        <is>
          <t>Đầu 1</t>
        </is>
      </c>
      <c r="F114" s="3" t="inlineStr">
        <is>
          <t>Đuôi 7</t>
        </is>
      </c>
      <c r="G114" s="3" t="inlineStr">
        <is>
          <t>2, 6, 5</t>
        </is>
      </c>
      <c r="H114" s="6" t="inlineStr">
        <is>
          <t>TRƯỢT ❌</t>
        </is>
      </c>
      <c r="I114" s="3" t="inlineStr">
        <is>
          <t>5, 4, 3</t>
        </is>
      </c>
      <c r="J114" s="6" t="inlineStr">
        <is>
          <t>TRƯỢT ❌</t>
        </is>
      </c>
      <c r="K114" s="3" t="inlineStr">
        <is>
          <t>23, 24, 25, 53, 54, 55, 63, 64, 65</t>
        </is>
      </c>
      <c r="L114" s="6" t="inlineStr">
        <is>
          <t>TRƯỢT ❌</t>
        </is>
      </c>
      <c r="M114" s="6" t="inlineStr">
        <is>
          <t>TRƯỢT KHUNG ❌</t>
        </is>
      </c>
    </row>
    <row r="115">
      <c r="A115" s="2" t="n">
        <v>111</v>
      </c>
      <c r="B115" s="2" t="inlineStr">
        <is>
          <t>Thứ bảy ngày 25-04-2026</t>
        </is>
      </c>
      <c r="C115" s="3" t="inlineStr">
        <is>
          <t>38228</t>
        </is>
      </c>
      <c r="D115" s="3" t="inlineStr">
        <is>
          <t>28</t>
        </is>
      </c>
      <c r="E115" s="3" t="inlineStr">
        <is>
          <t>Đầu 2</t>
        </is>
      </c>
      <c r="F115" s="3" t="inlineStr">
        <is>
          <t>Đuôi 8</t>
        </is>
      </c>
      <c r="G115" s="3" t="inlineStr">
        <is>
          <t>2, 6, 0</t>
        </is>
      </c>
      <c r="H115" s="7" t="inlineStr">
        <is>
          <t>TRÚNG 🎯</t>
        </is>
      </c>
      <c r="I115" s="3" t="inlineStr">
        <is>
          <t>5, 4, 0</t>
        </is>
      </c>
      <c r="J115" s="6" t="inlineStr">
        <is>
          <t>TRƯỢT ❌</t>
        </is>
      </c>
      <c r="K115" s="3" t="inlineStr">
        <is>
          <t>00, 04, 05, 20, 24, 25, 60, 64, 65</t>
        </is>
      </c>
      <c r="L115" s="6" t="inlineStr">
        <is>
          <t>TRƯỢT ❌</t>
        </is>
      </c>
      <c r="M115" s="6" t="inlineStr">
        <is>
          <t>TRƯỢT KHUNG ❌</t>
        </is>
      </c>
    </row>
    <row r="116">
      <c r="A116" s="2" t="n">
        <v>112</v>
      </c>
      <c r="B116" s="2" t="inlineStr">
        <is>
          <t>Chủ nhật ngày 26-04-2026</t>
        </is>
      </c>
      <c r="C116" s="3" t="inlineStr">
        <is>
          <t>10059</t>
        </is>
      </c>
      <c r="D116" s="3" t="inlineStr">
        <is>
          <t>59</t>
        </is>
      </c>
      <c r="E116" s="3" t="inlineStr">
        <is>
          <t>Đầu 5</t>
        </is>
      </c>
      <c r="F116" s="3" t="inlineStr">
        <is>
          <t>Đuôi 9</t>
        </is>
      </c>
      <c r="G116" s="3" t="inlineStr">
        <is>
          <t>6, 4, 0</t>
        </is>
      </c>
      <c r="H116" s="6" t="inlineStr">
        <is>
          <t>TRƯỢT ❌</t>
        </is>
      </c>
      <c r="I116" s="3" t="inlineStr">
        <is>
          <t>5, 4, 0</t>
        </is>
      </c>
      <c r="J116" s="6" t="inlineStr">
        <is>
          <t>TRƯỢT ❌</t>
        </is>
      </c>
      <c r="K116" s="3" t="inlineStr">
        <is>
          <t>00, 04, 05, 40, 44, 45, 60, 64, 65</t>
        </is>
      </c>
      <c r="L116" s="6" t="inlineStr">
        <is>
          <t>TRƯỢT ❌</t>
        </is>
      </c>
      <c r="M116" s="6" t="inlineStr">
        <is>
          <t>TRƯỢT KHUNG ❌</t>
        </is>
      </c>
    </row>
    <row r="117">
      <c r="A117" s="2" t="n">
        <v>113</v>
      </c>
      <c r="B117" s="2" t="inlineStr">
        <is>
          <t>Thứ hai ngày 27-04-2026</t>
        </is>
      </c>
      <c r="C117" s="3" t="inlineStr">
        <is>
          <t>45254</t>
        </is>
      </c>
      <c r="D117" s="3" t="inlineStr">
        <is>
          <t>54</t>
        </is>
      </c>
      <c r="E117" s="3" t="inlineStr">
        <is>
          <t>Đầu 5</t>
        </is>
      </c>
      <c r="F117" s="3" t="inlineStr">
        <is>
          <t>Đuôi 4</t>
        </is>
      </c>
      <c r="G117" s="3" t="inlineStr">
        <is>
          <t>3, 6, 4</t>
        </is>
      </c>
      <c r="H117" s="6" t="inlineStr">
        <is>
          <t>TRƯỢT ❌</t>
        </is>
      </c>
      <c r="I117" s="3" t="inlineStr">
        <is>
          <t>5, 4, 0</t>
        </is>
      </c>
      <c r="J117" s="7" t="inlineStr">
        <is>
          <t>TRÚNG 🎯</t>
        </is>
      </c>
      <c r="K117" s="3" t="inlineStr">
        <is>
          <t>30, 34, 35, 40, 44, 45, 60, 64, 65</t>
        </is>
      </c>
      <c r="L117" s="6" t="inlineStr">
        <is>
          <t>TRƯỢT ❌</t>
        </is>
      </c>
      <c r="M117" s="6" t="inlineStr">
        <is>
          <t>TRƯỢT KHUNG ❌</t>
        </is>
      </c>
    </row>
    <row r="118">
      <c r="A118" s="2" t="n">
        <v>114</v>
      </c>
      <c r="B118" s="2" t="inlineStr">
        <is>
          <t>Thứ ba ngày 28-04-2026</t>
        </is>
      </c>
      <c r="C118" s="3" t="inlineStr">
        <is>
          <t>86569</t>
        </is>
      </c>
      <c r="D118" s="3" t="inlineStr">
        <is>
          <t>69</t>
        </is>
      </c>
      <c r="E118" s="3" t="inlineStr">
        <is>
          <t>Đầu 6</t>
        </is>
      </c>
      <c r="F118" s="3" t="inlineStr">
        <is>
          <t>Đuôi 9</t>
        </is>
      </c>
      <c r="G118" s="3" t="inlineStr">
        <is>
          <t>3, 6, 4</t>
        </is>
      </c>
      <c r="H118" s="7" t="inlineStr">
        <is>
          <t>TRÚNG 🎯</t>
        </is>
      </c>
      <c r="I118" s="3" t="inlineStr">
        <is>
          <t>5, 6, 7</t>
        </is>
      </c>
      <c r="J118" s="6" t="inlineStr">
        <is>
          <t>TRƯỢT ❌</t>
        </is>
      </c>
      <c r="K118" s="3" t="inlineStr">
        <is>
          <t>35, 36, 37, 45, 46, 47, 65, 66, 67</t>
        </is>
      </c>
      <c r="L118" s="6" t="inlineStr">
        <is>
          <t>TRƯỢT ❌</t>
        </is>
      </c>
      <c r="M118" s="7" t="inlineStr">
        <is>
          <t>TRÚNG KHUNG 🎯</t>
        </is>
      </c>
    </row>
    <row r="119">
      <c r="A119" s="2" t="n">
        <v>115</v>
      </c>
      <c r="B119" s="2" t="inlineStr">
        <is>
          <t>Thứ tư ngày 29-04-2026</t>
        </is>
      </c>
      <c r="C119" s="3" t="inlineStr">
        <is>
          <t>82075</t>
        </is>
      </c>
      <c r="D119" s="3" t="inlineStr">
        <is>
          <t>75</t>
        </is>
      </c>
      <c r="E119" s="3" t="inlineStr">
        <is>
          <t>Đầu 7</t>
        </is>
      </c>
      <c r="F119" s="3" t="inlineStr">
        <is>
          <t>Đuôi 5</t>
        </is>
      </c>
      <c r="G119" s="3" t="inlineStr">
        <is>
          <t>3, 4, 2</t>
        </is>
      </c>
      <c r="H119" s="6" t="inlineStr">
        <is>
          <t>TRƯỢT ❌</t>
        </is>
      </c>
      <c r="I119" s="3" t="inlineStr">
        <is>
          <t>5, 6, 7</t>
        </is>
      </c>
      <c r="J119" s="7" t="inlineStr">
        <is>
          <t>TRÚNG 🎯</t>
        </is>
      </c>
      <c r="K119" s="3" t="inlineStr">
        <is>
          <t>25, 26, 27, 35, 36, 37, 45, 46, 47</t>
        </is>
      </c>
      <c r="L119" s="6" t="inlineStr">
        <is>
          <t>TRƯỢT ❌</t>
        </is>
      </c>
      <c r="M119" s="7" t="inlineStr">
        <is>
          <t>TRÚNG KHUNG 🎯</t>
        </is>
      </c>
    </row>
    <row r="120">
      <c r="A120" s="2" t="n">
        <v>116</v>
      </c>
      <c r="B120" s="2" t="inlineStr">
        <is>
          <t>Thứ năm ngày 30-04-2026</t>
        </is>
      </c>
      <c r="C120" s="3" t="inlineStr">
        <is>
          <t>96637</t>
        </is>
      </c>
      <c r="D120" s="3" t="inlineStr">
        <is>
          <t>37</t>
        </is>
      </c>
      <c r="E120" s="3" t="inlineStr">
        <is>
          <t>Đầu 3</t>
        </is>
      </c>
      <c r="F120" s="3" t="inlineStr">
        <is>
          <t>Đuôi 7</t>
        </is>
      </c>
      <c r="G120" s="3" t="inlineStr">
        <is>
          <t>2, 3, 4</t>
        </is>
      </c>
      <c r="H120" s="7" t="inlineStr">
        <is>
          <t>TRÚNG 🎯</t>
        </is>
      </c>
      <c r="I120" s="3" t="inlineStr">
        <is>
          <t>6, 7, 8</t>
        </is>
      </c>
      <c r="J120" s="7" t="inlineStr">
        <is>
          <t>TRÚNG 🎯</t>
        </is>
      </c>
      <c r="K120" s="3" t="inlineStr">
        <is>
          <t>26, 27, 28, 36, 37, 38, 46, 47, 48</t>
        </is>
      </c>
      <c r="L120" s="7" t="inlineStr">
        <is>
          <t>TRÚNG 🎯</t>
        </is>
      </c>
      <c r="M120" s="7" t="inlineStr">
        <is>
          <t>TRÚNG KHUNG 🎯</t>
        </is>
      </c>
    </row>
    <row r="121">
      <c r="A121" s="2" t="n">
        <v>117</v>
      </c>
      <c r="B121" s="2" t="inlineStr">
        <is>
          <t>Thứ sáu ngày 01-05-2026</t>
        </is>
      </c>
      <c r="C121" s="3" t="inlineStr">
        <is>
          <t>16132</t>
        </is>
      </c>
      <c r="D121" s="3" t="inlineStr">
        <is>
          <t>32</t>
        </is>
      </c>
      <c r="E121" s="3" t="inlineStr">
        <is>
          <t>Đầu 3</t>
        </is>
      </c>
      <c r="F121" s="3" t="inlineStr">
        <is>
          <t>Đuôi 2</t>
        </is>
      </c>
      <c r="G121" s="3" t="inlineStr">
        <is>
          <t>2, 5, 4</t>
        </is>
      </c>
      <c r="H121" s="6" t="inlineStr">
        <is>
          <t>TRƯỢT ❌</t>
        </is>
      </c>
      <c r="I121" s="3" t="inlineStr">
        <is>
          <t>6, 8, 5</t>
        </is>
      </c>
      <c r="J121" s="6" t="inlineStr">
        <is>
          <t>TRƯỢT ❌</t>
        </is>
      </c>
      <c r="K121" s="3" t="inlineStr">
        <is>
          <t>25, 26, 28, 45, 46, 48, 55, 56, 58</t>
        </is>
      </c>
      <c r="L121" s="6" t="inlineStr">
        <is>
          <t>TRƯỢT ❌</t>
        </is>
      </c>
      <c r="M121" s="6" t="inlineStr">
        <is>
          <t>TRƯỢT KHUNG ❌</t>
        </is>
      </c>
    </row>
    <row r="122">
      <c r="A122" s="2" t="n">
        <v>118</v>
      </c>
      <c r="B122" s="2" t="inlineStr">
        <is>
          <t>Thứ bảy ngày 02-05-2026</t>
        </is>
      </c>
      <c r="C122" s="3" t="inlineStr">
        <is>
          <t>32964</t>
        </is>
      </c>
      <c r="D122" s="3" t="inlineStr">
        <is>
          <t>64</t>
        </is>
      </c>
      <c r="E122" s="3" t="inlineStr">
        <is>
          <t>Đầu 6</t>
        </is>
      </c>
      <c r="F122" s="3" t="inlineStr">
        <is>
          <t>Đuôi 4</t>
        </is>
      </c>
      <c r="G122" s="3" t="inlineStr">
        <is>
          <t>5, 2, 4</t>
        </is>
      </c>
      <c r="H122" s="6" t="inlineStr">
        <is>
          <t>TRƯỢT ❌</t>
        </is>
      </c>
      <c r="I122" s="3" t="inlineStr">
        <is>
          <t>4, 5, 8</t>
        </is>
      </c>
      <c r="J122" s="7" t="inlineStr">
        <is>
          <t>TRÚNG 🎯</t>
        </is>
      </c>
      <c r="K122" s="3" t="inlineStr">
        <is>
          <t>24, 25, 28, 44, 45, 48, 54, 55, 58</t>
        </is>
      </c>
      <c r="L122" s="6" t="inlineStr">
        <is>
          <t>TRƯỢT ❌</t>
        </is>
      </c>
      <c r="M122" s="6" t="inlineStr">
        <is>
          <t>TRƯỢT KHUNG ❌</t>
        </is>
      </c>
    </row>
    <row r="123">
      <c r="A123" s="2" t="n">
        <v>119</v>
      </c>
      <c r="B123" s="2" t="inlineStr">
        <is>
          <t>Chủ nhật ngày 03-05-2026</t>
        </is>
      </c>
      <c r="C123" s="3" t="inlineStr">
        <is>
          <t>11251</t>
        </is>
      </c>
      <c r="D123" s="3" t="inlineStr">
        <is>
          <t>51</t>
        </is>
      </c>
      <c r="E123" s="3" t="inlineStr">
        <is>
          <t>Đầu 5</t>
        </is>
      </c>
      <c r="F123" s="3" t="inlineStr">
        <is>
          <t>Đuôi 1</t>
        </is>
      </c>
      <c r="G123" s="3" t="inlineStr">
        <is>
          <t>5, 2, 3</t>
        </is>
      </c>
      <c r="H123" s="7" t="inlineStr">
        <is>
          <t>TRÚNG 🎯</t>
        </is>
      </c>
      <c r="I123" s="3" t="inlineStr">
        <is>
          <t>5, 8, 9</t>
        </is>
      </c>
      <c r="J123" s="6" t="inlineStr">
        <is>
          <t>TRƯỢT ❌</t>
        </is>
      </c>
      <c r="K123" s="3" t="inlineStr">
        <is>
          <t>25, 28, 29, 35, 38, 39, 55, 58, 59</t>
        </is>
      </c>
      <c r="L123" s="6" t="inlineStr">
        <is>
          <t>TRƯỢT ❌</t>
        </is>
      </c>
      <c r="M123" s="6" t="inlineStr">
        <is>
          <t>TRƯỢT KHUNG ❌</t>
        </is>
      </c>
    </row>
    <row r="124">
      <c r="A124" s="2" t="n">
        <v>120</v>
      </c>
      <c r="B124" s="2" t="inlineStr">
        <is>
          <t>Thứ hai ngày 04-05-2026</t>
        </is>
      </c>
      <c r="C124" s="3" t="inlineStr">
        <is>
          <t>22512</t>
        </is>
      </c>
      <c r="D124" s="3" t="inlineStr">
        <is>
          <t>12</t>
        </is>
      </c>
      <c r="E124" s="3" t="inlineStr">
        <is>
          <t>Đầu 1</t>
        </is>
      </c>
      <c r="F124" s="3" t="inlineStr">
        <is>
          <t>Đuôi 2</t>
        </is>
      </c>
      <c r="G124" s="3" t="inlineStr">
        <is>
          <t>2, 7, 3</t>
        </is>
      </c>
      <c r="H124" s="6" t="inlineStr">
        <is>
          <t>TRƯỢT ❌</t>
        </is>
      </c>
      <c r="I124" s="3" t="inlineStr">
        <is>
          <t>5, 9, 6</t>
        </is>
      </c>
      <c r="J124" s="6" t="inlineStr">
        <is>
          <t>TRƯỢT ❌</t>
        </is>
      </c>
      <c r="K124" s="3" t="inlineStr">
        <is>
          <t>25, 26, 29, 35, 36, 39, 75, 76, 79</t>
        </is>
      </c>
      <c r="L124" s="6" t="inlineStr">
        <is>
          <t>TRƯỢT ❌</t>
        </is>
      </c>
      <c r="M124" s="6" t="inlineStr">
        <is>
          <t>TRƯỢT KHUNG ❌</t>
        </is>
      </c>
    </row>
    <row r="125">
      <c r="A125" s="2" t="n">
        <v>121</v>
      </c>
      <c r="B125" s="2" t="inlineStr">
        <is>
          <t>Thứ ba ngày 05-05-2026</t>
        </is>
      </c>
      <c r="C125" s="3" t="inlineStr">
        <is>
          <t>80241</t>
        </is>
      </c>
      <c r="D125" s="3" t="inlineStr">
        <is>
          <t>41</t>
        </is>
      </c>
      <c r="E125" s="3" t="inlineStr">
        <is>
          <t>Đầu 4</t>
        </is>
      </c>
      <c r="F125" s="3" t="inlineStr">
        <is>
          <t>Đuôi 1</t>
        </is>
      </c>
      <c r="G125" s="3" t="inlineStr">
        <is>
          <t>2, 7, 3</t>
        </is>
      </c>
      <c r="H125" s="6" t="inlineStr">
        <is>
          <t>TRƯỢT ❌</t>
        </is>
      </c>
      <c r="I125" s="3" t="inlineStr">
        <is>
          <t>5, 7, 9</t>
        </is>
      </c>
      <c r="J125" s="6" t="inlineStr">
        <is>
          <t>TRƯỢT ❌</t>
        </is>
      </c>
      <c r="K125" s="3" t="inlineStr">
        <is>
          <t>25, 27, 29, 35, 37, 39, 75, 77, 79</t>
        </is>
      </c>
      <c r="L125" s="6" t="inlineStr">
        <is>
          <t>TRƯỢT ❌</t>
        </is>
      </c>
      <c r="M125" s="6" t="inlineStr">
        <is>
          <t>TRƯỢT KHUNG ❌</t>
        </is>
      </c>
    </row>
    <row r="126">
      <c r="A126" s="2" t="n">
        <v>122</v>
      </c>
      <c r="B126" s="2" t="inlineStr">
        <is>
          <t>Thứ tư ngày 06-05-2026</t>
        </is>
      </c>
      <c r="C126" s="3" t="inlineStr">
        <is>
          <t>14540</t>
        </is>
      </c>
      <c r="D126" s="3" t="inlineStr">
        <is>
          <t>40</t>
        </is>
      </c>
      <c r="E126" s="3" t="inlineStr">
        <is>
          <t>Đầu 4</t>
        </is>
      </c>
      <c r="F126" s="3" t="inlineStr">
        <is>
          <t>Đuôi 0</t>
        </is>
      </c>
      <c r="G126" s="3" t="inlineStr">
        <is>
          <t>3, 2, 7</t>
        </is>
      </c>
      <c r="H126" s="6" t="inlineStr">
        <is>
          <t>TRƯỢT ❌</t>
        </is>
      </c>
      <c r="I126" s="3" t="inlineStr">
        <is>
          <t>5, 7, 9</t>
        </is>
      </c>
      <c r="J126" s="6" t="inlineStr">
        <is>
          <t>TRƯỢT ❌</t>
        </is>
      </c>
      <c r="K126" s="3" t="inlineStr">
        <is>
          <t>25, 27, 29, 35, 37, 39, 75, 77, 79</t>
        </is>
      </c>
      <c r="L126" s="6" t="inlineStr">
        <is>
          <t>TRƯỢT ❌</t>
        </is>
      </c>
      <c r="M126" s="6" t="inlineStr">
        <is>
          <t>TRƯỢT KHUNG ❌</t>
        </is>
      </c>
    </row>
    <row r="127">
      <c r="A127" s="2" t="n">
        <v>123</v>
      </c>
      <c r="B127" s="2" t="inlineStr">
        <is>
          <t>Thứ năm ngày 07-05-2026</t>
        </is>
      </c>
      <c r="C127" s="3" t="inlineStr">
        <is>
          <t>29147</t>
        </is>
      </c>
      <c r="D127" s="3" t="inlineStr">
        <is>
          <t>47</t>
        </is>
      </c>
      <c r="E127" s="3" t="inlineStr">
        <is>
          <t>Đầu 4</t>
        </is>
      </c>
      <c r="F127" s="3" t="inlineStr">
        <is>
          <t>Đuôi 7</t>
        </is>
      </c>
      <c r="G127" s="3" t="inlineStr">
        <is>
          <t>3, 2, 6</t>
        </is>
      </c>
      <c r="H127" s="6" t="inlineStr">
        <is>
          <t>TRƯỢT ❌</t>
        </is>
      </c>
      <c r="I127" s="3" t="inlineStr">
        <is>
          <t>5, 4, 7</t>
        </is>
      </c>
      <c r="J127" s="7" t="inlineStr">
        <is>
          <t>TRÚNG 🎯</t>
        </is>
      </c>
      <c r="K127" s="3" t="inlineStr">
        <is>
          <t>24, 25, 27, 34, 35, 37, 64, 65, 67</t>
        </is>
      </c>
      <c r="L127" s="6" t="inlineStr">
        <is>
          <t>TRƯỢT ❌</t>
        </is>
      </c>
      <c r="M127" s="6" t="inlineStr">
        <is>
          <t>TRƯỢT KHUNG ❌</t>
        </is>
      </c>
    </row>
    <row r="128">
      <c r="A128" s="2" t="n">
        <v>124</v>
      </c>
      <c r="B128" s="2" t="inlineStr">
        <is>
          <t>Thứ sáu ngày 08-05-2026</t>
        </is>
      </c>
      <c r="C128" s="3" t="inlineStr">
        <is>
          <t>26192</t>
        </is>
      </c>
      <c r="D128" s="3" t="inlineStr">
        <is>
          <t>92</t>
        </is>
      </c>
      <c r="E128" s="3" t="inlineStr">
        <is>
          <t>Đầu 9</t>
        </is>
      </c>
      <c r="F128" s="3" t="inlineStr">
        <is>
          <t>Đuôi 2</t>
        </is>
      </c>
      <c r="G128" s="3" t="inlineStr">
        <is>
          <t>3, 5, 2</t>
        </is>
      </c>
      <c r="H128" s="6" t="inlineStr">
        <is>
          <t>TRƯỢT ❌</t>
        </is>
      </c>
      <c r="I128" s="3" t="inlineStr">
        <is>
          <t>5, 4, 8</t>
        </is>
      </c>
      <c r="J128" s="6" t="inlineStr">
        <is>
          <t>TRƯỢT ❌</t>
        </is>
      </c>
      <c r="K128" s="3" t="inlineStr">
        <is>
          <t>24, 25, 28, 34, 35, 38, 54, 55, 58</t>
        </is>
      </c>
      <c r="L128" s="6" t="inlineStr">
        <is>
          <t>TRƯỢT ❌</t>
        </is>
      </c>
      <c r="M128" s="6" t="inlineStr">
        <is>
          <t>TRƯỢT KHUNG ❌</t>
        </is>
      </c>
    </row>
    <row r="129">
      <c r="A129" s="2" t="n">
        <v>125</v>
      </c>
      <c r="B129" s="2" t="inlineStr">
        <is>
          <t>Thứ bảy ngày 09-05-2026</t>
        </is>
      </c>
      <c r="C129" s="3" t="inlineStr">
        <is>
          <t>76223</t>
        </is>
      </c>
      <c r="D129" s="3" t="inlineStr">
        <is>
          <t>23</t>
        </is>
      </c>
      <c r="E129" s="3" t="inlineStr">
        <is>
          <t>Đầu 2</t>
        </is>
      </c>
      <c r="F129" s="3" t="inlineStr">
        <is>
          <t>Đuôi 3</t>
        </is>
      </c>
      <c r="G129" s="3" t="inlineStr">
        <is>
          <t>3, 5, 1</t>
        </is>
      </c>
      <c r="H129" s="6" t="inlineStr">
        <is>
          <t>TRƯỢT ❌</t>
        </is>
      </c>
      <c r="I129" s="3" t="inlineStr">
        <is>
          <t>4, 5, 8</t>
        </is>
      </c>
      <c r="J129" s="6" t="inlineStr">
        <is>
          <t>TRƯỢT ❌</t>
        </is>
      </c>
      <c r="K129" s="3" t="inlineStr">
        <is>
          <t>14, 15, 18, 34, 35, 38, 54, 55, 58</t>
        </is>
      </c>
      <c r="L129" s="6" t="inlineStr">
        <is>
          <t>TRƯỢT ❌</t>
        </is>
      </c>
      <c r="M129" s="6" t="inlineStr">
        <is>
          <t>TRƯỢT KHUNG ❌</t>
        </is>
      </c>
    </row>
    <row r="130">
      <c r="A130" s="2" t="n">
        <v>126</v>
      </c>
      <c r="B130" s="2" t="inlineStr">
        <is>
          <t>Chủ nhật ngày 10-05-2026</t>
        </is>
      </c>
      <c r="C130" s="3" t="inlineStr">
        <is>
          <t>52117</t>
        </is>
      </c>
      <c r="D130" s="3" t="inlineStr">
        <is>
          <t>17</t>
        </is>
      </c>
      <c r="E130" s="3" t="inlineStr">
        <is>
          <t>Đầu 1</t>
        </is>
      </c>
      <c r="F130" s="3" t="inlineStr">
        <is>
          <t>Đuôi 7</t>
        </is>
      </c>
      <c r="G130" s="3" t="inlineStr">
        <is>
          <t>3, 5, 1</t>
        </is>
      </c>
      <c r="H130" s="7" t="inlineStr">
        <is>
          <t>TRÚNG 🎯</t>
        </is>
      </c>
      <c r="I130" s="3" t="inlineStr">
        <is>
          <t>4, 5, 8</t>
        </is>
      </c>
      <c r="J130" s="6" t="inlineStr">
        <is>
          <t>TRƯỢT ❌</t>
        </is>
      </c>
      <c r="K130" s="3" t="inlineStr">
        <is>
          <t>14, 15, 18, 34, 35, 38, 54, 55, 58</t>
        </is>
      </c>
      <c r="L130" s="6" t="inlineStr">
        <is>
          <t>TRƯỢT ❌</t>
        </is>
      </c>
      <c r="M130" s="7" t="inlineStr">
        <is>
          <t>TRÚNG KHUNG 🎯</t>
        </is>
      </c>
    </row>
    <row r="131">
      <c r="A131" s="2" t="n">
        <v>127</v>
      </c>
      <c r="B131" s="2" t="inlineStr">
        <is>
          <t>Thứ hai ngày 11-05-2026</t>
        </is>
      </c>
      <c r="C131" s="3" t="inlineStr">
        <is>
          <t>52233</t>
        </is>
      </c>
      <c r="D131" s="3" t="inlineStr">
        <is>
          <t>33</t>
        </is>
      </c>
      <c r="E131" s="3" t="inlineStr">
        <is>
          <t>Đầu 3</t>
        </is>
      </c>
      <c r="F131" s="3" t="inlineStr">
        <is>
          <t>Đuôi 3</t>
        </is>
      </c>
      <c r="G131" s="3" t="inlineStr">
        <is>
          <t>3, 5, 4</t>
        </is>
      </c>
      <c r="H131" s="7" t="inlineStr">
        <is>
          <t>TRÚNG 🎯</t>
        </is>
      </c>
      <c r="I131" s="3" t="inlineStr">
        <is>
          <t>5, 4, 8</t>
        </is>
      </c>
      <c r="J131" s="6" t="inlineStr">
        <is>
          <t>TRƯỢT ❌</t>
        </is>
      </c>
      <c r="K131" s="3" t="inlineStr">
        <is>
          <t>34, 35, 38, 44, 45, 48, 54, 55, 58</t>
        </is>
      </c>
      <c r="L131" s="6" t="inlineStr">
        <is>
          <t>TRƯỢT ❌</t>
        </is>
      </c>
      <c r="M131" s="7" t="inlineStr">
        <is>
          <t>TRÚNG KHUNG 🎯</t>
        </is>
      </c>
    </row>
    <row r="132">
      <c r="A132" s="2" t="n">
        <v>128</v>
      </c>
      <c r="B132" s="2" t="inlineStr">
        <is>
          <t>Thứ ba ngày 12-05-2026</t>
        </is>
      </c>
      <c r="C132" s="3" t="inlineStr">
        <is>
          <t>64138</t>
        </is>
      </c>
      <c r="D132" s="3" t="inlineStr">
        <is>
          <t>38</t>
        </is>
      </c>
      <c r="E132" s="3" t="inlineStr">
        <is>
          <t>Đầu 3</t>
        </is>
      </c>
      <c r="F132" s="3" t="inlineStr">
        <is>
          <t>Đuôi 8</t>
        </is>
      </c>
      <c r="G132" s="3" t="inlineStr">
        <is>
          <t>4, 5, 6</t>
        </is>
      </c>
      <c r="H132" s="6" t="inlineStr">
        <is>
          <t>TRƯỢT ❌</t>
        </is>
      </c>
      <c r="I132" s="3" t="inlineStr">
        <is>
          <t>5, 4, 9</t>
        </is>
      </c>
      <c r="J132" s="6" t="inlineStr">
        <is>
          <t>TRƯỢT ❌</t>
        </is>
      </c>
      <c r="K132" s="3" t="inlineStr">
        <is>
          <t>44, 45, 49, 54, 55, 59, 64, 65, 69</t>
        </is>
      </c>
      <c r="L132" s="6" t="inlineStr">
        <is>
          <t>TRƯỢT ❌</t>
        </is>
      </c>
      <c r="M132" s="7" t="inlineStr">
        <is>
          <t>TRÚNG KHUNG 🎯</t>
        </is>
      </c>
    </row>
    <row r="133">
      <c r="A133" s="2" t="n">
        <v>129</v>
      </c>
      <c r="B133" s="2" t="inlineStr">
        <is>
          <t>Thứ tư ngày 13-05-2026</t>
        </is>
      </c>
      <c r="C133" s="3" t="inlineStr">
        <is>
          <t>76669</t>
        </is>
      </c>
      <c r="D133" s="3" t="inlineStr">
        <is>
          <t>69</t>
        </is>
      </c>
      <c r="E133" s="3" t="inlineStr">
        <is>
          <t>Đầu 6</t>
        </is>
      </c>
      <c r="F133" s="3" t="inlineStr">
        <is>
          <t>Đuôi 9</t>
        </is>
      </c>
      <c r="G133" s="3" t="inlineStr">
        <is>
          <t>4, 5, 6</t>
        </is>
      </c>
      <c r="H133" s="7" t="inlineStr">
        <is>
          <t>TRÚNG 🎯</t>
        </is>
      </c>
      <c r="I133" s="3" t="inlineStr">
        <is>
          <t>5, 2, 4</t>
        </is>
      </c>
      <c r="J133" s="6" t="inlineStr">
        <is>
          <t>TRƯỢT ❌</t>
        </is>
      </c>
      <c r="K133" s="3" t="inlineStr">
        <is>
          <t>42, 44, 45, 52, 54, 55, 62, 64, 65</t>
        </is>
      </c>
      <c r="L133" s="6" t="inlineStr">
        <is>
          <t>TRƯỢT ❌</t>
        </is>
      </c>
      <c r="M133" s="6" t="inlineStr">
        <is>
          <t>TRƯỢT KHUNG ❌</t>
        </is>
      </c>
    </row>
    <row r="134">
      <c r="A134" s="2" t="n">
        <v>130</v>
      </c>
      <c r="B134" s="2" t="inlineStr">
        <is>
          <t>Thứ năm ngày 14-05-2026</t>
        </is>
      </c>
      <c r="C134" s="3" t="inlineStr">
        <is>
          <t>67294</t>
        </is>
      </c>
      <c r="D134" s="3" t="inlineStr">
        <is>
          <t>94</t>
        </is>
      </c>
      <c r="E134" s="3" t="inlineStr">
        <is>
          <t>Đầu 9</t>
        </is>
      </c>
      <c r="F134" s="3" t="inlineStr">
        <is>
          <t>Đuôi 4</t>
        </is>
      </c>
      <c r="G134" s="3" t="inlineStr">
        <is>
          <t>4, 5, 2</t>
        </is>
      </c>
      <c r="H134" s="6" t="inlineStr">
        <is>
          <t>TRƯỢT ❌</t>
        </is>
      </c>
      <c r="I134" s="3" t="inlineStr">
        <is>
          <t>5, 2, 7</t>
        </is>
      </c>
      <c r="J134" s="6" t="inlineStr">
        <is>
          <t>TRƯỢT ❌</t>
        </is>
      </c>
      <c r="K134" s="3" t="inlineStr">
        <is>
          <t>22, 25, 27, 42, 45, 47, 52, 55, 57</t>
        </is>
      </c>
      <c r="L134" s="6" t="inlineStr">
        <is>
          <t>TRƯỢT ❌</t>
        </is>
      </c>
      <c r="M134" s="6" t="inlineStr">
        <is>
          <t>TRƯỢT KHUNG ❌</t>
        </is>
      </c>
    </row>
    <row r="135">
      <c r="A135" s="2" t="n">
        <v>131</v>
      </c>
      <c r="B135" s="2" t="inlineStr">
        <is>
          <t>Thứ sáu ngày 15-05-2026</t>
        </is>
      </c>
      <c r="C135" s="3" t="inlineStr">
        <is>
          <t>19404</t>
        </is>
      </c>
      <c r="D135" s="3" t="inlineStr">
        <is>
          <t>04</t>
        </is>
      </c>
      <c r="E135" s="3" t="inlineStr">
        <is>
          <t>Đầu 0</t>
        </is>
      </c>
      <c r="F135" s="3" t="inlineStr">
        <is>
          <t>Đuôi 4</t>
        </is>
      </c>
      <c r="G135" s="3" t="inlineStr">
        <is>
          <t>4, 3, 5</t>
        </is>
      </c>
      <c r="H135" s="6" t="inlineStr">
        <is>
          <t>TRƯỢT ❌</t>
        </is>
      </c>
      <c r="I135" s="3" t="inlineStr">
        <is>
          <t>7, 5, 2</t>
        </is>
      </c>
      <c r="J135" s="6" t="inlineStr">
        <is>
          <t>TRƯỢT ❌</t>
        </is>
      </c>
      <c r="K135" s="3" t="inlineStr">
        <is>
          <t>32, 35, 37, 42, 45, 47, 52, 55, 57</t>
        </is>
      </c>
      <c r="L135" s="6" t="inlineStr">
        <is>
          <t>TRƯỢT ❌</t>
        </is>
      </c>
      <c r="M135" s="6" t="inlineStr">
        <is>
          <t>TRƯỢT KHUNG ❌</t>
        </is>
      </c>
    </row>
    <row r="136">
      <c r="A136" s="2" t="n">
        <v>132</v>
      </c>
      <c r="B136" s="2" t="inlineStr">
        <is>
          <t>Thứ bảy ngày 16-05-2026</t>
        </is>
      </c>
      <c r="C136" s="3" t="inlineStr">
        <is>
          <t>96684</t>
        </is>
      </c>
      <c r="D136" s="3" t="inlineStr">
        <is>
          <t>84</t>
        </is>
      </c>
      <c r="E136" s="3" t="inlineStr">
        <is>
          <t>Đầu 8</t>
        </is>
      </c>
      <c r="F136" s="3" t="inlineStr">
        <is>
          <t>Đuôi 4</t>
        </is>
      </c>
      <c r="G136" s="3" t="inlineStr">
        <is>
          <t>4, 5, 1</t>
        </is>
      </c>
      <c r="H136" s="6" t="inlineStr">
        <is>
          <t>TRƯỢT ❌</t>
        </is>
      </c>
      <c r="I136" s="3" t="inlineStr">
        <is>
          <t>7, 2, 3</t>
        </is>
      </c>
      <c r="J136" s="6" t="inlineStr">
        <is>
          <t>TRƯỢT ❌</t>
        </is>
      </c>
      <c r="K136" s="3" t="inlineStr">
        <is>
          <t>12, 13, 17, 42, 43, 47, 52, 53, 57</t>
        </is>
      </c>
      <c r="L136" s="6" t="inlineStr">
        <is>
          <t>TRƯỢT ❌</t>
        </is>
      </c>
      <c r="M136" s="6" t="inlineStr">
        <is>
          <t>TRƯỢT KHUNG ❌</t>
        </is>
      </c>
    </row>
    <row r="137">
      <c r="A137" s="2" t="n">
        <v>133</v>
      </c>
      <c r="B137" s="2" t="inlineStr">
        <is>
          <t>Chủ nhật ngày 17-05-2026</t>
        </is>
      </c>
      <c r="C137" s="3" t="inlineStr">
        <is>
          <t>55361</t>
        </is>
      </c>
      <c r="D137" s="3" t="inlineStr">
        <is>
          <t>61</t>
        </is>
      </c>
      <c r="E137" s="3" t="inlineStr">
        <is>
          <t>Đầu 6</t>
        </is>
      </c>
      <c r="F137" s="3" t="inlineStr">
        <is>
          <t>Đuôi 1</t>
        </is>
      </c>
      <c r="G137" s="3" t="inlineStr">
        <is>
          <t>3, 4, 1</t>
        </is>
      </c>
      <c r="H137" s="6" t="inlineStr">
        <is>
          <t>TRƯỢT ❌</t>
        </is>
      </c>
      <c r="I137" s="3" t="inlineStr">
        <is>
          <t>7, 3, 8</t>
        </is>
      </c>
      <c r="J137" s="6" t="inlineStr">
        <is>
          <t>TRƯỢT ❌</t>
        </is>
      </c>
      <c r="K137" s="3" t="inlineStr">
        <is>
          <t>13, 17, 18, 33, 37, 38, 43, 47, 48</t>
        </is>
      </c>
      <c r="L137" s="6" t="inlineStr">
        <is>
          <t>TRƯỢT ❌</t>
        </is>
      </c>
      <c r="M137" s="6" t="inlineStr">
        <is>
          <t>TRƯỢT KHUNG ❌</t>
        </is>
      </c>
    </row>
    <row r="138">
      <c r="A138" s="2" t="n">
        <v>134</v>
      </c>
      <c r="B138" s="2" t="inlineStr">
        <is>
          <t>Thứ hai ngày 18-05-2026</t>
        </is>
      </c>
      <c r="C138" s="3" t="inlineStr">
        <is>
          <t>81754</t>
        </is>
      </c>
      <c r="D138" s="3" t="inlineStr">
        <is>
          <t>54</t>
        </is>
      </c>
      <c r="E138" s="3" t="inlineStr">
        <is>
          <t>Đầu 5</t>
        </is>
      </c>
      <c r="F138" s="3" t="inlineStr">
        <is>
          <t>Đuôi 4</t>
        </is>
      </c>
      <c r="G138" s="3" t="inlineStr">
        <is>
          <t>3, 4, 1</t>
        </is>
      </c>
      <c r="H138" s="6" t="inlineStr">
        <is>
          <t>TRƯỢT ❌</t>
        </is>
      </c>
      <c r="I138" s="3" t="inlineStr">
        <is>
          <t>7, 9, 8</t>
        </is>
      </c>
      <c r="J138" s="6" t="inlineStr">
        <is>
          <t>TRƯỢT ❌</t>
        </is>
      </c>
      <c r="K138" s="3" t="inlineStr">
        <is>
          <t>17, 18, 19, 37, 38, 39, 47, 48, 49</t>
        </is>
      </c>
      <c r="L138" s="6" t="inlineStr">
        <is>
          <t>TRƯỢT ❌</t>
        </is>
      </c>
      <c r="M138" s="6" t="inlineStr">
        <is>
          <t>TRƯỢT KHUNG ❌</t>
        </is>
      </c>
    </row>
    <row r="139">
      <c r="A139" s="2" t="n">
        <v>135</v>
      </c>
      <c r="B139" s="2" t="inlineStr">
        <is>
          <t>Thứ ba ngày 19-05-2026</t>
        </is>
      </c>
      <c r="C139" s="3" t="inlineStr">
        <is>
          <t>88568</t>
        </is>
      </c>
      <c r="D139" s="3" t="inlineStr">
        <is>
          <t>68</t>
        </is>
      </c>
      <c r="E139" s="3" t="inlineStr">
        <is>
          <t>Đầu 6</t>
        </is>
      </c>
      <c r="F139" s="3" t="inlineStr">
        <is>
          <t>Đuôi 8</t>
        </is>
      </c>
      <c r="G139" s="3" t="inlineStr">
        <is>
          <t>3, 4, 9</t>
        </is>
      </c>
      <c r="H139" s="6" t="inlineStr">
        <is>
          <t>TRƯỢT ❌</t>
        </is>
      </c>
      <c r="I139" s="3" t="inlineStr">
        <is>
          <t>7, 9, 8</t>
        </is>
      </c>
      <c r="J139" s="7" t="inlineStr">
        <is>
          <t>TRÚNG 🎯</t>
        </is>
      </c>
      <c r="K139" s="3" t="inlineStr">
        <is>
          <t>37, 38, 39, 47, 48, 49, 97, 98, 99</t>
        </is>
      </c>
      <c r="L139" s="6" t="inlineStr">
        <is>
          <t>TRƯỢT ❌</t>
        </is>
      </c>
      <c r="M139" s="7" t="inlineStr">
        <is>
          <t>TRÚNG KHUNG 🎯</t>
        </is>
      </c>
    </row>
    <row r="140">
      <c r="A140" s="2" t="n">
        <v>136</v>
      </c>
      <c r="B140" s="2" t="inlineStr">
        <is>
          <t>Thứ tư ngày 20-05-2026</t>
        </is>
      </c>
      <c r="C140" s="3" t="inlineStr">
        <is>
          <t>72685</t>
        </is>
      </c>
      <c r="D140" s="3" t="inlineStr">
        <is>
          <t>85</t>
        </is>
      </c>
      <c r="E140" s="3" t="inlineStr">
        <is>
          <t>Đầu 8</t>
        </is>
      </c>
      <c r="F140" s="3" t="inlineStr">
        <is>
          <t>Đuôi 5</t>
        </is>
      </c>
      <c r="G140" s="3" t="inlineStr">
        <is>
          <t>3, 4, 1</t>
        </is>
      </c>
      <c r="H140" s="6" t="inlineStr">
        <is>
          <t>TRƯỢT ❌</t>
        </is>
      </c>
      <c r="I140" s="3" t="inlineStr">
        <is>
          <t>9, 7, 4</t>
        </is>
      </c>
      <c r="J140" s="6" t="inlineStr">
        <is>
          <t>TRƯỢT ❌</t>
        </is>
      </c>
      <c r="K140" s="3" t="inlineStr">
        <is>
          <t>14, 17, 19, 34, 37, 39, 44, 47, 49</t>
        </is>
      </c>
      <c r="L140" s="6" t="inlineStr">
        <is>
          <t>TRƯỢT ❌</t>
        </is>
      </c>
      <c r="M140" s="7" t="inlineStr">
        <is>
          <t>TRÚNG KHUNG 🎯</t>
        </is>
      </c>
    </row>
    <row r="141">
      <c r="A141" s="2" t="n">
        <v>137</v>
      </c>
      <c r="B141" s="2" t="inlineStr">
        <is>
          <t>Thứ năm ngày 21-05-2026</t>
        </is>
      </c>
      <c r="C141" s="3" t="inlineStr">
        <is>
          <t>72939</t>
        </is>
      </c>
      <c r="D141" s="3" t="inlineStr">
        <is>
          <t>39</t>
        </is>
      </c>
      <c r="E141" s="3" t="inlineStr">
        <is>
          <t>Đầu 3</t>
        </is>
      </c>
      <c r="F141" s="3" t="inlineStr">
        <is>
          <t>Đuôi 9</t>
        </is>
      </c>
      <c r="G141" s="3" t="inlineStr">
        <is>
          <t>3, 4, 1</t>
        </is>
      </c>
      <c r="H141" s="7" t="inlineStr">
        <is>
          <t>TRÚNG 🎯</t>
        </is>
      </c>
      <c r="I141" s="3" t="inlineStr">
        <is>
          <t>9, 4, 7</t>
        </is>
      </c>
      <c r="J141" s="7" t="inlineStr">
        <is>
          <t>TRÚNG 🎯</t>
        </is>
      </c>
      <c r="K141" s="3" t="inlineStr">
        <is>
          <t>14, 17, 19, 34, 37, 39, 44, 47, 49</t>
        </is>
      </c>
      <c r="L141" s="7" t="inlineStr">
        <is>
          <t>TRÚNG 🎯</t>
        </is>
      </c>
      <c r="M141" s="7" t="inlineStr">
        <is>
          <t>TRÚNG KHUNG 🎯</t>
        </is>
      </c>
    </row>
    <row r="142">
      <c r="A142" s="2" t="n">
        <v>138</v>
      </c>
      <c r="B142" s="2" t="inlineStr">
        <is>
          <t>Thứ sáu ngày 22-05-2026</t>
        </is>
      </c>
      <c r="C142" s="3" t="inlineStr">
        <is>
          <t>38021</t>
        </is>
      </c>
      <c r="D142" s="3" t="inlineStr">
        <is>
          <t>21</t>
        </is>
      </c>
      <c r="E142" s="3" t="inlineStr">
        <is>
          <t>Đầu 2</t>
        </is>
      </c>
      <c r="F142" s="3" t="inlineStr">
        <is>
          <t>Đuôi 1</t>
        </is>
      </c>
      <c r="G142" s="3" t="inlineStr">
        <is>
          <t>1, 4, 6</t>
        </is>
      </c>
      <c r="H142" s="6" t="inlineStr">
        <is>
          <t>TRƯỢT ❌</t>
        </is>
      </c>
      <c r="I142" s="3" t="inlineStr">
        <is>
          <t>4, 7, 1</t>
        </is>
      </c>
      <c r="J142" s="7" t="inlineStr">
        <is>
          <t>TRÚNG 🎯</t>
        </is>
      </c>
      <c r="K142" s="3" t="inlineStr">
        <is>
          <t>11, 14, 17, 41, 44, 47, 61, 64, 67</t>
        </is>
      </c>
      <c r="L142" s="6" t="inlineStr">
        <is>
          <t>TRƯỢT ❌</t>
        </is>
      </c>
      <c r="M142" s="6" t="inlineStr">
        <is>
          <t>TRƯỢT KHUNG ❌</t>
        </is>
      </c>
    </row>
    <row r="143">
      <c r="A143" s="2" t="n">
        <v>139</v>
      </c>
      <c r="B143" s="2" t="inlineStr">
        <is>
          <t>Thứ bảy ngày 23-05-2026</t>
        </is>
      </c>
      <c r="C143" s="3" t="inlineStr">
        <is>
          <t>20104</t>
        </is>
      </c>
      <c r="D143" s="3" t="inlineStr">
        <is>
          <t>04</t>
        </is>
      </c>
      <c r="E143" s="3" t="inlineStr">
        <is>
          <t>Đầu 0</t>
        </is>
      </c>
      <c r="F143" s="3" t="inlineStr">
        <is>
          <t>Đuôi 4</t>
        </is>
      </c>
      <c r="G143" s="3" t="inlineStr">
        <is>
          <t>5, 6, 1</t>
        </is>
      </c>
      <c r="H143" s="6" t="inlineStr">
        <is>
          <t>TRƯỢT ❌</t>
        </is>
      </c>
      <c r="I143" s="3" t="inlineStr">
        <is>
          <t>4, 7, 2</t>
        </is>
      </c>
      <c r="J143" s="7" t="inlineStr">
        <is>
          <t>TRÚNG 🎯</t>
        </is>
      </c>
      <c r="K143" s="3" t="inlineStr">
        <is>
          <t>12, 14, 17, 52, 54, 57, 62, 64, 67</t>
        </is>
      </c>
      <c r="L143" s="6" t="inlineStr">
        <is>
          <t>TRƯỢT ❌</t>
        </is>
      </c>
      <c r="M143" s="6" t="inlineStr">
        <is>
          <t>TRƯỢT KHUNG ❌</t>
        </is>
      </c>
    </row>
    <row r="144">
      <c r="A144" s="2" t="n">
        <v>140</v>
      </c>
      <c r="B144" s="2" t="inlineStr">
        <is>
          <t>Chủ nhật ngày 24-05-2026</t>
        </is>
      </c>
      <c r="C144" s="3" t="inlineStr">
        <is>
          <t>97281</t>
        </is>
      </c>
      <c r="D144" s="3" t="inlineStr">
        <is>
          <t>81</t>
        </is>
      </c>
      <c r="E144" s="3" t="inlineStr">
        <is>
          <t>Đầu 8</t>
        </is>
      </c>
      <c r="F144" s="3" t="inlineStr">
        <is>
          <t>Đuôi 1</t>
        </is>
      </c>
      <c r="G144" s="3" t="inlineStr">
        <is>
          <t>6, 5, 1</t>
        </is>
      </c>
      <c r="H144" s="6" t="inlineStr">
        <is>
          <t>TRƯỢT ❌</t>
        </is>
      </c>
      <c r="I144" s="3" t="inlineStr">
        <is>
          <t>7, 8, 4</t>
        </is>
      </c>
      <c r="J144" s="6" t="inlineStr">
        <is>
          <t>TRƯỢT ❌</t>
        </is>
      </c>
      <c r="K144" s="3" t="inlineStr">
        <is>
          <t>14, 17, 18, 54, 57, 58, 64, 67, 68</t>
        </is>
      </c>
      <c r="L144" s="6" t="inlineStr">
        <is>
          <t>TRƯỢT ❌</t>
        </is>
      </c>
      <c r="M144" s="6" t="inlineStr">
        <is>
          <t>TRƯỢT KHUNG ❌</t>
        </is>
      </c>
    </row>
    <row r="145">
      <c r="A145" s="2" t="n">
        <v>141</v>
      </c>
      <c r="B145" s="2" t="inlineStr">
        <is>
          <t>Thứ hai ngày 25-05-2026</t>
        </is>
      </c>
      <c r="C145" s="3" t="inlineStr">
        <is>
          <t>49111</t>
        </is>
      </c>
      <c r="D145" s="3" t="inlineStr">
        <is>
          <t>11</t>
        </is>
      </c>
      <c r="E145" s="3" t="inlineStr">
        <is>
          <t>Đầu 1</t>
        </is>
      </c>
      <c r="F145" s="3" t="inlineStr">
        <is>
          <t>Đuôi 1</t>
        </is>
      </c>
      <c r="G145" s="3" t="inlineStr">
        <is>
          <t>6, 5, 3</t>
        </is>
      </c>
      <c r="H145" s="6" t="inlineStr">
        <is>
          <t>TRƯỢT ❌</t>
        </is>
      </c>
      <c r="I145" s="3" t="inlineStr">
        <is>
          <t>4, 8, 7</t>
        </is>
      </c>
      <c r="J145" s="6" t="inlineStr">
        <is>
          <t>TRƯỢT ❌</t>
        </is>
      </c>
      <c r="K145" s="3" t="inlineStr">
        <is>
          <t>34, 37, 38, 54, 57, 58, 64, 67, 68</t>
        </is>
      </c>
      <c r="L145" s="6" t="inlineStr">
        <is>
          <t>TRƯỢT ❌</t>
        </is>
      </c>
      <c r="M145" s="6" t="inlineStr">
        <is>
          <t>TRƯỢT KHUNG ❌</t>
        </is>
      </c>
    </row>
    <row r="146">
      <c r="A146" s="2" t="n">
        <v>142</v>
      </c>
      <c r="B146" s="2" t="inlineStr">
        <is>
          <t>Thứ ba ngày 26-05-2026</t>
        </is>
      </c>
      <c r="C146" s="3" t="inlineStr">
        <is>
          <t>61513</t>
        </is>
      </c>
      <c r="D146" s="3" t="inlineStr">
        <is>
          <t>13</t>
        </is>
      </c>
      <c r="E146" s="3" t="inlineStr">
        <is>
          <t>Đầu 1</t>
        </is>
      </c>
      <c r="F146" s="3" t="inlineStr">
        <is>
          <t>Đuôi 3</t>
        </is>
      </c>
      <c r="G146" s="3" t="inlineStr">
        <is>
          <t>3, 6, 5</t>
        </is>
      </c>
      <c r="H146" s="6" t="inlineStr">
        <is>
          <t>TRƯỢT ❌</t>
        </is>
      </c>
      <c r="I146" s="3" t="inlineStr">
        <is>
          <t>4, 9, 7</t>
        </is>
      </c>
      <c r="J146" s="6" t="inlineStr">
        <is>
          <t>TRƯỢT ❌</t>
        </is>
      </c>
      <c r="K146" s="3" t="inlineStr">
        <is>
          <t>34, 37, 39, 54, 57, 59, 64, 67, 69</t>
        </is>
      </c>
      <c r="L146" s="6" t="inlineStr">
        <is>
          <t>TRƯỢT ❌</t>
        </is>
      </c>
      <c r="M146" s="7" t="inlineStr">
        <is>
          <t>TRÚNG KHUNG 🎯</t>
        </is>
      </c>
    </row>
    <row r="147">
      <c r="A147" s="2" t="n">
        <v>143</v>
      </c>
      <c r="B147" s="2" t="inlineStr">
        <is>
          <t>Thứ tư ngày 27-05-2026</t>
        </is>
      </c>
      <c r="C147" s="3" t="inlineStr">
        <is>
          <t>00250</t>
        </is>
      </c>
      <c r="D147" s="3" t="inlineStr">
        <is>
          <t>50</t>
        </is>
      </c>
      <c r="E147" s="3" t="inlineStr">
        <is>
          <t>Đầu 5</t>
        </is>
      </c>
      <c r="F147" s="3" t="inlineStr">
        <is>
          <t>Đuôi 0</t>
        </is>
      </c>
      <c r="G147" s="3" t="inlineStr">
        <is>
          <t>3, 6, 5</t>
        </is>
      </c>
      <c r="H147" s="7" t="inlineStr">
        <is>
          <t>TRÚNG 🎯</t>
        </is>
      </c>
      <c r="I147" s="3" t="inlineStr">
        <is>
          <t>4, 9, 1</t>
        </is>
      </c>
      <c r="J147" s="6" t="inlineStr">
        <is>
          <t>TRƯỢT ❌</t>
        </is>
      </c>
      <c r="K147" s="3" t="inlineStr">
        <is>
          <t>31, 34, 39, 51, 54, 59, 61, 64, 69</t>
        </is>
      </c>
      <c r="L147" s="6" t="inlineStr">
        <is>
          <t>TRƯỢT ❌</t>
        </is>
      </c>
      <c r="M147" s="7" t="inlineStr">
        <is>
          <t>TRÚNG KHUNG 🎯</t>
        </is>
      </c>
    </row>
    <row r="148">
      <c r="A148" s="2" t="n">
        <v>144</v>
      </c>
      <c r="B148" s="2" t="inlineStr">
        <is>
          <t>Thứ năm ngày 28-05-2026</t>
        </is>
      </c>
      <c r="C148" s="3" t="inlineStr">
        <is>
          <t>77954</t>
        </is>
      </c>
      <c r="D148" s="3" t="inlineStr">
        <is>
          <t>54</t>
        </is>
      </c>
      <c r="E148" s="3" t="inlineStr">
        <is>
          <t>Đầu 5</t>
        </is>
      </c>
      <c r="F148" s="3" t="inlineStr">
        <is>
          <t>Đuôi 4</t>
        </is>
      </c>
      <c r="G148" s="3" t="inlineStr">
        <is>
          <t>3, 6, 0</t>
        </is>
      </c>
      <c r="H148" s="6" t="inlineStr">
        <is>
          <t>TRƯỢT ❌</t>
        </is>
      </c>
      <c r="I148" s="3" t="inlineStr">
        <is>
          <t>4, 1, 9</t>
        </is>
      </c>
      <c r="J148" s="7" t="inlineStr">
        <is>
          <t>TRÚNG 🎯</t>
        </is>
      </c>
      <c r="K148" s="3" t="inlineStr">
        <is>
          <t>01, 04, 09, 31, 34, 39, 61, 64, 69</t>
        </is>
      </c>
      <c r="L148" s="6" t="inlineStr">
        <is>
          <t>TRƯỢT ❌</t>
        </is>
      </c>
      <c r="M148" s="6" t="inlineStr">
        <is>
          <t>TRƯỢT KHUNG ❌</t>
        </is>
      </c>
    </row>
    <row r="149">
      <c r="A149" s="2" t="n">
        <v>145</v>
      </c>
      <c r="B149" s="2" t="inlineStr">
        <is>
          <t>Thứ sáu ngày 29-05-2026</t>
        </is>
      </c>
      <c r="C149" s="3" t="inlineStr">
        <is>
          <t>17743</t>
        </is>
      </c>
      <c r="D149" s="3" t="inlineStr">
        <is>
          <t>43</t>
        </is>
      </c>
      <c r="E149" s="3" t="inlineStr">
        <is>
          <t>Đầu 4</t>
        </is>
      </c>
      <c r="F149" s="3" t="inlineStr">
        <is>
          <t>Đuôi 3</t>
        </is>
      </c>
      <c r="G149" s="3" t="inlineStr">
        <is>
          <t>3, 6, 8</t>
        </is>
      </c>
      <c r="H149" s="6" t="inlineStr">
        <is>
          <t>TRƯỢT ❌</t>
        </is>
      </c>
      <c r="I149" s="3" t="inlineStr">
        <is>
          <t>1, 4, 5</t>
        </is>
      </c>
      <c r="J149" s="6" t="inlineStr">
        <is>
          <t>TRƯỢT ❌</t>
        </is>
      </c>
      <c r="K149" s="3" t="inlineStr">
        <is>
          <t>31, 34, 35, 61, 64, 65, 81, 84, 85</t>
        </is>
      </c>
      <c r="L149" s="6" t="inlineStr">
        <is>
          <t>TRƯỢT ❌</t>
        </is>
      </c>
      <c r="M149" s="6" t="inlineStr">
        <is>
          <t>TRƯỢT KHUNG ❌</t>
        </is>
      </c>
    </row>
    <row r="150">
      <c r="A150" s="2" t="n">
        <v>146</v>
      </c>
      <c r="B150" s="2" t="inlineStr">
        <is>
          <t>Thứ bảy ngày 30-05-2026</t>
        </is>
      </c>
      <c r="C150" s="3" t="inlineStr">
        <is>
          <t>24042</t>
        </is>
      </c>
      <c r="D150" s="3" t="inlineStr">
        <is>
          <t>42</t>
        </is>
      </c>
      <c r="E150" s="3" t="inlineStr">
        <is>
          <t>Đầu 4</t>
        </is>
      </c>
      <c r="F150" s="3" t="inlineStr">
        <is>
          <t>Đuôi 2</t>
        </is>
      </c>
      <c r="G150" s="3" t="inlineStr">
        <is>
          <t>3, 6, 8</t>
        </is>
      </c>
      <c r="H150" s="6" t="inlineStr">
        <is>
          <t>TRƯỢT ❌</t>
        </is>
      </c>
      <c r="I150" s="3" t="inlineStr">
        <is>
          <t>1, 4, 8</t>
        </is>
      </c>
      <c r="J150" s="6" t="inlineStr">
        <is>
          <t>TRƯỢT ❌</t>
        </is>
      </c>
      <c r="K150" s="3" t="inlineStr">
        <is>
          <t>31, 34, 38, 61, 64, 68, 81, 84, 88</t>
        </is>
      </c>
      <c r="L150" s="6" t="inlineStr">
        <is>
          <t>TRƯỢT ❌</t>
        </is>
      </c>
      <c r="M150" s="6" t="inlineStr">
        <is>
          <t>TRƯỢT KHUNG ❌</t>
        </is>
      </c>
    </row>
    <row r="151">
      <c r="A151" s="2" t="n">
        <v>147</v>
      </c>
      <c r="B151" s="2" t="inlineStr">
        <is>
          <t>Chủ nhật ngày 31-05-2026</t>
        </is>
      </c>
      <c r="C151" s="3" t="inlineStr">
        <is>
          <t>90353</t>
        </is>
      </c>
      <c r="D151" s="3" t="inlineStr">
        <is>
          <t>53</t>
        </is>
      </c>
      <c r="E151" s="3" t="inlineStr">
        <is>
          <t>Đầu 5</t>
        </is>
      </c>
      <c r="F151" s="3" t="inlineStr">
        <is>
          <t>Đuôi 3</t>
        </is>
      </c>
      <c r="G151" s="3" t="inlineStr">
        <is>
          <t>1, 3, 6</t>
        </is>
      </c>
      <c r="H151" s="6" t="inlineStr">
        <is>
          <t>TRƯỢT ❌</t>
        </is>
      </c>
      <c r="I151" s="3" t="inlineStr">
        <is>
          <t>1, 4, 8</t>
        </is>
      </c>
      <c r="J151" s="6" t="inlineStr">
        <is>
          <t>TRƯỢT ❌</t>
        </is>
      </c>
      <c r="K151" s="3" t="inlineStr">
        <is>
          <t>11, 14, 18, 31, 34, 38, 61, 64, 68</t>
        </is>
      </c>
      <c r="L151" s="6" t="inlineStr">
        <is>
          <t>TRƯỢT ❌</t>
        </is>
      </c>
      <c r="M151" s="6" t="inlineStr">
        <is>
          <t>TRƯỢT KHUNG ❌</t>
        </is>
      </c>
    </row>
    <row r="152">
      <c r="A152" s="2" t="n">
        <v>148</v>
      </c>
      <c r="B152" s="2" t="inlineStr">
        <is>
          <t>Thứ hai ngày 01-06-2026</t>
        </is>
      </c>
      <c r="C152" s="3" t="inlineStr">
        <is>
          <t>73823</t>
        </is>
      </c>
      <c r="D152" s="3" t="inlineStr">
        <is>
          <t>23</t>
        </is>
      </c>
      <c r="E152" s="3" t="inlineStr">
        <is>
          <t>Đầu 2</t>
        </is>
      </c>
      <c r="F152" s="3" t="inlineStr">
        <is>
          <t>Đuôi 3</t>
        </is>
      </c>
      <c r="G152" s="3" t="inlineStr">
        <is>
          <t>1, 6, 8</t>
        </is>
      </c>
      <c r="H152" s="6" t="inlineStr">
        <is>
          <t>TRƯỢT ❌</t>
        </is>
      </c>
      <c r="I152" s="3" t="inlineStr">
        <is>
          <t>1, 4, 0</t>
        </is>
      </c>
      <c r="J152" s="6" t="inlineStr">
        <is>
          <t>TRƯỢT ❌</t>
        </is>
      </c>
      <c r="K152" s="3" t="inlineStr">
        <is>
          <t>10, 11, 14, 60, 61, 64, 80, 81, 84</t>
        </is>
      </c>
      <c r="L152" s="6" t="inlineStr">
        <is>
          <t>TRƯỢT ❌</t>
        </is>
      </c>
      <c r="M152" s="6" t="inlineStr">
        <is>
          <t>TRƯỢT KHUNG ❌</t>
        </is>
      </c>
    </row>
    <row r="153">
      <c r="A153" s="2" t="n">
        <v>149</v>
      </c>
      <c r="B153" s="2" t="inlineStr">
        <is>
          <t>Thứ ba ngày 02-06-2026</t>
        </is>
      </c>
      <c r="C153" s="3" t="inlineStr">
        <is>
          <t>02636</t>
        </is>
      </c>
      <c r="D153" s="3" t="inlineStr">
        <is>
          <t>36</t>
        </is>
      </c>
      <c r="E153" s="3" t="inlineStr">
        <is>
          <t>Đầu 3</t>
        </is>
      </c>
      <c r="F153" s="3" t="inlineStr">
        <is>
          <t>Đuôi 6</t>
        </is>
      </c>
      <c r="G153" s="3" t="inlineStr">
        <is>
          <t>1, 3, 4</t>
        </is>
      </c>
      <c r="H153" s="7" t="inlineStr">
        <is>
          <t>TRÚNG 🎯</t>
        </is>
      </c>
      <c r="I153" s="3" t="inlineStr">
        <is>
          <t>1, 4, 3</t>
        </is>
      </c>
      <c r="J153" s="6" t="inlineStr">
        <is>
          <t>TRƯỢT ❌</t>
        </is>
      </c>
      <c r="K153" s="3" t="inlineStr">
        <is>
          <t>11, 13, 14, 31, 33, 34, 41, 43, 44</t>
        </is>
      </c>
      <c r="L153" s="6" t="inlineStr">
        <is>
          <t>TRƯỢT ❌</t>
        </is>
      </c>
      <c r="M153" s="6" t="inlineStr">
        <is>
          <t>TRƯỢT KHUNG ❌</t>
        </is>
      </c>
    </row>
    <row r="154">
      <c r="A154" s="2" t="n">
        <v>150</v>
      </c>
      <c r="B154" s="2" t="inlineStr">
        <is>
          <t>Thứ tư ngày 03-06-2026</t>
        </is>
      </c>
      <c r="C154" s="3" t="inlineStr">
        <is>
          <t>05583</t>
        </is>
      </c>
      <c r="D154" s="3" t="inlineStr">
        <is>
          <t>83</t>
        </is>
      </c>
      <c r="E154" s="3" t="inlineStr">
        <is>
          <t>Đầu 8</t>
        </is>
      </c>
      <c r="F154" s="3" t="inlineStr">
        <is>
          <t>Đuôi 3</t>
        </is>
      </c>
      <c r="G154" s="3" t="inlineStr">
        <is>
          <t>1, 4, 6</t>
        </is>
      </c>
      <c r="H154" s="6" t="inlineStr">
        <is>
          <t>TRƯỢT ❌</t>
        </is>
      </c>
      <c r="I154" s="3" t="inlineStr">
        <is>
          <t>4, 1, 3</t>
        </is>
      </c>
      <c r="J154" s="7" t="inlineStr">
        <is>
          <t>TRÚNG 🎯</t>
        </is>
      </c>
      <c r="K154" s="3" t="inlineStr">
        <is>
          <t>11, 13, 14, 41, 43, 44, 61, 63, 64</t>
        </is>
      </c>
      <c r="L154" s="6" t="inlineStr">
        <is>
          <t>TRƯỢT ❌</t>
        </is>
      </c>
      <c r="M154" s="6" t="inlineStr">
        <is>
          <t>TRƯỢT KHUNG ❌</t>
        </is>
      </c>
    </row>
    <row r="155">
      <c r="A155" s="2" t="n">
        <v>151</v>
      </c>
      <c r="B155" s="2" t="inlineStr">
        <is>
          <t>Thứ năm ngày 04-06-2026</t>
        </is>
      </c>
      <c r="C155" s="3" t="inlineStr">
        <is>
          <t>74978</t>
        </is>
      </c>
      <c r="D155" s="3" t="inlineStr">
        <is>
          <t>78</t>
        </is>
      </c>
      <c r="E155" s="3" t="inlineStr">
        <is>
          <t>Đầu 7</t>
        </is>
      </c>
      <c r="F155" s="3" t="inlineStr">
        <is>
          <t>Đuôi 8</t>
        </is>
      </c>
      <c r="G155" s="3" t="inlineStr">
        <is>
          <t>4, 1, 6</t>
        </is>
      </c>
      <c r="H155" s="6" t="inlineStr">
        <is>
          <t>TRƯỢT ❌</t>
        </is>
      </c>
      <c r="I155" s="3" t="inlineStr">
        <is>
          <t>4, 1, 3</t>
        </is>
      </c>
      <c r="J155" s="6" t="inlineStr">
        <is>
          <t>TRƯỢT ❌</t>
        </is>
      </c>
      <c r="K155" s="3" t="inlineStr">
        <is>
          <t>11, 13, 14, 41, 43, 44, 61, 63, 64</t>
        </is>
      </c>
      <c r="L155" s="6" t="inlineStr">
        <is>
          <t>TRƯỢT ❌</t>
        </is>
      </c>
      <c r="M155" s="6" t="inlineStr">
        <is>
          <t>TRƯỢT KHUNG ❌</t>
        </is>
      </c>
    </row>
    <row r="156">
      <c r="A156" s="2" t="n">
        <v>152</v>
      </c>
      <c r="B156" s="2" t="inlineStr">
        <is>
          <t>Thứ sáu ngày 05-06-2026</t>
        </is>
      </c>
      <c r="C156" s="3" t="inlineStr">
        <is>
          <t>33465</t>
        </is>
      </c>
      <c r="D156" s="3" t="inlineStr">
        <is>
          <t>65</t>
        </is>
      </c>
      <c r="E156" s="3" t="inlineStr">
        <is>
          <t>Đầu 6</t>
        </is>
      </c>
      <c r="F156" s="3" t="inlineStr">
        <is>
          <t>Đuôi 5</t>
        </is>
      </c>
      <c r="G156" s="3" t="inlineStr">
        <is>
          <t>4, 5, 1</t>
        </is>
      </c>
      <c r="H156" s="6" t="inlineStr">
        <is>
          <t>TRƯỢT ❌</t>
        </is>
      </c>
      <c r="I156" s="3" t="inlineStr">
        <is>
          <t>4, 3, 1</t>
        </is>
      </c>
      <c r="J156" s="6" t="inlineStr">
        <is>
          <t>TRƯỢT ❌</t>
        </is>
      </c>
      <c r="K156" s="3" t="inlineStr">
        <is>
          <t>11, 13, 14, 41, 43, 44, 51, 53, 54</t>
        </is>
      </c>
      <c r="L156" s="6" t="inlineStr">
        <is>
          <t>TRƯỢT ❌</t>
        </is>
      </c>
      <c r="M156" s="6" t="inlineStr">
        <is>
          <t>TRƯỢT KHUNG ❌</t>
        </is>
      </c>
    </row>
    <row r="157">
      <c r="A157" s="2" t="n">
        <v>153</v>
      </c>
      <c r="B157" s="2" t="inlineStr">
        <is>
          <t>Thứ bảy ngày 06-06-2026</t>
        </is>
      </c>
      <c r="C157" s="3" t="inlineStr">
        <is>
          <t>15393</t>
        </is>
      </c>
      <c r="D157" s="3" t="inlineStr">
        <is>
          <t>93</t>
        </is>
      </c>
      <c r="E157" s="3" t="inlineStr">
        <is>
          <t>Đầu 9</t>
        </is>
      </c>
      <c r="F157" s="3" t="inlineStr">
        <is>
          <t>Đuôi 3</t>
        </is>
      </c>
      <c r="G157" s="3" t="inlineStr">
        <is>
          <t>5, 2, 4</t>
        </is>
      </c>
      <c r="H157" s="6" t="inlineStr">
        <is>
          <t>TRƯỢT ❌</t>
        </is>
      </c>
      <c r="I157" s="3" t="inlineStr">
        <is>
          <t>4, 3, 1</t>
        </is>
      </c>
      <c r="J157" s="7" t="inlineStr">
        <is>
          <t>TRÚNG 🎯</t>
        </is>
      </c>
      <c r="K157" s="3" t="inlineStr">
        <is>
          <t>21, 23, 24, 41, 43, 44, 51, 53, 54</t>
        </is>
      </c>
      <c r="L157" s="6" t="inlineStr">
        <is>
          <t>TRƯỢT ❌</t>
        </is>
      </c>
      <c r="M157" s="7" t="inlineStr">
        <is>
          <t>TRÚNG KHUNG 🎯</t>
        </is>
      </c>
    </row>
    <row r="158">
      <c r="A158" s="2" t="n">
        <v>154</v>
      </c>
      <c r="B158" s="2" t="inlineStr">
        <is>
          <t>Chủ nhật ngày 07-06-2026</t>
        </is>
      </c>
      <c r="C158" s="3" t="inlineStr">
        <is>
          <t>53505</t>
        </is>
      </c>
      <c r="D158" s="3" t="inlineStr">
        <is>
          <t>05</t>
        </is>
      </c>
      <c r="E158" s="3" t="inlineStr">
        <is>
          <t>Đầu 0</t>
        </is>
      </c>
      <c r="F158" s="3" t="inlineStr">
        <is>
          <t>Đuôi 5</t>
        </is>
      </c>
      <c r="G158" s="3" t="inlineStr">
        <is>
          <t>3, 5, 2</t>
        </is>
      </c>
      <c r="H158" s="6" t="inlineStr">
        <is>
          <t>TRƯỢT ❌</t>
        </is>
      </c>
      <c r="I158" s="3" t="inlineStr">
        <is>
          <t>4, 3, 1</t>
        </is>
      </c>
      <c r="J158" s="6" t="inlineStr">
        <is>
          <t>TRƯỢT ❌</t>
        </is>
      </c>
      <c r="K158" s="3" t="inlineStr">
        <is>
          <t>21, 23, 24, 31, 33, 34, 51, 53, 54</t>
        </is>
      </c>
      <c r="L158" s="6" t="inlineStr">
        <is>
          <t>TRƯỢT ❌</t>
        </is>
      </c>
      <c r="M158" s="7" t="inlineStr">
        <is>
          <t>TRÚNG KHUNG 🎯</t>
        </is>
      </c>
    </row>
    <row r="159">
      <c r="A159" s="2" t="n">
        <v>155</v>
      </c>
      <c r="B159" s="2" t="inlineStr">
        <is>
          <t>Thứ hai ngày 08-06-2026</t>
        </is>
      </c>
      <c r="C159" s="3" t="inlineStr">
        <is>
          <t>07251</t>
        </is>
      </c>
      <c r="D159" s="3" t="inlineStr">
        <is>
          <t>51</t>
        </is>
      </c>
      <c r="E159" s="3" t="inlineStr">
        <is>
          <t>Đầu 5</t>
        </is>
      </c>
      <c r="F159" s="3" t="inlineStr">
        <is>
          <t>Đuôi 1</t>
        </is>
      </c>
      <c r="G159" s="3" t="inlineStr">
        <is>
          <t>3, 5, 8</t>
        </is>
      </c>
      <c r="H159" s="7" t="inlineStr">
        <is>
          <t>TRÚNG 🎯</t>
        </is>
      </c>
      <c r="I159" s="3" t="inlineStr">
        <is>
          <t>4, 3, 1</t>
        </is>
      </c>
      <c r="J159" s="7" t="inlineStr">
        <is>
          <t>TRÚNG 🎯</t>
        </is>
      </c>
      <c r="K159" s="3" t="inlineStr">
        <is>
          <t>31, 33, 34, 51, 53, 54, 81, 83, 84</t>
        </is>
      </c>
      <c r="L159" s="7" t="inlineStr">
        <is>
          <t>TRÚNG 🎯</t>
        </is>
      </c>
      <c r="M159" s="7" t="inlineStr">
        <is>
          <t>TRÚNG KHUNG 🎯</t>
        </is>
      </c>
    </row>
    <row r="160">
      <c r="A160" s="2" t="n">
        <v>156</v>
      </c>
      <c r="B160" s="2" t="inlineStr">
        <is>
          <t>Thứ ba ngày 09-06-2026</t>
        </is>
      </c>
      <c r="C160" s="3" t="inlineStr">
        <is>
          <t>04308</t>
        </is>
      </c>
      <c r="D160" s="3" t="inlineStr">
        <is>
          <t>08</t>
        </is>
      </c>
      <c r="E160" s="3" t="inlineStr">
        <is>
          <t>Đầu 0</t>
        </is>
      </c>
      <c r="F160" s="3" t="inlineStr">
        <is>
          <t>Đuôi 8</t>
        </is>
      </c>
      <c r="G160" s="3" t="inlineStr">
        <is>
          <t>3, 8, 1</t>
        </is>
      </c>
      <c r="H160" s="6" t="inlineStr">
        <is>
          <t>TRƯỢT ❌</t>
        </is>
      </c>
      <c r="I160" s="3" t="inlineStr">
        <is>
          <t>4, 3, 8</t>
        </is>
      </c>
      <c r="J160" s="7" t="inlineStr">
        <is>
          <t>TRÚNG 🎯</t>
        </is>
      </c>
      <c r="K160" s="3" t="inlineStr">
        <is>
          <t>13, 14, 18, 33, 34, 38, 83, 84, 88</t>
        </is>
      </c>
      <c r="L160" s="6" t="inlineStr">
        <is>
          <t>TRƯỢT ❌</t>
        </is>
      </c>
      <c r="M160" s="7" t="inlineStr">
        <is>
          <t>TRÚNG KHUNG 🎯</t>
        </is>
      </c>
    </row>
    <row r="161">
      <c r="A161" s="2" t="n">
        <v>157</v>
      </c>
      <c r="B161" s="2" t="inlineStr">
        <is>
          <t>Thứ tư ngày 10-06-2026</t>
        </is>
      </c>
      <c r="C161" s="3" t="inlineStr">
        <is>
          <t>99983</t>
        </is>
      </c>
      <c r="D161" s="3" t="inlineStr">
        <is>
          <t>83</t>
        </is>
      </c>
      <c r="E161" s="3" t="inlineStr">
        <is>
          <t>Đầu 8</t>
        </is>
      </c>
      <c r="F161" s="3" t="inlineStr">
        <is>
          <t>Đuôi 3</t>
        </is>
      </c>
      <c r="G161" s="3" t="inlineStr">
        <is>
          <t>3, 6, 8</t>
        </is>
      </c>
      <c r="H161" s="7" t="inlineStr">
        <is>
          <t>TRÚNG 🎯</t>
        </is>
      </c>
      <c r="I161" s="3" t="inlineStr">
        <is>
          <t>4, 3, 1</t>
        </is>
      </c>
      <c r="J161" s="7" t="inlineStr">
        <is>
          <t>TRÚNG 🎯</t>
        </is>
      </c>
      <c r="K161" s="3" t="inlineStr">
        <is>
          <t>31, 33, 34, 61, 63, 64, 81, 83, 84</t>
        </is>
      </c>
      <c r="L161" s="7" t="inlineStr">
        <is>
          <t>TRÚNG 🎯</t>
        </is>
      </c>
      <c r="M161" s="7" t="inlineStr">
        <is>
          <t>TRÚNG KHUNG 🎯</t>
        </is>
      </c>
    </row>
    <row r="162">
      <c r="A162" s="2" t="n">
        <v>158</v>
      </c>
      <c r="B162" s="2" t="inlineStr">
        <is>
          <t>Thứ năm ngày 11-06-2026</t>
        </is>
      </c>
      <c r="C162" s="3" t="inlineStr">
        <is>
          <t>24889</t>
        </is>
      </c>
      <c r="D162" s="3" t="inlineStr">
        <is>
          <t>89</t>
        </is>
      </c>
      <c r="E162" s="3" t="inlineStr">
        <is>
          <t>Đầu 8</t>
        </is>
      </c>
      <c r="F162" s="3" t="inlineStr">
        <is>
          <t>Đuôi 9</t>
        </is>
      </c>
      <c r="G162" s="3" t="inlineStr">
        <is>
          <t>6, 3, 5</t>
        </is>
      </c>
      <c r="H162" s="6" t="inlineStr">
        <is>
          <t>TRƯỢT ❌</t>
        </is>
      </c>
      <c r="I162" s="3" t="inlineStr">
        <is>
          <t>4, 3, 1</t>
        </is>
      </c>
      <c r="J162" s="6" t="inlineStr">
        <is>
          <t>TRƯỢT ❌</t>
        </is>
      </c>
      <c r="K162" s="3" t="inlineStr">
        <is>
          <t>31, 33, 34, 51, 53, 54, 61, 63, 64</t>
        </is>
      </c>
      <c r="L162" s="6" t="inlineStr">
        <is>
          <t>TRƯỢT ❌</t>
        </is>
      </c>
      <c r="M162" s="6" t="inlineStr">
        <is>
          <t>TRƯỢT KHUNG ❌</t>
        </is>
      </c>
    </row>
    <row r="163">
      <c r="A163" s="2" t="n">
        <v>159</v>
      </c>
      <c r="B163" s="2" t="inlineStr">
        <is>
          <t>Thứ sáu ngày 12-06-2026</t>
        </is>
      </c>
      <c r="C163" s="3" t="inlineStr">
        <is>
          <t>60014</t>
        </is>
      </c>
      <c r="D163" s="3" t="inlineStr">
        <is>
          <t>14</t>
        </is>
      </c>
      <c r="E163" s="3" t="inlineStr">
        <is>
          <t>Đầu 1</t>
        </is>
      </c>
      <c r="F163" s="3" t="inlineStr">
        <is>
          <t>Đuôi 4</t>
        </is>
      </c>
      <c r="G163" s="3" t="inlineStr">
        <is>
          <t>6, 5, 8</t>
        </is>
      </c>
      <c r="H163" s="6" t="inlineStr">
        <is>
          <t>TRƯỢT ❌</t>
        </is>
      </c>
      <c r="I163" s="3" t="inlineStr">
        <is>
          <t>4, 3, 5</t>
        </is>
      </c>
      <c r="J163" s="7" t="inlineStr">
        <is>
          <t>TRÚNG 🎯</t>
        </is>
      </c>
      <c r="K163" s="3" t="inlineStr">
        <is>
          <t>53, 54, 55, 63, 64, 65, 83, 84, 85</t>
        </is>
      </c>
      <c r="L163" s="6" t="inlineStr">
        <is>
          <t>TRƯỢT ❌</t>
        </is>
      </c>
      <c r="M163" s="6" t="inlineStr">
        <is>
          <t>TRƯỢT KHUNG ❌</t>
        </is>
      </c>
    </row>
    <row r="164">
      <c r="A164" s="2" t="n">
        <v>160</v>
      </c>
      <c r="B164" s="2" t="inlineStr">
        <is>
          <t>Thứ bảy ngày 13-06-2026</t>
        </is>
      </c>
      <c r="C164" s="3" t="inlineStr">
        <is>
          <t>63000</t>
        </is>
      </c>
      <c r="D164" s="3" t="inlineStr">
        <is>
          <t>00</t>
        </is>
      </c>
      <c r="E164" s="3" t="inlineStr">
        <is>
          <t>Đầu 0</t>
        </is>
      </c>
      <c r="F164" s="3" t="inlineStr">
        <is>
          <t>Đuôi 0</t>
        </is>
      </c>
      <c r="G164" s="3" t="inlineStr">
        <is>
          <t>5, 6, 8</t>
        </is>
      </c>
      <c r="H164" s="6" t="inlineStr">
        <is>
          <t>TRƯỢT ❌</t>
        </is>
      </c>
      <c r="I164" s="3" t="inlineStr">
        <is>
          <t>1, 3, 5</t>
        </is>
      </c>
      <c r="J164" s="6" t="inlineStr">
        <is>
          <t>TRƯỢT ❌</t>
        </is>
      </c>
      <c r="K164" s="3" t="inlineStr">
        <is>
          <t>51, 53, 55, 61, 63, 65, 81, 83, 85</t>
        </is>
      </c>
      <c r="L164" s="6" t="inlineStr">
        <is>
          <t>TRƯỢT ❌</t>
        </is>
      </c>
      <c r="M164" s="6" t="inlineStr">
        <is>
          <t>TRƯỢT KHUNG ❌</t>
        </is>
      </c>
    </row>
    <row r="165">
      <c r="A165" s="2" t="n">
        <v>161</v>
      </c>
      <c r="B165" s="2" t="inlineStr">
        <is>
          <t>Chủ nhật ngày 14-06-2026</t>
        </is>
      </c>
      <c r="C165" s="3" t="inlineStr">
        <is>
          <t>71680</t>
        </is>
      </c>
      <c r="D165" s="3" t="inlineStr">
        <is>
          <t>80</t>
        </is>
      </c>
      <c r="E165" s="3" t="inlineStr">
        <is>
          <t>Đầu 8</t>
        </is>
      </c>
      <c r="F165" s="3" t="inlineStr">
        <is>
          <t>Đuôi 0</t>
        </is>
      </c>
      <c r="G165" s="3" t="inlineStr">
        <is>
          <t>5, 8, 6</t>
        </is>
      </c>
      <c r="H165" s="7" t="inlineStr">
        <is>
          <t>TRÚNG 🎯</t>
        </is>
      </c>
      <c r="I165" s="3" t="inlineStr">
        <is>
          <t>1, 3, 5</t>
        </is>
      </c>
      <c r="J165" s="6" t="inlineStr">
        <is>
          <t>TRƯỢT ❌</t>
        </is>
      </c>
      <c r="K165" s="3" t="inlineStr">
        <is>
          <t>51, 53, 55, 61, 63, 65, 81, 83, 85</t>
        </is>
      </c>
      <c r="L165" s="6" t="inlineStr">
        <is>
          <t>TRƯỢT ❌</t>
        </is>
      </c>
      <c r="M165" s="6" t="inlineStr">
        <is>
          <t>TRƯỢT KHUNG ❌</t>
        </is>
      </c>
    </row>
    <row r="166">
      <c r="A166" s="2" t="n">
        <v>162</v>
      </c>
      <c r="B166" s="2" t="inlineStr">
        <is>
          <t>Thứ hai ngày 15-06-2026</t>
        </is>
      </c>
      <c r="C166" s="3" t="inlineStr">
        <is>
          <t>80384</t>
        </is>
      </c>
      <c r="D166" s="3" t="inlineStr">
        <is>
          <t>84</t>
        </is>
      </c>
      <c r="E166" s="3" t="inlineStr">
        <is>
          <t>Đầu 8</t>
        </is>
      </c>
      <c r="F166" s="3" t="inlineStr">
        <is>
          <t>Đuôi 4</t>
        </is>
      </c>
      <c r="G166" s="3" t="inlineStr">
        <is>
          <t>5, 8, 6</t>
        </is>
      </c>
      <c r="H166" s="7" t="inlineStr">
        <is>
          <t>TRÚNG 🎯</t>
        </is>
      </c>
      <c r="I166" s="3" t="inlineStr">
        <is>
          <t>3, 1, 5</t>
        </is>
      </c>
      <c r="J166" s="6" t="inlineStr">
        <is>
          <t>TRƯỢT ❌</t>
        </is>
      </c>
      <c r="K166" s="3" t="inlineStr">
        <is>
          <t>51, 53, 55, 61, 63, 65, 81, 83, 85</t>
        </is>
      </c>
      <c r="L166" s="6" t="inlineStr">
        <is>
          <t>TRƯỢT ❌</t>
        </is>
      </c>
      <c r="M166" s="6" t="inlineStr">
        <is>
          <t>TRƯỢT KHUNG ❌</t>
        </is>
      </c>
    </row>
    <row r="167">
      <c r="A167" s="2" t="n">
        <v>163</v>
      </c>
      <c r="B167" s="2" t="inlineStr">
        <is>
          <t>Thứ ba ngày 16-06-2026</t>
        </is>
      </c>
      <c r="C167" s="3" t="inlineStr">
        <is>
          <t>71203</t>
        </is>
      </c>
      <c r="D167" s="3" t="inlineStr">
        <is>
          <t>03</t>
        </is>
      </c>
      <c r="E167" s="3" t="inlineStr">
        <is>
          <t>Đầu 0</t>
        </is>
      </c>
      <c r="F167" s="3" t="inlineStr">
        <is>
          <t>Đuôi 3</t>
        </is>
      </c>
      <c r="G167" s="3" t="inlineStr">
        <is>
          <t>5, 8, 6</t>
        </is>
      </c>
      <c r="H167" s="6" t="inlineStr">
        <is>
          <t>TRƯỢT ❌</t>
        </is>
      </c>
      <c r="I167" s="3" t="inlineStr">
        <is>
          <t>3, 1, 8</t>
        </is>
      </c>
      <c r="J167" s="7" t="inlineStr">
        <is>
          <t>TRÚNG 🎯</t>
        </is>
      </c>
      <c r="K167" s="3" t="inlineStr">
        <is>
          <t>51, 53, 58, 61, 63, 68, 81, 83, 88</t>
        </is>
      </c>
      <c r="L167" s="6" t="inlineStr">
        <is>
          <t>TRƯỢT ❌</t>
        </is>
      </c>
      <c r="M167" s="6" t="inlineStr">
        <is>
          <t>TRƯỢT KHUNG ❌</t>
        </is>
      </c>
    </row>
    <row r="168">
      <c r="A168" s="2" t="n">
        <v>164</v>
      </c>
      <c r="B168" s="2" t="inlineStr">
        <is>
          <t>Thứ tư ngày 17-06-2026</t>
        </is>
      </c>
      <c r="C168" s="3" t="inlineStr">
        <is>
          <t>15032</t>
        </is>
      </c>
      <c r="D168" s="3" t="inlineStr">
        <is>
          <t>32</t>
        </is>
      </c>
      <c r="E168" s="3" t="inlineStr">
        <is>
          <t>Đầu 3</t>
        </is>
      </c>
      <c r="F168" s="3" t="inlineStr">
        <is>
          <t>Đuôi 2</t>
        </is>
      </c>
      <c r="G168" s="3" t="inlineStr">
        <is>
          <t>5, 8, 1</t>
        </is>
      </c>
      <c r="H168" s="6" t="inlineStr">
        <is>
          <t>TRƯỢT ❌</t>
        </is>
      </c>
      <c r="I168" s="3" t="inlineStr">
        <is>
          <t>3, 1, 8</t>
        </is>
      </c>
      <c r="J168" s="6" t="inlineStr">
        <is>
          <t>TRƯỢT ❌</t>
        </is>
      </c>
      <c r="K168" s="3" t="inlineStr">
        <is>
          <t>11, 13, 18, 51, 53, 58, 81, 83, 88</t>
        </is>
      </c>
      <c r="L168" s="6" t="inlineStr">
        <is>
          <t>TRƯỢT ❌</t>
        </is>
      </c>
      <c r="M168" s="6" t="inlineStr">
        <is>
          <t>TRƯỢT KHUNG ❌</t>
        </is>
      </c>
    </row>
    <row r="169">
      <c r="A169" s="2" t="n">
        <v>165</v>
      </c>
      <c r="B169" s="2" t="inlineStr">
        <is>
          <t>Thứ năm ngày 18-06-2026</t>
        </is>
      </c>
      <c r="C169" s="3" t="inlineStr">
        <is>
          <t>63155</t>
        </is>
      </c>
      <c r="D169" s="3" t="inlineStr">
        <is>
          <t>55</t>
        </is>
      </c>
      <c r="E169" s="3" t="inlineStr">
        <is>
          <t>Đầu 5</t>
        </is>
      </c>
      <c r="F169" s="3" t="inlineStr">
        <is>
          <t>Đuôi 5</t>
        </is>
      </c>
      <c r="G169" s="3" t="inlineStr">
        <is>
          <t>8, 5, 1</t>
        </is>
      </c>
      <c r="H169" s="7" t="inlineStr">
        <is>
          <t>TRÚNG 🎯</t>
        </is>
      </c>
      <c r="I169" s="3" t="inlineStr">
        <is>
          <t>3, 1, 5</t>
        </is>
      </c>
      <c r="J169" s="7" t="inlineStr">
        <is>
          <t>TRÚNG 🎯</t>
        </is>
      </c>
      <c r="K169" s="3" t="inlineStr">
        <is>
          <t>11, 13, 15, 51, 53, 55, 81, 83, 85</t>
        </is>
      </c>
      <c r="L169" s="7" t="inlineStr">
        <is>
          <t>TRÚNG 🎯</t>
        </is>
      </c>
      <c r="M169" s="7" t="inlineStr">
        <is>
          <t>TRÚNG KHUNG 🎯</t>
        </is>
      </c>
    </row>
    <row r="170">
      <c r="A170" s="2" t="n">
        <v>166</v>
      </c>
      <c r="B170" s="2" t="inlineStr">
        <is>
          <t>Thứ sáu ngày 19-06-2026</t>
        </is>
      </c>
      <c r="C170" s="3" t="inlineStr">
        <is>
          <t>54860</t>
        </is>
      </c>
      <c r="D170" s="3" t="inlineStr">
        <is>
          <t>60</t>
        </is>
      </c>
      <c r="E170" s="3" t="inlineStr">
        <is>
          <t>Đầu 6</t>
        </is>
      </c>
      <c r="F170" s="3" t="inlineStr">
        <is>
          <t>Đuôi 0</t>
        </is>
      </c>
      <c r="G170" s="3" t="inlineStr">
        <is>
          <t>8, 1, 0</t>
        </is>
      </c>
      <c r="H170" s="6" t="inlineStr">
        <is>
          <t>TRƯỢT ❌</t>
        </is>
      </c>
      <c r="I170" s="3" t="inlineStr">
        <is>
          <t>3, 1, 0</t>
        </is>
      </c>
      <c r="J170" s="7" t="inlineStr">
        <is>
          <t>TRÚNG 🎯</t>
        </is>
      </c>
      <c r="K170" s="3" t="inlineStr">
        <is>
          <t>00, 01, 03, 10, 11, 13, 80, 81, 83</t>
        </is>
      </c>
      <c r="L170" s="6" t="inlineStr">
        <is>
          <t>TRƯỢT ❌</t>
        </is>
      </c>
      <c r="M170" s="7" t="inlineStr">
        <is>
          <t>TRÚNG KHUNG 🎯</t>
        </is>
      </c>
    </row>
    <row r="171">
      <c r="A171" s="2" t="n">
        <v>167</v>
      </c>
      <c r="B171" s="2" t="inlineStr">
        <is>
          <t>Thứ bảy ngày 20-06-2026</t>
        </is>
      </c>
      <c r="C171" s="3" t="inlineStr">
        <is>
          <t>28083</t>
        </is>
      </c>
      <c r="D171" s="3" t="inlineStr">
        <is>
          <t>83</t>
        </is>
      </c>
      <c r="E171" s="3" t="inlineStr">
        <is>
          <t>Đầu 8</t>
        </is>
      </c>
      <c r="F171" s="3" t="inlineStr">
        <is>
          <t>Đuôi 3</t>
        </is>
      </c>
      <c r="G171" s="3" t="inlineStr">
        <is>
          <t>8, 1, 0</t>
        </is>
      </c>
      <c r="H171" s="7" t="inlineStr">
        <is>
          <t>TRÚNG 🎯</t>
        </is>
      </c>
      <c r="I171" s="3" t="inlineStr">
        <is>
          <t>3, 4, 1</t>
        </is>
      </c>
      <c r="J171" s="7" t="inlineStr">
        <is>
          <t>TRÚNG 🎯</t>
        </is>
      </c>
      <c r="K171" s="3" t="inlineStr">
        <is>
          <t>01, 03, 04, 11, 13, 14, 81, 83, 84</t>
        </is>
      </c>
      <c r="L171" s="7" t="inlineStr">
        <is>
          <t>TRÚNG 🎯</t>
        </is>
      </c>
      <c r="M171" s="7" t="inlineStr">
        <is>
          <t>TRÚNG KHUNG 🎯</t>
        </is>
      </c>
    </row>
    <row r="172">
      <c r="A172" s="2" t="n">
        <v>168</v>
      </c>
      <c r="B172" s="2" t="inlineStr">
        <is>
          <t>Chủ nhật ngày 21-06-2026</t>
        </is>
      </c>
      <c r="C172" s="3" t="inlineStr">
        <is>
          <t>62136</t>
        </is>
      </c>
      <c r="D172" s="3" t="inlineStr">
        <is>
          <t>36</t>
        </is>
      </c>
      <c r="E172" s="3" t="inlineStr">
        <is>
          <t>Đầu 3</t>
        </is>
      </c>
      <c r="F172" s="3" t="inlineStr">
        <is>
          <t>Đuôi 6</t>
        </is>
      </c>
      <c r="G172" s="3" t="inlineStr">
        <is>
          <t>0, 8, 1</t>
        </is>
      </c>
      <c r="H172" s="6" t="inlineStr">
        <is>
          <t>TRƯỢT ❌</t>
        </is>
      </c>
      <c r="I172" s="3" t="inlineStr">
        <is>
          <t>3, 4, 1</t>
        </is>
      </c>
      <c r="J172" s="6" t="inlineStr">
        <is>
          <t>TRƯỢT ❌</t>
        </is>
      </c>
      <c r="K172" s="3" t="inlineStr">
        <is>
          <t>01, 03, 04, 11, 13, 14, 81, 83, 84</t>
        </is>
      </c>
      <c r="L172" s="6" t="inlineStr">
        <is>
          <t>TRƯỢT ❌</t>
        </is>
      </c>
      <c r="M172" s="6" t="inlineStr">
        <is>
          <t>TRƯỢT KHUNG ❌</t>
        </is>
      </c>
    </row>
    <row r="173">
      <c r="A173" s="2" t="n">
        <v>169</v>
      </c>
      <c r="B173" s="2" t="inlineStr">
        <is>
          <t>Thứ hai ngày 22-06-2026</t>
        </is>
      </c>
      <c r="C173" s="3" t="inlineStr">
        <is>
          <t>50437</t>
        </is>
      </c>
      <c r="D173" s="3" t="inlineStr">
        <is>
          <t>37</t>
        </is>
      </c>
      <c r="E173" s="3" t="inlineStr">
        <is>
          <t>Đầu 3</t>
        </is>
      </c>
      <c r="F173" s="3" t="inlineStr">
        <is>
          <t>Đuôi 7</t>
        </is>
      </c>
      <c r="G173" s="3" t="inlineStr">
        <is>
          <t>0, 8, 5</t>
        </is>
      </c>
      <c r="H173" s="6" t="inlineStr">
        <is>
          <t>TRƯỢT ❌</t>
        </is>
      </c>
      <c r="I173" s="3" t="inlineStr">
        <is>
          <t>3, 4, 1</t>
        </is>
      </c>
      <c r="J173" s="6" t="inlineStr">
        <is>
          <t>TRƯỢT ❌</t>
        </is>
      </c>
      <c r="K173" s="3" t="inlineStr">
        <is>
          <t>01, 03, 04, 51, 53, 54, 81, 83, 84</t>
        </is>
      </c>
      <c r="L173" s="6" t="inlineStr">
        <is>
          <t>TRƯỢT ❌</t>
        </is>
      </c>
      <c r="M173" s="7" t="inlineStr">
        <is>
          <t>TRÚNG KHUNG 🎯</t>
        </is>
      </c>
    </row>
    <row r="174">
      <c r="A174" s="2" t="n">
        <v>170</v>
      </c>
      <c r="B174" s="2" t="inlineStr">
        <is>
          <t>Thứ ba ngày 23-06-2026</t>
        </is>
      </c>
      <c r="C174" s="3" t="inlineStr">
        <is>
          <t>52751</t>
        </is>
      </c>
      <c r="D174" s="3" t="inlineStr">
        <is>
          <t>51</t>
        </is>
      </c>
      <c r="E174" s="3" t="inlineStr">
        <is>
          <t>Đầu 5</t>
        </is>
      </c>
      <c r="F174" s="3" t="inlineStr">
        <is>
          <t>Đuôi 1</t>
        </is>
      </c>
      <c r="G174" s="3" t="inlineStr">
        <is>
          <t>5, 8, 0</t>
        </is>
      </c>
      <c r="H174" s="7" t="inlineStr">
        <is>
          <t>TRÚNG 🎯</t>
        </is>
      </c>
      <c r="I174" s="3" t="inlineStr">
        <is>
          <t>3, 4, 5</t>
        </is>
      </c>
      <c r="J174" s="6" t="inlineStr">
        <is>
          <t>TRƯỢT ❌</t>
        </is>
      </c>
      <c r="K174" s="3" t="inlineStr">
        <is>
          <t>03, 04, 05, 53, 54, 55, 83, 84, 85</t>
        </is>
      </c>
      <c r="L174" s="6" t="inlineStr">
        <is>
          <t>TRƯỢT ❌</t>
        </is>
      </c>
      <c r="M174" s="7" t="inlineStr">
        <is>
          <t>TRÚNG KHUNG 🎯</t>
        </is>
      </c>
    </row>
    <row r="175">
      <c r="A175" s="2" t="n">
        <v>171</v>
      </c>
      <c r="B175" s="2" t="inlineStr">
        <is>
          <t>Thứ tư ngày 24-06-2026</t>
        </is>
      </c>
      <c r="C175" s="3" t="inlineStr">
        <is>
          <t>01816</t>
        </is>
      </c>
      <c r="D175" s="3" t="inlineStr">
        <is>
          <t>16</t>
        </is>
      </c>
      <c r="E175" s="3" t="inlineStr">
        <is>
          <t>Đầu 1</t>
        </is>
      </c>
      <c r="F175" s="3" t="inlineStr">
        <is>
          <t>Đuôi 6</t>
        </is>
      </c>
      <c r="G175" s="3" t="inlineStr">
        <is>
          <t>0, 8, 1</t>
        </is>
      </c>
      <c r="H175" s="7" t="inlineStr">
        <is>
          <t>TRÚNG 🎯</t>
        </is>
      </c>
      <c r="I175" s="3" t="inlineStr">
        <is>
          <t>3, 0, 5</t>
        </is>
      </c>
      <c r="J175" s="6" t="inlineStr">
        <is>
          <t>TRƯỢT ❌</t>
        </is>
      </c>
      <c r="K175" s="3" t="inlineStr">
        <is>
          <t>00, 03, 05, 10, 13, 15, 80, 83, 85</t>
        </is>
      </c>
      <c r="L175" s="6" t="inlineStr">
        <is>
          <t>TRƯỢT ❌</t>
        </is>
      </c>
      <c r="M175" s="6" t="inlineStr">
        <is>
          <t>TRƯỢT KHUNG ❌</t>
        </is>
      </c>
    </row>
    <row r="176">
      <c r="A176" s="2" t="n">
        <v>172</v>
      </c>
      <c r="B176" s="2" t="inlineStr">
        <is>
          <t>Thứ năm ngày 25-06-2026</t>
        </is>
      </c>
      <c r="C176" s="3" t="inlineStr">
        <is>
          <t>54804</t>
        </is>
      </c>
      <c r="D176" s="3" t="inlineStr">
        <is>
          <t>04</t>
        </is>
      </c>
      <c r="E176" s="3" t="inlineStr">
        <is>
          <t>Đầu 0</t>
        </is>
      </c>
      <c r="F176" s="3" t="inlineStr">
        <is>
          <t>Đuôi 4</t>
        </is>
      </c>
      <c r="G176" s="3" t="inlineStr">
        <is>
          <t>8, 0, 5</t>
        </is>
      </c>
      <c r="H176" s="7" t="inlineStr">
        <is>
          <t>TRÚNG 🎯</t>
        </is>
      </c>
      <c r="I176" s="3" t="inlineStr">
        <is>
          <t>3, 0, 5</t>
        </is>
      </c>
      <c r="J176" s="6" t="inlineStr">
        <is>
          <t>TRƯỢT ❌</t>
        </is>
      </c>
      <c r="K176" s="3" t="inlineStr">
        <is>
          <t>00, 03, 05, 50, 53, 55, 80, 83, 85</t>
        </is>
      </c>
      <c r="L176" s="6" t="inlineStr">
        <is>
          <t>TRƯỢT ❌</t>
        </is>
      </c>
      <c r="M176" s="7" t="inlineStr">
        <is>
          <t>TRÚNG KHUNG 🎯</t>
        </is>
      </c>
    </row>
    <row r="177">
      <c r="A177" s="2" t="n">
        <v>173</v>
      </c>
      <c r="B177" s="2" t="inlineStr">
        <is>
          <t>Thứ sáu ngày 26-06-2026</t>
        </is>
      </c>
      <c r="C177" s="3" t="inlineStr">
        <is>
          <t>09253</t>
        </is>
      </c>
      <c r="D177" s="3" t="inlineStr">
        <is>
          <t>53</t>
        </is>
      </c>
      <c r="E177" s="3" t="inlineStr">
        <is>
          <t>Đầu 5</t>
        </is>
      </c>
      <c r="F177" s="3" t="inlineStr">
        <is>
          <t>Đuôi 3</t>
        </is>
      </c>
      <c r="G177" s="3" t="inlineStr">
        <is>
          <t>8, 5, 3</t>
        </is>
      </c>
      <c r="H177" s="7" t="inlineStr">
        <is>
          <t>TRÚNG 🎯</t>
        </is>
      </c>
      <c r="I177" s="3" t="inlineStr">
        <is>
          <t>3, 0, 5</t>
        </is>
      </c>
      <c r="J177" s="7" t="inlineStr">
        <is>
          <t>TRÚNG 🎯</t>
        </is>
      </c>
      <c r="K177" s="3" t="inlineStr">
        <is>
          <t>30, 33, 35, 50, 53, 55, 80, 83, 85</t>
        </is>
      </c>
      <c r="L177" s="7" t="inlineStr">
        <is>
          <t>TRÚNG 🎯</t>
        </is>
      </c>
      <c r="M177" s="7" t="inlineStr">
        <is>
          <t>TRÚNG KHUNG 🎯</t>
        </is>
      </c>
    </row>
    <row r="178">
      <c r="A178" s="2" t="n">
        <v>174</v>
      </c>
      <c r="B178" s="2" t="inlineStr">
        <is>
          <t>Thứ bảy ngày 27-06-2026</t>
        </is>
      </c>
      <c r="C178" s="3" t="inlineStr">
        <is>
          <t>12452</t>
        </is>
      </c>
      <c r="D178" s="3" t="inlineStr">
        <is>
          <t>52</t>
        </is>
      </c>
      <c r="E178" s="3" t="inlineStr">
        <is>
          <t>Đầu 5</t>
        </is>
      </c>
      <c r="F178" s="3" t="inlineStr">
        <is>
          <t>Đuôi 2</t>
        </is>
      </c>
      <c r="G178" s="3" t="inlineStr">
        <is>
          <t>8, 3, 5</t>
        </is>
      </c>
      <c r="H178" s="7" t="inlineStr">
        <is>
          <t>TRÚNG 🎯</t>
        </is>
      </c>
      <c r="I178" s="3" t="inlineStr">
        <is>
          <t>3, 0, 5</t>
        </is>
      </c>
      <c r="J178" s="6" t="inlineStr">
        <is>
          <t>TRƯỢT ❌</t>
        </is>
      </c>
      <c r="K178" s="3" t="inlineStr">
        <is>
          <t>30, 33, 35, 50, 53, 55, 80, 83, 85</t>
        </is>
      </c>
      <c r="L178" s="6" t="inlineStr">
        <is>
          <t>TRƯỢT ❌</t>
        </is>
      </c>
      <c r="M178" s="6" t="inlineStr">
        <is>
          <t>TRƯỢT KHUNG ❌</t>
        </is>
      </c>
    </row>
    <row r="179">
      <c r="A179" s="2" t="n">
        <v>175</v>
      </c>
      <c r="B179" s="2" t="inlineStr">
        <is>
          <t>Chủ nhật ngày 28-06-2026</t>
        </is>
      </c>
      <c r="C179" s="3" t="inlineStr">
        <is>
          <t>37642</t>
        </is>
      </c>
      <c r="D179" s="3" t="inlineStr">
        <is>
          <t>42</t>
        </is>
      </c>
      <c r="E179" s="3" t="inlineStr">
        <is>
          <t>Đầu 4</t>
        </is>
      </c>
      <c r="F179" s="3" t="inlineStr">
        <is>
          <t>Đuôi 2</t>
        </is>
      </c>
      <c r="G179" s="3" t="inlineStr">
        <is>
          <t>8, 3, 0</t>
        </is>
      </c>
      <c r="H179" s="6" t="inlineStr">
        <is>
          <t>TRƯỢT ❌</t>
        </is>
      </c>
      <c r="I179" s="3" t="inlineStr">
        <is>
          <t>3, 0, 5</t>
        </is>
      </c>
      <c r="J179" s="6" t="inlineStr">
        <is>
          <t>TRƯỢT ❌</t>
        </is>
      </c>
      <c r="K179" s="3" t="inlineStr">
        <is>
          <t>00, 03, 05, 30, 33, 35, 80, 83, 85</t>
        </is>
      </c>
      <c r="L179" s="6" t="inlineStr">
        <is>
          <t>TRƯỢT ❌</t>
        </is>
      </c>
      <c r="M179" s="6" t="inlineStr">
        <is>
          <t>TRƯỢT KHUNG ❌</t>
        </is>
      </c>
    </row>
    <row r="180">
      <c r="A180" s="2" t="n">
        <v>176</v>
      </c>
      <c r="B180" s="2" t="inlineStr">
        <is>
          <t>Thứ hai ngày 29-06-2026</t>
        </is>
      </c>
      <c r="C180" s="3" t="inlineStr">
        <is>
          <t>60468</t>
        </is>
      </c>
      <c r="D180" s="3" t="inlineStr">
        <is>
          <t>68</t>
        </is>
      </c>
      <c r="E180" s="3" t="inlineStr">
        <is>
          <t>Đầu 6</t>
        </is>
      </c>
      <c r="F180" s="3" t="inlineStr">
        <is>
          <t>Đuôi 8</t>
        </is>
      </c>
      <c r="G180" s="3" t="inlineStr">
        <is>
          <t>8, 3, 0</t>
        </is>
      </c>
      <c r="H180" s="6" t="inlineStr">
        <is>
          <t>TRƯỢT ❌</t>
        </is>
      </c>
      <c r="I180" s="3" t="inlineStr">
        <is>
          <t>3, 6, 0</t>
        </is>
      </c>
      <c r="J180" s="6" t="inlineStr">
        <is>
          <t>TRƯỢT ❌</t>
        </is>
      </c>
      <c r="K180" s="3" t="inlineStr">
        <is>
          <t>00, 03, 06, 30, 33, 36, 80, 83, 86</t>
        </is>
      </c>
      <c r="L180" s="6" t="inlineStr">
        <is>
          <t>TRƯỢT ❌</t>
        </is>
      </c>
      <c r="M180" s="6" t="inlineStr">
        <is>
          <t>TRƯỢT KHUNG ❌</t>
        </is>
      </c>
    </row>
    <row r="181">
      <c r="A181" s="2" t="n">
        <v>177</v>
      </c>
      <c r="B181" s="2" t="inlineStr">
        <is>
          <t>Thứ ba ngày 30-06-2026</t>
        </is>
      </c>
      <c r="C181" s="3" t="inlineStr">
        <is>
          <t>31854</t>
        </is>
      </c>
      <c r="D181" s="3" t="inlineStr">
        <is>
          <t>54</t>
        </is>
      </c>
      <c r="E181" s="3" t="inlineStr">
        <is>
          <t>Đầu 5</t>
        </is>
      </c>
      <c r="F181" s="3" t="inlineStr">
        <is>
          <t>Đuôi 4</t>
        </is>
      </c>
      <c r="G181" s="3" t="inlineStr">
        <is>
          <t>8, 0, 3</t>
        </is>
      </c>
      <c r="H181" s="6" t="inlineStr">
        <is>
          <t>TRƯỢT ❌</t>
        </is>
      </c>
      <c r="I181" s="3" t="inlineStr">
        <is>
          <t>3, 4, 6</t>
        </is>
      </c>
      <c r="J181" s="7" t="inlineStr">
        <is>
          <t>TRÚNG 🎯</t>
        </is>
      </c>
      <c r="K181" s="3" t="inlineStr">
        <is>
          <t>03, 04, 06, 33, 34, 36, 83, 84, 86</t>
        </is>
      </c>
      <c r="L181" s="6" t="inlineStr">
        <is>
          <t>TRƯỢT ❌</t>
        </is>
      </c>
      <c r="M181" s="6" t="inlineStr">
        <is>
          <t>TRƯỢT KHUNG ❌</t>
        </is>
      </c>
    </row>
    <row r="182">
      <c r="A182" s="2" t="n">
        <v>178</v>
      </c>
      <c r="B182" s="2" t="inlineStr">
        <is>
          <t>Thứ tư ngày 01-07-2026</t>
        </is>
      </c>
      <c r="C182" s="3" t="inlineStr">
        <is>
          <t>51139</t>
        </is>
      </c>
      <c r="D182" s="3" t="inlineStr">
        <is>
          <t>39</t>
        </is>
      </c>
      <c r="E182" s="3" t="inlineStr">
        <is>
          <t>Đầu 3</t>
        </is>
      </c>
      <c r="F182" s="3" t="inlineStr">
        <is>
          <t>Đuôi 9</t>
        </is>
      </c>
      <c r="G182" s="3" t="inlineStr">
        <is>
          <t>8, 0, 3</t>
        </is>
      </c>
      <c r="H182" s="7" t="inlineStr">
        <is>
          <t>TRÚNG 🎯</t>
        </is>
      </c>
      <c r="I182" s="3" t="inlineStr">
        <is>
          <t>3, 6, 0</t>
        </is>
      </c>
      <c r="J182" s="6" t="inlineStr">
        <is>
          <t>TRƯỢT ❌</t>
        </is>
      </c>
      <c r="K182" s="3" t="inlineStr">
        <is>
          <t>00, 03, 06, 30, 33, 36, 80, 83, 86</t>
        </is>
      </c>
      <c r="L182" s="6" t="inlineStr">
        <is>
          <t>TRƯỢT ❌</t>
        </is>
      </c>
      <c r="M182" s="6" t="inlineStr">
        <is>
          <t>TRƯỢT KHUNG ❌</t>
        </is>
      </c>
    </row>
    <row r="183">
      <c r="A183" s="2" t="n">
        <v>179</v>
      </c>
      <c r="B183" s="2" t="inlineStr">
        <is>
          <t>Thứ năm ngày 02-07-2026</t>
        </is>
      </c>
      <c r="C183" s="3" t="inlineStr">
        <is>
          <t>18165</t>
        </is>
      </c>
      <c r="D183" s="3" t="inlineStr">
        <is>
          <t>65</t>
        </is>
      </c>
      <c r="E183" s="3" t="inlineStr">
        <is>
          <t>Đầu 6</t>
        </is>
      </c>
      <c r="F183" s="3" t="inlineStr">
        <is>
          <t>Đuôi 5</t>
        </is>
      </c>
      <c r="G183" s="3" t="inlineStr">
        <is>
          <t>8, 0, 5</t>
        </is>
      </c>
      <c r="H183" s="6" t="inlineStr">
        <is>
          <t>TRƯỢT ❌</t>
        </is>
      </c>
      <c r="I183" s="3" t="inlineStr">
        <is>
          <t>3, 6, 0</t>
        </is>
      </c>
      <c r="J183" s="6" t="inlineStr">
        <is>
          <t>TRƯỢT ❌</t>
        </is>
      </c>
      <c r="K183" s="3" t="inlineStr">
        <is>
          <t>00, 03, 06, 50, 53, 56, 80, 83, 86</t>
        </is>
      </c>
      <c r="L183" s="6" t="inlineStr">
        <is>
          <t>TRƯỢT ❌</t>
        </is>
      </c>
      <c r="M183" s="6" t="inlineStr">
        <is>
          <t>TRƯỢT KHUNG ❌</t>
        </is>
      </c>
    </row>
    <row r="184">
      <c r="A184" s="2" t="n">
        <v>180</v>
      </c>
      <c r="B184" s="2" t="inlineStr">
        <is>
          <t>Thứ sáu ngày 03-07-2026</t>
        </is>
      </c>
      <c r="C184" s="3" t="inlineStr">
        <is>
          <t>14887</t>
        </is>
      </c>
      <c r="D184" s="3" t="inlineStr">
        <is>
          <t>87</t>
        </is>
      </c>
      <c r="E184" s="3" t="inlineStr">
        <is>
          <t>Đầu 8</t>
        </is>
      </c>
      <c r="F184" s="3" t="inlineStr">
        <is>
          <t>Đuôi 7</t>
        </is>
      </c>
      <c r="G184" s="3" t="inlineStr">
        <is>
          <t>8, 0, 5</t>
        </is>
      </c>
      <c r="H184" s="7" t="inlineStr">
        <is>
          <t>TRÚNG 🎯</t>
        </is>
      </c>
      <c r="I184" s="3" t="inlineStr">
        <is>
          <t>3, 2, 0</t>
        </is>
      </c>
      <c r="J184" s="6" t="inlineStr">
        <is>
          <t>TRƯỢT ❌</t>
        </is>
      </c>
      <c r="K184" s="3" t="inlineStr">
        <is>
          <t>00, 02, 03, 50, 52, 53, 80, 82, 83</t>
        </is>
      </c>
      <c r="L184" s="6" t="inlineStr">
        <is>
          <t>TRƯỢT ❌</t>
        </is>
      </c>
      <c r="M184" s="6" t="inlineStr">
        <is>
          <t>TRƯỢT KHUNG ❌</t>
        </is>
      </c>
    </row>
    <row r="185">
      <c r="A185" s="2" t="n">
        <v>181</v>
      </c>
      <c r="B185" s="2" t="inlineStr">
        <is>
          <t>Thứ bảy ngày 04-07-2026</t>
        </is>
      </c>
      <c r="C185" s="3" t="inlineStr">
        <is>
          <t>66771</t>
        </is>
      </c>
      <c r="D185" s="3" t="inlineStr">
        <is>
          <t>71</t>
        </is>
      </c>
      <c r="E185" s="3" t="inlineStr">
        <is>
          <t>Đầu 7</t>
        </is>
      </c>
      <c r="F185" s="3" t="inlineStr">
        <is>
          <t>Đuôi 1</t>
        </is>
      </c>
      <c r="G185" s="3" t="inlineStr">
        <is>
          <t>0, 5, 8</t>
        </is>
      </c>
      <c r="H185" s="6" t="inlineStr">
        <is>
          <t>TRƯỢT ❌</t>
        </is>
      </c>
      <c r="I185" s="3" t="inlineStr">
        <is>
          <t>3, 2, 8</t>
        </is>
      </c>
      <c r="J185" s="6" t="inlineStr">
        <is>
          <t>TRƯỢT ❌</t>
        </is>
      </c>
      <c r="K185" s="3" t="inlineStr">
        <is>
          <t>02, 03, 08, 52, 53, 58, 82, 83, 88</t>
        </is>
      </c>
      <c r="L185" s="6" t="inlineStr">
        <is>
          <t>TRƯỢT ❌</t>
        </is>
      </c>
      <c r="M185" s="6" t="inlineStr">
        <is>
          <t>TRƯỢT KHUNG ❌</t>
        </is>
      </c>
    </row>
    <row r="186">
      <c r="A186" s="2" t="n">
        <v>182</v>
      </c>
      <c r="B186" s="2" t="inlineStr">
        <is>
          <t>Chủ nhật ngày 05-07-2026</t>
        </is>
      </c>
      <c r="C186" s="3" t="inlineStr">
        <is>
          <t>43497</t>
        </is>
      </c>
      <c r="D186" s="3" t="inlineStr">
        <is>
          <t>97</t>
        </is>
      </c>
      <c r="E186" s="3" t="inlineStr">
        <is>
          <t>Đầu 9</t>
        </is>
      </c>
      <c r="F186" s="3" t="inlineStr">
        <is>
          <t>Đuôi 7</t>
        </is>
      </c>
      <c r="G186" s="3" t="inlineStr">
        <is>
          <t>5, 0, 8</t>
        </is>
      </c>
      <c r="H186" s="6" t="inlineStr">
        <is>
          <t>TRƯỢT ❌</t>
        </is>
      </c>
      <c r="I186" s="3" t="inlineStr">
        <is>
          <t>3, 4, 2</t>
        </is>
      </c>
      <c r="J186" s="6" t="inlineStr">
        <is>
          <t>TRƯỢT ❌</t>
        </is>
      </c>
      <c r="K186" s="3" t="inlineStr">
        <is>
          <t>02, 03, 04, 52, 53, 54, 82, 83, 84</t>
        </is>
      </c>
      <c r="L186" s="6" t="inlineStr">
        <is>
          <t>TRƯỢT ❌</t>
        </is>
      </c>
      <c r="M186" s="6" t="inlineStr">
        <is>
          <t>TRƯỢT KHUNG ❌</t>
        </is>
      </c>
    </row>
    <row r="187">
      <c r="A187" s="2" t="n">
        <v>183</v>
      </c>
      <c r="B187" s="2" t="inlineStr">
        <is>
          <t>Thứ hai ngày 06-07-2026</t>
        </is>
      </c>
      <c r="C187" s="3" t="inlineStr">
        <is>
          <t>92579</t>
        </is>
      </c>
      <c r="D187" s="3" t="inlineStr">
        <is>
          <t>79</t>
        </is>
      </c>
      <c r="E187" s="3" t="inlineStr">
        <is>
          <t>Đầu 7</t>
        </is>
      </c>
      <c r="F187" s="3" t="inlineStr">
        <is>
          <t>Đuôi 9</t>
        </is>
      </c>
      <c r="G187" s="3" t="inlineStr">
        <is>
          <t>5, 0, 3</t>
        </is>
      </c>
      <c r="H187" s="6" t="inlineStr">
        <is>
          <t>TRƯỢT ❌</t>
        </is>
      </c>
      <c r="I187" s="3" t="inlineStr">
        <is>
          <t>3, 4, 2</t>
        </is>
      </c>
      <c r="J187" s="6" t="inlineStr">
        <is>
          <t>TRƯỢT ❌</t>
        </is>
      </c>
      <c r="K187" s="3" t="inlineStr">
        <is>
          <t>02, 03, 04, 32, 33, 34, 52, 53, 54</t>
        </is>
      </c>
      <c r="L187" s="6" t="inlineStr">
        <is>
          <t>TRƯỢT ❌</t>
        </is>
      </c>
      <c r="M187" s="6" t="inlineStr">
        <is>
          <t>TRƯỢT KHUNG ❌</t>
        </is>
      </c>
    </row>
    <row r="188">
      <c r="A188" s="2" t="n">
        <v>184</v>
      </c>
      <c r="B188" s="2" t="inlineStr">
        <is>
          <t>Thứ ba ngày 07-07-2026</t>
        </is>
      </c>
      <c r="C188" s="3" t="inlineStr">
        <is>
          <t>95089</t>
        </is>
      </c>
      <c r="D188" s="3" t="inlineStr">
        <is>
          <t>89</t>
        </is>
      </c>
      <c r="E188" s="3" t="inlineStr">
        <is>
          <t>Đầu 8</t>
        </is>
      </c>
      <c r="F188" s="3" t="inlineStr">
        <is>
          <t>Đuôi 9</t>
        </is>
      </c>
      <c r="G188" s="3" t="inlineStr">
        <is>
          <t>5, 0, 3</t>
        </is>
      </c>
      <c r="H188" s="6" t="inlineStr">
        <is>
          <t>TRƯỢT ❌</t>
        </is>
      </c>
      <c r="I188" s="3" t="inlineStr">
        <is>
          <t>4, 3, 5</t>
        </is>
      </c>
      <c r="J188" s="6" t="inlineStr">
        <is>
          <t>TRƯỢT ❌</t>
        </is>
      </c>
      <c r="K188" s="3" t="inlineStr">
        <is>
          <t>03, 04, 05, 33, 34, 35, 53, 54, 55</t>
        </is>
      </c>
      <c r="L188" s="6" t="inlineStr">
        <is>
          <t>TRƯỢT ❌</t>
        </is>
      </c>
      <c r="M188" s="6" t="inlineStr">
        <is>
          <t>TRƯỢT KHUNG ❌</t>
        </is>
      </c>
    </row>
    <row r="189">
      <c r="A189" s="2" t="n">
        <v>185</v>
      </c>
      <c r="B189" s="2" t="inlineStr">
        <is>
          <t>Thứ tư ngày 08-07-2026</t>
        </is>
      </c>
      <c r="C189" s="3" t="inlineStr">
        <is>
          <t>69185</t>
        </is>
      </c>
      <c r="D189" s="3" t="inlineStr">
        <is>
          <t>85</t>
        </is>
      </c>
      <c r="E189" s="3" t="inlineStr">
        <is>
          <t>Đầu 8</t>
        </is>
      </c>
      <c r="F189" s="3" t="inlineStr">
        <is>
          <t>Đuôi 5</t>
        </is>
      </c>
      <c r="G189" s="3" t="inlineStr">
        <is>
          <t>5, 3, 0</t>
        </is>
      </c>
      <c r="H189" s="6" t="inlineStr">
        <is>
          <t>TRƯỢT ❌</t>
        </is>
      </c>
      <c r="I189" s="3" t="inlineStr">
        <is>
          <t>4, 3, 2</t>
        </is>
      </c>
      <c r="J189" s="6" t="inlineStr">
        <is>
          <t>TRƯỢT ❌</t>
        </is>
      </c>
      <c r="K189" s="3" t="inlineStr">
        <is>
          <t>02, 03, 04, 32, 33, 34, 52, 53, 54</t>
        </is>
      </c>
      <c r="L189" s="6" t="inlineStr">
        <is>
          <t>TRƯỢT ❌</t>
        </is>
      </c>
      <c r="M189" s="6" t="inlineStr">
        <is>
          <t>TRƯỢT KHUNG ❌</t>
        </is>
      </c>
    </row>
    <row r="190">
      <c r="A190" s="2" t="n">
        <v>186</v>
      </c>
      <c r="B190" s="2" t="inlineStr">
        <is>
          <t>Thứ năm ngày 09-07-2026</t>
        </is>
      </c>
      <c r="C190" s="3" t="inlineStr">
        <is>
          <t>72767</t>
        </is>
      </c>
      <c r="D190" s="3" t="inlineStr">
        <is>
          <t>67</t>
        </is>
      </c>
      <c r="E190" s="3" t="inlineStr">
        <is>
          <t>Đầu 6</t>
        </is>
      </c>
      <c r="F190" s="3" t="inlineStr">
        <is>
          <t>Đuôi 7</t>
        </is>
      </c>
      <c r="G190" s="3" t="inlineStr">
        <is>
          <t>5, 3, 8</t>
        </is>
      </c>
      <c r="H190" s="6" t="inlineStr">
        <is>
          <t>TRƯỢT ❌</t>
        </is>
      </c>
      <c r="I190" s="3" t="inlineStr">
        <is>
          <t>3, 4, 2</t>
        </is>
      </c>
      <c r="J190" s="6" t="inlineStr">
        <is>
          <t>TRƯỢT ❌</t>
        </is>
      </c>
      <c r="K190" s="3" t="inlineStr">
        <is>
          <t>32, 33, 34, 52, 53, 54, 82, 83, 84</t>
        </is>
      </c>
      <c r="L190" s="6" t="inlineStr">
        <is>
          <t>TRƯỢT ❌</t>
        </is>
      </c>
      <c r="M190" s="6" t="inlineStr">
        <is>
          <t>TRƯỢT KHUNG ❌</t>
        </is>
      </c>
    </row>
    <row r="191">
      <c r="A191" s="2" t="n">
        <v>187</v>
      </c>
      <c r="B191" s="2" t="inlineStr">
        <is>
          <t>Thứ sáu ngày 10-07-2026</t>
        </is>
      </c>
      <c r="C191" s="3" t="inlineStr">
        <is>
          <t>09401</t>
        </is>
      </c>
      <c r="D191" s="3" t="inlineStr">
        <is>
          <t>01</t>
        </is>
      </c>
      <c r="E191" s="3" t="inlineStr">
        <is>
          <t>Đầu 0</t>
        </is>
      </c>
      <c r="F191" s="3" t="inlineStr">
        <is>
          <t>Đuôi 1</t>
        </is>
      </c>
      <c r="G191" s="3" t="inlineStr">
        <is>
          <t>8, 5, 3</t>
        </is>
      </c>
      <c r="H191" s="6" t="inlineStr">
        <is>
          <t>TRƯỢT ❌</t>
        </is>
      </c>
      <c r="I191" s="3" t="inlineStr">
        <is>
          <t>3, 4, 2</t>
        </is>
      </c>
      <c r="J191" s="6" t="inlineStr">
        <is>
          <t>TRƯỢT ❌</t>
        </is>
      </c>
      <c r="K191" s="3" t="inlineStr">
        <is>
          <t>32, 33, 34, 52, 53, 54, 82, 83, 84</t>
        </is>
      </c>
      <c r="L191" s="6" t="inlineStr">
        <is>
          <t>TRƯỢT ❌</t>
        </is>
      </c>
      <c r="M191" s="6" t="inlineStr">
        <is>
          <t>TRƯỢT KHUNG ❌</t>
        </is>
      </c>
    </row>
    <row r="192">
      <c r="A192" s="2" t="n">
        <v>188</v>
      </c>
      <c r="B192" s="2" t="inlineStr">
        <is>
          <t>Thứ bảy ngày 11-07-2026</t>
        </is>
      </c>
      <c r="C192" s="3" t="inlineStr">
        <is>
          <t>10494</t>
        </is>
      </c>
      <c r="D192" s="3" t="inlineStr">
        <is>
          <t>94</t>
        </is>
      </c>
      <c r="E192" s="3" t="inlineStr">
        <is>
          <t>Đầu 9</t>
        </is>
      </c>
      <c r="F192" s="3" t="inlineStr">
        <is>
          <t>Đuôi 4</t>
        </is>
      </c>
      <c r="G192" s="3" t="inlineStr">
        <is>
          <t>5, 8, 3</t>
        </is>
      </c>
      <c r="H192" s="6" t="inlineStr">
        <is>
          <t>TRƯỢT ❌</t>
        </is>
      </c>
      <c r="I192" s="3" t="inlineStr">
        <is>
          <t>4, 2, 3</t>
        </is>
      </c>
      <c r="J192" s="7" t="inlineStr">
        <is>
          <t>TRÚNG 🎯</t>
        </is>
      </c>
      <c r="K192" s="3" t="inlineStr">
        <is>
          <t>32, 33, 34, 52, 53, 54, 82, 83, 84</t>
        </is>
      </c>
      <c r="L192" s="6" t="inlineStr">
        <is>
          <t>TRƯỢT ❌</t>
        </is>
      </c>
      <c r="M192" s="6" t="inlineStr">
        <is>
          <t>TRƯỢT KHUNG ❌</t>
        </is>
      </c>
    </row>
    <row r="193">
      <c r="A193" s="2" t="n">
        <v>189</v>
      </c>
      <c r="B193" s="2" t="inlineStr">
        <is>
          <t>Chủ nhật ngày 12-07-2026</t>
        </is>
      </c>
      <c r="C193" s="3" t="inlineStr">
        <is>
          <t>74299</t>
        </is>
      </c>
      <c r="D193" s="3" t="inlineStr">
        <is>
          <t>99</t>
        </is>
      </c>
      <c r="E193" s="3" t="inlineStr">
        <is>
          <t>Đầu 9</t>
        </is>
      </c>
      <c r="F193" s="3" t="inlineStr">
        <is>
          <t>Đuôi 9</t>
        </is>
      </c>
      <c r="G193" s="3" t="inlineStr">
        <is>
          <t>5, 8, 3</t>
        </is>
      </c>
      <c r="H193" s="6" t="inlineStr">
        <is>
          <t>TRƯỢT ❌</t>
        </is>
      </c>
      <c r="I193" s="3" t="inlineStr">
        <is>
          <t>9, 2, 3</t>
        </is>
      </c>
      <c r="J193" s="7" t="inlineStr">
        <is>
          <t>TRÚNG 🎯</t>
        </is>
      </c>
      <c r="K193" s="3" t="inlineStr">
        <is>
          <t>32, 33, 39, 52, 53, 59, 82, 83, 89</t>
        </is>
      </c>
      <c r="L193" s="6" t="inlineStr">
        <is>
          <t>TRƯỢT ❌</t>
        </is>
      </c>
      <c r="M193" s="6" t="inlineStr">
        <is>
          <t>TRƯỢT KHUNG ❌</t>
        </is>
      </c>
    </row>
    <row r="194">
      <c r="A194" s="2" t="n">
        <v>190</v>
      </c>
      <c r="B194" s="2" t="inlineStr">
        <is>
          <t>Thứ hai ngày 13-07-2026</t>
        </is>
      </c>
      <c r="C194" s="3" t="inlineStr">
        <is>
          <t>59147</t>
        </is>
      </c>
      <c r="D194" s="3" t="inlineStr">
        <is>
          <t>47</t>
        </is>
      </c>
      <c r="E194" s="3" t="inlineStr">
        <is>
          <t>Đầu 4</t>
        </is>
      </c>
      <c r="F194" s="3" t="inlineStr">
        <is>
          <t>Đuôi 7</t>
        </is>
      </c>
      <c r="G194" s="3" t="inlineStr">
        <is>
          <t>8, 5, 3</t>
        </is>
      </c>
      <c r="H194" s="6" t="inlineStr">
        <is>
          <t>TRƯỢT ❌</t>
        </is>
      </c>
      <c r="I194" s="3" t="inlineStr">
        <is>
          <t>5, 2, 7</t>
        </is>
      </c>
      <c r="J194" s="7" t="inlineStr">
        <is>
          <t>TRÚNG 🎯</t>
        </is>
      </c>
      <c r="K194" s="3" t="inlineStr">
        <is>
          <t>32, 35, 37, 52, 55, 57, 82, 85, 87</t>
        </is>
      </c>
      <c r="L194" s="6" t="inlineStr">
        <is>
          <t>TRƯỢT ❌</t>
        </is>
      </c>
      <c r="M194" s="6" t="inlineStr">
        <is>
          <t>TRƯỢT KHUNG ❌</t>
        </is>
      </c>
    </row>
    <row r="195">
      <c r="A195" s="2" t="n">
        <v>191</v>
      </c>
      <c r="B195" s="2" t="inlineStr">
        <is>
          <t>Thứ ba ngày 14-07-2026</t>
        </is>
      </c>
      <c r="C195" s="3" t="inlineStr">
        <is>
          <t>36119</t>
        </is>
      </c>
      <c r="D195" s="3" t="inlineStr">
        <is>
          <t>19</t>
        </is>
      </c>
      <c r="E195" s="3" t="inlineStr">
        <is>
          <t>Đầu 1</t>
        </is>
      </c>
      <c r="F195" s="3" t="inlineStr">
        <is>
          <t>Đuôi 9</t>
        </is>
      </c>
      <c r="G195" s="3" t="inlineStr">
        <is>
          <t>8, 5, 6</t>
        </is>
      </c>
      <c r="H195" s="6" t="inlineStr">
        <is>
          <t>TRƯỢT ❌</t>
        </is>
      </c>
      <c r="I195" s="3" t="inlineStr">
        <is>
          <t>5, 2, 4</t>
        </is>
      </c>
      <c r="J195" s="6" t="inlineStr">
        <is>
          <t>TRƯỢT ❌</t>
        </is>
      </c>
      <c r="K195" s="3" t="inlineStr">
        <is>
          <t>52, 54, 55, 62, 64, 65, 82, 84, 85</t>
        </is>
      </c>
      <c r="L195" s="6" t="inlineStr">
        <is>
          <t>TRƯỢT ❌</t>
        </is>
      </c>
      <c r="M195" s="6" t="inlineStr">
        <is>
          <t>TRƯỢT KHUNG ❌</t>
        </is>
      </c>
    </row>
    <row r="196">
      <c r="A196" s="2" t="n">
        <v>192</v>
      </c>
      <c r="B196" s="2" t="inlineStr">
        <is>
          <t>Thứ tư ngày 15-07-2026</t>
        </is>
      </c>
      <c r="C196" s="3" t="inlineStr">
        <is>
          <t>96763</t>
        </is>
      </c>
      <c r="D196" s="3" t="inlineStr">
        <is>
          <t>63</t>
        </is>
      </c>
      <c r="E196" s="3" t="inlineStr">
        <is>
          <t>Đầu 6</t>
        </is>
      </c>
      <c r="F196" s="3" t="inlineStr">
        <is>
          <t>Đuôi 3</t>
        </is>
      </c>
      <c r="G196" s="3" t="inlineStr">
        <is>
          <t>8, 5, 6</t>
        </is>
      </c>
      <c r="H196" s="7" t="inlineStr">
        <is>
          <t>TRÚNG 🎯</t>
        </is>
      </c>
      <c r="I196" s="3" t="inlineStr">
        <is>
          <t>1, 5, 4</t>
        </is>
      </c>
      <c r="J196" s="6" t="inlineStr">
        <is>
          <t>TRƯỢT ❌</t>
        </is>
      </c>
      <c r="K196" s="3" t="inlineStr">
        <is>
          <t>51, 54, 55, 61, 64, 65, 81, 84, 85</t>
        </is>
      </c>
      <c r="L196" s="6" t="inlineStr">
        <is>
          <t>TRƯỢT ❌</t>
        </is>
      </c>
      <c r="M196" s="6" t="inlineStr">
        <is>
          <t>TRƯỢT KHUNG ❌</t>
        </is>
      </c>
    </row>
    <row r="197">
      <c r="A197" s="2" t="n">
        <v>193</v>
      </c>
      <c r="B197" s="2" t="inlineStr">
        <is>
          <t>Thứ năm ngày 16-07-2026</t>
        </is>
      </c>
      <c r="C197" s="3" t="inlineStr">
        <is>
          <t>45739</t>
        </is>
      </c>
      <c r="D197" s="3" t="inlineStr">
        <is>
          <t>39</t>
        </is>
      </c>
      <c r="E197" s="3" t="inlineStr">
        <is>
          <t>Đầu 3</t>
        </is>
      </c>
      <c r="F197" s="3" t="inlineStr">
        <is>
          <t>Đuôi 9</t>
        </is>
      </c>
      <c r="G197" s="3" t="inlineStr">
        <is>
          <t>5, 8, 3</t>
        </is>
      </c>
      <c r="H197" s="7" t="inlineStr">
        <is>
          <t>TRÚNG 🎯</t>
        </is>
      </c>
      <c r="I197" s="3" t="inlineStr">
        <is>
          <t>1, 4, 5</t>
        </is>
      </c>
      <c r="J197" s="6" t="inlineStr">
        <is>
          <t>TRƯỢT ❌</t>
        </is>
      </c>
      <c r="K197" s="3" t="inlineStr">
        <is>
          <t>31, 34, 35, 51, 54, 55, 81, 84, 85</t>
        </is>
      </c>
      <c r="L197" s="6" t="inlineStr">
        <is>
          <t>TRƯỢT ❌</t>
        </is>
      </c>
      <c r="M197" s="6" t="inlineStr">
        <is>
          <t>TRƯỢT KHUNG ❌</t>
        </is>
      </c>
    </row>
    <row r="198">
      <c r="A198" s="2" t="n">
        <v>194</v>
      </c>
      <c r="B198" s="2" t="inlineStr">
        <is>
          <t>Thứ sáu ngày 17-07-2026</t>
        </is>
      </c>
      <c r="C198" s="3" t="inlineStr">
        <is>
          <t>26890</t>
        </is>
      </c>
      <c r="D198" s="3" t="inlineStr">
        <is>
          <t>90</t>
        </is>
      </c>
      <c r="E198" s="3" t="inlineStr">
        <is>
          <t>Đầu 9</t>
        </is>
      </c>
      <c r="F198" s="3" t="inlineStr">
        <is>
          <t>Đuôi 0</t>
        </is>
      </c>
      <c r="G198" s="3" t="inlineStr">
        <is>
          <t>8, 9, 5</t>
        </is>
      </c>
      <c r="H198" s="7" t="inlineStr">
        <is>
          <t>TRÚNG 🎯</t>
        </is>
      </c>
      <c r="I198" s="3" t="inlineStr">
        <is>
          <t>1, 4, 7</t>
        </is>
      </c>
      <c r="J198" s="6" t="inlineStr">
        <is>
          <t>TRƯỢT ❌</t>
        </is>
      </c>
      <c r="K198" s="3" t="inlineStr">
        <is>
          <t>51, 54, 57, 81, 84, 87, 91, 94, 97</t>
        </is>
      </c>
      <c r="L198" s="6" t="inlineStr">
        <is>
          <t>TRƯỢT ❌</t>
        </is>
      </c>
      <c r="M198" s="6" t="inlineStr">
        <is>
          <t>TRƯỢT KHUNG ❌</t>
        </is>
      </c>
    </row>
    <row r="199">
      <c r="A199" s="2" t="n">
        <v>195</v>
      </c>
      <c r="B199" s="2" t="inlineStr">
        <is>
          <t>Thứ bảy ngày 18-07-2026</t>
        </is>
      </c>
      <c r="C199" s="3" t="inlineStr">
        <is>
          <t>46438</t>
        </is>
      </c>
      <c r="D199" s="3" t="inlineStr">
        <is>
          <t>38</t>
        </is>
      </c>
      <c r="E199" s="3" t="inlineStr">
        <is>
          <t>Đầu 3</t>
        </is>
      </c>
      <c r="F199" s="3" t="inlineStr">
        <is>
          <t>Đuôi 8</t>
        </is>
      </c>
      <c r="G199" s="3" t="inlineStr">
        <is>
          <t>8, 5, 6</t>
        </is>
      </c>
      <c r="H199" s="6" t="inlineStr">
        <is>
          <t>TRƯỢT ❌</t>
        </is>
      </c>
      <c r="I199" s="3" t="inlineStr">
        <is>
          <t>7, 1, 4</t>
        </is>
      </c>
      <c r="J199" s="6" t="inlineStr">
        <is>
          <t>TRƯỢT ❌</t>
        </is>
      </c>
      <c r="K199" s="3" t="inlineStr">
        <is>
          <t>51, 54, 57, 61, 64, 67, 81, 84, 87</t>
        </is>
      </c>
      <c r="L199" s="6" t="inlineStr">
        <is>
          <t>TRƯỢT ❌</t>
        </is>
      </c>
      <c r="M199" s="6" t="inlineStr">
        <is>
          <t>TRƯỢT KHUNG ❌</t>
        </is>
      </c>
    </row>
    <row r="200">
      <c r="A200" s="2" t="n">
        <v>196</v>
      </c>
      <c r="B200" s="2" t="inlineStr">
        <is>
          <t>Chủ nhật ngày 19-07-2026</t>
        </is>
      </c>
      <c r="C200" s="3" t="inlineStr">
        <is>
          <t>39128</t>
        </is>
      </c>
      <c r="D200" s="3" t="inlineStr">
        <is>
          <t>28</t>
        </is>
      </c>
      <c r="E200" s="3" t="inlineStr">
        <is>
          <t>Đầu 2</t>
        </is>
      </c>
      <c r="F200" s="3" t="inlineStr">
        <is>
          <t>Đuôi 8</t>
        </is>
      </c>
      <c r="G200" s="3" t="inlineStr">
        <is>
          <t>8, 6, 5</t>
        </is>
      </c>
      <c r="H200" s="6" t="inlineStr">
        <is>
          <t>TRƯỢT ❌</t>
        </is>
      </c>
      <c r="I200" s="3" t="inlineStr">
        <is>
          <t>7, 9, 4</t>
        </is>
      </c>
      <c r="J200" s="6" t="inlineStr">
        <is>
          <t>TRƯỢT ❌</t>
        </is>
      </c>
      <c r="K200" s="3" t="inlineStr">
        <is>
          <t>54, 57, 59, 64, 67, 69, 84, 87, 89</t>
        </is>
      </c>
      <c r="L200" s="6" t="inlineStr">
        <is>
          <t>TRƯỢT ❌</t>
        </is>
      </c>
      <c r="M200" s="7" t="inlineStr">
        <is>
          <t>TRÚNG KHUNG 🎯</t>
        </is>
      </c>
    </row>
    <row r="201">
      <c r="A201" s="2" t="n">
        <v>197</v>
      </c>
      <c r="B201" s="2" t="inlineStr">
        <is>
          <t>Thứ hai ngày 20-07-2026</t>
        </is>
      </c>
      <c r="C201" s="3" t="inlineStr">
        <is>
          <t>73070</t>
        </is>
      </c>
      <c r="D201" s="3" t="inlineStr">
        <is>
          <t>70</t>
        </is>
      </c>
      <c r="E201" s="3" t="inlineStr">
        <is>
          <t>Đầu 7</t>
        </is>
      </c>
      <c r="F201" s="3" t="inlineStr">
        <is>
          <t>Đuôi 0</t>
        </is>
      </c>
      <c r="G201" s="3" t="inlineStr">
        <is>
          <t>6, 8, 5</t>
        </is>
      </c>
      <c r="H201" s="6" t="inlineStr">
        <is>
          <t>TRƯỢT ❌</t>
        </is>
      </c>
      <c r="I201" s="3" t="inlineStr">
        <is>
          <t>7, 9, 3</t>
        </is>
      </c>
      <c r="J201" s="6" t="inlineStr">
        <is>
          <t>TRƯỢT ❌</t>
        </is>
      </c>
      <c r="K201" s="3" t="inlineStr">
        <is>
          <t>53, 57, 59, 63, 67, 69, 83, 87, 89</t>
        </is>
      </c>
      <c r="L201" s="6" t="inlineStr">
        <is>
          <t>TRƯỢT ❌</t>
        </is>
      </c>
      <c r="M201" s="6" t="inlineStr">
        <is>
          <t>TRƯỢT KHUNG ❌</t>
        </is>
      </c>
    </row>
    <row r="202">
      <c r="A202" s="2" t="n">
        <v>198</v>
      </c>
      <c r="B202" s="2" t="inlineStr">
        <is>
          <t>Thứ ba ngày 21-07-2026</t>
        </is>
      </c>
      <c r="C202" s="3" t="inlineStr">
        <is>
          <t>92154</t>
        </is>
      </c>
      <c r="D202" s="3" t="inlineStr">
        <is>
          <t>54</t>
        </is>
      </c>
      <c r="E202" s="3" t="inlineStr">
        <is>
          <t>Đầu 5</t>
        </is>
      </c>
      <c r="F202" s="3" t="inlineStr">
        <is>
          <t>Đuôi 4</t>
        </is>
      </c>
      <c r="G202" s="3" t="inlineStr">
        <is>
          <t>6, 3, 8</t>
        </is>
      </c>
      <c r="H202" s="6" t="inlineStr">
        <is>
          <t>TRƯỢT ❌</t>
        </is>
      </c>
      <c r="I202" s="3" t="inlineStr">
        <is>
          <t>9, 7, 1</t>
        </is>
      </c>
      <c r="J202" s="6" t="inlineStr">
        <is>
          <t>TRƯỢT ❌</t>
        </is>
      </c>
      <c r="K202" s="3" t="inlineStr">
        <is>
          <t>31, 37, 39, 61, 67, 69, 81, 87, 89</t>
        </is>
      </c>
      <c r="L202" s="6" t="inlineStr">
        <is>
          <t>TRƯỢT ❌</t>
        </is>
      </c>
      <c r="M202" s="6" t="inlineStr">
        <is>
          <t>TRƯỢT KHUNG ❌</t>
        </is>
      </c>
    </row>
    <row r="203">
      <c r="A203" s="2" t="n">
        <v>199</v>
      </c>
      <c r="B203" s="2" t="inlineStr">
        <is>
          <t>Thứ tư ngày 22-07-2026</t>
        </is>
      </c>
      <c r="C203" s="3" t="inlineStr">
        <is>
          <t>78754</t>
        </is>
      </c>
      <c r="D203" s="3" t="inlineStr">
        <is>
          <t>54</t>
        </is>
      </c>
      <c r="E203" s="3" t="inlineStr">
        <is>
          <t>Đầu 5</t>
        </is>
      </c>
      <c r="F203" s="3" t="inlineStr">
        <is>
          <t>Đuôi 4</t>
        </is>
      </c>
      <c r="G203" s="3" t="inlineStr">
        <is>
          <t>6, 9, 8</t>
        </is>
      </c>
      <c r="H203" s="6" t="inlineStr">
        <is>
          <t>TRƯỢT ❌</t>
        </is>
      </c>
      <c r="I203" s="3" t="inlineStr">
        <is>
          <t>9, 7, 1</t>
        </is>
      </c>
      <c r="J203" s="6" t="inlineStr">
        <is>
          <t>TRƯỢT ❌</t>
        </is>
      </c>
      <c r="K203" s="3" t="inlineStr">
        <is>
          <t>61, 67, 69, 81, 87, 89, 91, 97, 99</t>
        </is>
      </c>
      <c r="L203" s="6" t="inlineStr">
        <is>
          <t>TRƯỢT ❌</t>
        </is>
      </c>
      <c r="M203" s="6" t="inlineStr">
        <is>
          <t>TRƯỢT KHUNG ❌</t>
        </is>
      </c>
    </row>
    <row r="204">
      <c r="A204" s="2" t="n">
        <v>200</v>
      </c>
      <c r="B204" s="2" t="inlineStr">
        <is>
          <t>Thứ năm ngày 23-07-2026</t>
        </is>
      </c>
      <c r="C204" s="3" t="inlineStr">
        <is>
          <t>94738</t>
        </is>
      </c>
      <c r="D204" s="3" t="inlineStr">
        <is>
          <t>38</t>
        </is>
      </c>
      <c r="E204" s="3" t="inlineStr">
        <is>
          <t>Đầu 3</t>
        </is>
      </c>
      <c r="F204" s="3" t="inlineStr">
        <is>
          <t>Đuôi 8</t>
        </is>
      </c>
      <c r="G204" s="3" t="inlineStr">
        <is>
          <t>6, 9, 3</t>
        </is>
      </c>
      <c r="H204" s="7" t="inlineStr">
        <is>
          <t>TRÚNG 🎯</t>
        </is>
      </c>
      <c r="I204" s="3" t="inlineStr">
        <is>
          <t>9, 7, 1</t>
        </is>
      </c>
      <c r="J204" s="6" t="inlineStr">
        <is>
          <t>TRƯỢT ❌</t>
        </is>
      </c>
      <c r="K204" s="3" t="inlineStr">
        <is>
          <t>31, 37, 39, 61, 67, 69, 91, 97, 99</t>
        </is>
      </c>
      <c r="L204" s="6" t="inlineStr">
        <is>
          <t>TRƯỢT ❌</t>
        </is>
      </c>
      <c r="M204" s="6" t="inlineStr">
        <is>
          <t>TRƯỢT KHUNG ❌</t>
        </is>
      </c>
    </row>
    <row r="205">
      <c r="A205" s="2" t="n">
        <v>201</v>
      </c>
      <c r="B205" s="2" t="inlineStr">
        <is>
          <t>Thứ sáu ngày 24-07-2026</t>
        </is>
      </c>
      <c r="C205" s="3" t="inlineStr">
        <is>
          <t>89228</t>
        </is>
      </c>
      <c r="D205" s="3" t="inlineStr">
        <is>
          <t>28</t>
        </is>
      </c>
      <c r="E205" s="3" t="inlineStr">
        <is>
          <t>Đầu 2</t>
        </is>
      </c>
      <c r="F205" s="3" t="inlineStr">
        <is>
          <t>Đuôi 8</t>
        </is>
      </c>
      <c r="G205" s="3" t="inlineStr">
        <is>
          <t>9, 6, 8</t>
        </is>
      </c>
      <c r="H205" s="6" t="inlineStr">
        <is>
          <t>TRƯỢT ❌</t>
        </is>
      </c>
      <c r="I205" s="3" t="inlineStr">
        <is>
          <t>9, 7, 4</t>
        </is>
      </c>
      <c r="J205" s="6" t="inlineStr">
        <is>
          <t>TRƯỢT ❌</t>
        </is>
      </c>
      <c r="K205" s="3" t="inlineStr">
        <is>
          <t>64, 67, 69, 84, 87, 89, 94, 97, 99</t>
        </is>
      </c>
      <c r="L205" s="6" t="inlineStr">
        <is>
          <t>TRƯỢT ❌</t>
        </is>
      </c>
      <c r="M205" s="6" t="inlineStr">
        <is>
          <t>TRƯỢT KHUNG ❌</t>
        </is>
      </c>
    </row>
    <row r="206">
      <c r="A206" s="2" t="n">
        <v>202</v>
      </c>
      <c r="B206" s="2" t="inlineStr">
        <is>
          <t>Thứ bảy ngày 25-07-2026</t>
        </is>
      </c>
      <c r="C206" s="3" t="inlineStr">
        <is>
          <t>42916</t>
        </is>
      </c>
      <c r="D206" s="3" t="inlineStr">
        <is>
          <t>16</t>
        </is>
      </c>
      <c r="E206" s="3" t="inlineStr">
        <is>
          <t>Đầu 1</t>
        </is>
      </c>
      <c r="F206" s="3" t="inlineStr">
        <is>
          <t>Đuôi 6</t>
        </is>
      </c>
      <c r="G206" s="3" t="inlineStr">
        <is>
          <t>9, 6, 7</t>
        </is>
      </c>
      <c r="H206" s="6" t="inlineStr">
        <is>
          <t>TRƯỢT ❌</t>
        </is>
      </c>
      <c r="I206" s="3" t="inlineStr">
        <is>
          <t>9, 7, 4</t>
        </is>
      </c>
      <c r="J206" s="6" t="inlineStr">
        <is>
          <t>TRƯỢT ❌</t>
        </is>
      </c>
      <c r="K206" s="3" t="inlineStr">
        <is>
          <t>64, 67, 69, 74, 77, 79, 94, 97, 99</t>
        </is>
      </c>
      <c r="L206" s="6" t="inlineStr">
        <is>
          <t>TRƯỢT ❌</t>
        </is>
      </c>
      <c r="M206" s="6" t="inlineStr">
        <is>
          <t>TRƯỢT KHUNG ❌</t>
        </is>
      </c>
    </row>
    <row r="207">
      <c r="A207" s="2" t="n">
        <v>203</v>
      </c>
      <c r="B207" s="2" t="inlineStr">
        <is>
          <t>Chủ nhật ngày 26-07-2026</t>
        </is>
      </c>
      <c r="C207" s="3" t="inlineStr">
        <is>
          <t>54796</t>
        </is>
      </c>
      <c r="D207" s="3" t="inlineStr">
        <is>
          <t>96</t>
        </is>
      </c>
      <c r="E207" s="3" t="inlineStr">
        <is>
          <t>Đầu 9</t>
        </is>
      </c>
      <c r="F207" s="3" t="inlineStr">
        <is>
          <t>Đuôi 6</t>
        </is>
      </c>
      <c r="G207" s="3" t="inlineStr">
        <is>
          <t>6, 9, 7</t>
        </is>
      </c>
      <c r="H207" s="7" t="inlineStr">
        <is>
          <t>TRÚNG 🎯</t>
        </is>
      </c>
      <c r="I207" s="3" t="inlineStr">
        <is>
          <t>9, 7, 4</t>
        </is>
      </c>
      <c r="J207" s="6" t="inlineStr">
        <is>
          <t>TRƯỢT ❌</t>
        </is>
      </c>
      <c r="K207" s="3" t="inlineStr">
        <is>
          <t>64, 67, 69, 74, 77, 79, 94, 97, 99</t>
        </is>
      </c>
      <c r="L207" s="6" t="inlineStr">
        <is>
          <t>TRƯỢT ❌</t>
        </is>
      </c>
      <c r="M207" s="6" t="inlineStr">
        <is>
          <t>TRƯỢT KHUNG ❌</t>
        </is>
      </c>
    </row>
    <row r="208">
      <c r="A208" s="2" t="n">
        <v>204</v>
      </c>
      <c r="B208" s="2" t="inlineStr">
        <is>
          <t>Thứ hai ngày 27-07-2026</t>
        </is>
      </c>
      <c r="C208" s="3" t="inlineStr">
        <is>
          <t>65000</t>
        </is>
      </c>
      <c r="D208" s="3" t="inlineStr">
        <is>
          <t>00</t>
        </is>
      </c>
      <c r="E208" s="3" t="inlineStr">
        <is>
          <t>Đầu 0</t>
        </is>
      </c>
      <c r="F208" s="3" t="inlineStr">
        <is>
          <t>Đuôi 0</t>
        </is>
      </c>
      <c r="G208" s="3" t="inlineStr">
        <is>
          <t>5, 6, 7</t>
        </is>
      </c>
      <c r="H208" s="6" t="inlineStr">
        <is>
          <t>TRƯỢT ❌</t>
        </is>
      </c>
      <c r="I208" s="3" t="inlineStr">
        <is>
          <t>9, 4, 7</t>
        </is>
      </c>
      <c r="J208" s="6" t="inlineStr">
        <is>
          <t>TRƯỢT ❌</t>
        </is>
      </c>
      <c r="K208" s="3" t="inlineStr">
        <is>
          <t>54, 57, 59, 64, 67, 69, 74, 77, 79</t>
        </is>
      </c>
      <c r="L208" s="6" t="inlineStr">
        <is>
          <t>TRƯỢT ❌</t>
        </is>
      </c>
      <c r="M208" s="6" t="inlineStr">
        <is>
          <t>TRƯỢT KHUNG ❌</t>
        </is>
      </c>
    </row>
    <row r="209">
      <c r="A209" s="2" t="n">
        <v>205</v>
      </c>
      <c r="B209" s="2" t="inlineStr">
        <is>
          <t>Thứ ba ngày 28-07-2026</t>
        </is>
      </c>
      <c r="C209" s="3" t="inlineStr">
        <is>
          <t>39983</t>
        </is>
      </c>
      <c r="D209" s="3" t="inlineStr">
        <is>
          <t>83</t>
        </is>
      </c>
      <c r="E209" s="3" t="inlineStr">
        <is>
          <t>Đầu 8</t>
        </is>
      </c>
      <c r="F209" s="3" t="inlineStr">
        <is>
          <t>Đuôi 3</t>
        </is>
      </c>
      <c r="G209" s="3" t="inlineStr">
        <is>
          <t>3, 6, 5</t>
        </is>
      </c>
      <c r="H209" s="6" t="inlineStr">
        <is>
          <t>TRƯỢT ❌</t>
        </is>
      </c>
      <c r="I209" s="3" t="inlineStr">
        <is>
          <t>9, 4, 7</t>
        </is>
      </c>
      <c r="J209" s="6" t="inlineStr">
        <is>
          <t>TRƯỢT ❌</t>
        </is>
      </c>
      <c r="K209" s="3" t="inlineStr">
        <is>
          <t>34, 37, 39, 54, 57, 59, 64, 67, 69</t>
        </is>
      </c>
      <c r="L209" s="6" t="inlineStr">
        <is>
          <t>TRƯỢT ❌</t>
        </is>
      </c>
      <c r="M209" s="7" t="inlineStr">
        <is>
          <t>TRÚNG KHUNG 🎯</t>
        </is>
      </c>
    </row>
    <row r="210">
      <c r="A210" s="2" t="n">
        <v>206</v>
      </c>
      <c r="B210" s="2" t="inlineStr">
        <is>
          <t>Thứ tư ngày 29-07-2026</t>
        </is>
      </c>
      <c r="C210" s="3" t="inlineStr">
        <is>
          <t>50834</t>
        </is>
      </c>
      <c r="D210" s="3" t="inlineStr">
        <is>
          <t>34</t>
        </is>
      </c>
      <c r="E210" s="3" t="inlineStr">
        <is>
          <t>Đầu 3</t>
        </is>
      </c>
      <c r="F210" s="3" t="inlineStr">
        <is>
          <t>Đuôi 4</t>
        </is>
      </c>
      <c r="G210" s="3" t="inlineStr">
        <is>
          <t>3, 6, 5</t>
        </is>
      </c>
      <c r="H210" s="7" t="inlineStr">
        <is>
          <t>TRÚNG 🎯</t>
        </is>
      </c>
      <c r="I210" s="3" t="inlineStr">
        <is>
          <t>9, 8, 4</t>
        </is>
      </c>
      <c r="J210" s="7" t="inlineStr">
        <is>
          <t>TRÚNG 🎯</t>
        </is>
      </c>
      <c r="K210" s="3" t="inlineStr">
        <is>
          <t>34, 38, 39, 54, 58, 59, 64, 68, 69</t>
        </is>
      </c>
      <c r="L210" s="7" t="inlineStr">
        <is>
          <t>TRÚNG 🎯</t>
        </is>
      </c>
      <c r="M210" s="7" t="inlineStr">
        <is>
          <t>TRÚNG KHUNG 🎯</t>
        </is>
      </c>
    </row>
    <row r="211">
      <c r="A211" s="2" t="n">
        <v>207</v>
      </c>
      <c r="B211" s="2" t="inlineStr">
        <is>
          <t>Thứ năm ngày 30-07-2026</t>
        </is>
      </c>
      <c r="C211" s="3" t="inlineStr">
        <is>
          <t>41710</t>
        </is>
      </c>
      <c r="D211" s="3" t="inlineStr">
        <is>
          <t>10</t>
        </is>
      </c>
      <c r="E211" s="3" t="inlineStr">
        <is>
          <t>Đầu 1</t>
        </is>
      </c>
      <c r="F211" s="3" t="inlineStr">
        <is>
          <t>Đuôi 0</t>
        </is>
      </c>
      <c r="G211" s="3" t="inlineStr">
        <is>
          <t>5, 9, 6</t>
        </is>
      </c>
      <c r="H211" s="6" t="inlineStr">
        <is>
          <t>TRƯỢT ❌</t>
        </is>
      </c>
      <c r="I211" s="3" t="inlineStr">
        <is>
          <t>9, 8, 7</t>
        </is>
      </c>
      <c r="J211" s="6" t="inlineStr">
        <is>
          <t>TRƯỢT ❌</t>
        </is>
      </c>
      <c r="K211" s="3" t="inlineStr">
        <is>
          <t>57, 58, 59, 67, 68, 69, 97, 98, 99</t>
        </is>
      </c>
      <c r="L211" s="6" t="inlineStr">
        <is>
          <t>TRƯỢT ❌</t>
        </is>
      </c>
      <c r="M211" s="6" t="inlineStr">
        <is>
          <t>TRƯỢT KHUNG ❌</t>
        </is>
      </c>
    </row>
    <row r="212">
      <c r="A212" s="2" t="n">
        <v>208</v>
      </c>
      <c r="B212" s="2" t="inlineStr">
        <is>
          <t>Thứ sáu ngày 31-07-2026</t>
        </is>
      </c>
      <c r="C212" s="3" t="inlineStr">
        <is>
          <t>44823</t>
        </is>
      </c>
      <c r="D212" s="3" t="inlineStr">
        <is>
          <t>23</t>
        </is>
      </c>
      <c r="E212" s="3" t="inlineStr">
        <is>
          <t>Đầu 2</t>
        </is>
      </c>
      <c r="F212" s="3" t="inlineStr">
        <is>
          <t>Đuôi 3</t>
        </is>
      </c>
      <c r="G212" s="3" t="inlineStr">
        <is>
          <t>9, 6, 7</t>
        </is>
      </c>
      <c r="H212" s="6" t="inlineStr">
        <is>
          <t>TRƯỢT ❌</t>
        </is>
      </c>
      <c r="I212" s="3" t="inlineStr">
        <is>
          <t>9, 8, 7</t>
        </is>
      </c>
      <c r="J212" s="6" t="inlineStr">
        <is>
          <t>TRƯỢT ❌</t>
        </is>
      </c>
      <c r="K212" s="3" t="inlineStr">
        <is>
          <t>67, 68, 69, 77, 78, 79, 97, 98, 99</t>
        </is>
      </c>
      <c r="L212" s="6" t="inlineStr">
        <is>
          <t>TRƯỢT ❌</t>
        </is>
      </c>
      <c r="M212" s="6" t="inlineStr">
        <is>
          <t>TRƯỢT KHUNG ❌</t>
        </is>
      </c>
    </row>
    <row r="213">
      <c r="A213" s="2" t="n">
        <v>209</v>
      </c>
      <c r="B213" s="2" t="inlineStr">
        <is>
          <t>Thứ bảy ngày 01-08-2026</t>
        </is>
      </c>
      <c r="C213" s="3" t="inlineStr">
        <is>
          <t>11909</t>
        </is>
      </c>
      <c r="D213" s="3" t="inlineStr">
        <is>
          <t>09</t>
        </is>
      </c>
      <c r="E213" s="3" t="inlineStr">
        <is>
          <t>Đầu 0</t>
        </is>
      </c>
      <c r="F213" s="3" t="inlineStr">
        <is>
          <t>Đuôi 9</t>
        </is>
      </c>
      <c r="G213" s="3" t="inlineStr">
        <is>
          <t>9, 7, 8</t>
        </is>
      </c>
      <c r="H213" s="6" t="inlineStr">
        <is>
          <t>TRƯỢT ❌</t>
        </is>
      </c>
      <c r="I213" s="3" t="inlineStr">
        <is>
          <t>9, 8, 7</t>
        </is>
      </c>
      <c r="J213" s="7" t="inlineStr">
        <is>
          <t>TRÚNG 🎯</t>
        </is>
      </c>
      <c r="K213" s="3" t="inlineStr">
        <is>
          <t>77, 78, 79, 87, 88, 89, 97, 98, 99</t>
        </is>
      </c>
      <c r="L213" s="6" t="inlineStr">
        <is>
          <t>TRƯỢT ❌</t>
        </is>
      </c>
      <c r="M213" s="6" t="inlineStr">
        <is>
          <t>TRƯỢT KHUNG ❌</t>
        </is>
      </c>
    </row>
    <row r="214">
      <c r="A214" s="2" t="n">
        <v>210</v>
      </c>
      <c r="B214" s="2" t="inlineStr">
        <is>
          <t>Chủ nhật ngày 02-08-2026</t>
        </is>
      </c>
      <c r="C214" s="3" t="inlineStr">
        <is>
          <t>79247</t>
        </is>
      </c>
      <c r="D214" s="3" t="inlineStr">
        <is>
          <t>47</t>
        </is>
      </c>
      <c r="E214" s="3" t="inlineStr">
        <is>
          <t>Đầu 4</t>
        </is>
      </c>
      <c r="F214" s="3" t="inlineStr">
        <is>
          <t>Đuôi 7</t>
        </is>
      </c>
      <c r="G214" s="3" t="inlineStr">
        <is>
          <t>9, 8, 7</t>
        </is>
      </c>
      <c r="H214" s="6" t="inlineStr">
        <is>
          <t>TRƯỢT ❌</t>
        </is>
      </c>
      <c r="I214" s="3" t="inlineStr">
        <is>
          <t>8, 4, 7</t>
        </is>
      </c>
      <c r="J214" s="7" t="inlineStr">
        <is>
          <t>TRÚNG 🎯</t>
        </is>
      </c>
      <c r="K214" s="3" t="inlineStr">
        <is>
          <t>74, 77, 78, 84, 87, 88, 94, 97, 98</t>
        </is>
      </c>
      <c r="L214" s="6" t="inlineStr">
        <is>
          <t>TRƯỢT ❌</t>
        </is>
      </c>
      <c r="M214" s="6" t="inlineStr">
        <is>
          <t>TRƯỢT KHUNG ❌</t>
        </is>
      </c>
    </row>
    <row r="215">
      <c r="A215" s="2" t="n">
        <v>211</v>
      </c>
      <c r="B215" s="2" t="inlineStr">
        <is>
          <t>Thứ hai ngày 03-08-2026</t>
        </is>
      </c>
      <c r="C215" s="3" t="inlineStr">
        <is>
          <t>51125</t>
        </is>
      </c>
      <c r="D215" s="3" t="inlineStr">
        <is>
          <t>25</t>
        </is>
      </c>
      <c r="E215" s="3" t="inlineStr">
        <is>
          <t>Đầu 2</t>
        </is>
      </c>
      <c r="F215" s="3" t="inlineStr">
        <is>
          <t>Đuôi 5</t>
        </is>
      </c>
      <c r="G215" s="3" t="inlineStr">
        <is>
          <t>9, 3, 8</t>
        </is>
      </c>
      <c r="H215" s="6" t="inlineStr">
        <is>
          <t>TRƯỢT ❌</t>
        </is>
      </c>
      <c r="I215" s="3" t="inlineStr">
        <is>
          <t>4, 8, 9</t>
        </is>
      </c>
      <c r="J215" s="6" t="inlineStr">
        <is>
          <t>TRƯỢT ❌</t>
        </is>
      </c>
      <c r="K215" s="3" t="inlineStr">
        <is>
          <t>34, 38, 39, 84, 88, 89, 94, 98, 99</t>
        </is>
      </c>
      <c r="L215" s="6" t="inlineStr">
        <is>
          <t>TRƯỢT ❌</t>
        </is>
      </c>
      <c r="M215" s="6" t="inlineStr">
        <is>
          <t>TRƯỢT KHUNG ❌</t>
        </is>
      </c>
    </row>
    <row r="216">
      <c r="A216" s="2" t="n">
        <v>212</v>
      </c>
      <c r="B216" s="2" t="inlineStr">
        <is>
          <t>Thứ ba ngày 04-08-2026</t>
        </is>
      </c>
      <c r="C216" s="3" t="inlineStr">
        <is>
          <t>59760</t>
        </is>
      </c>
      <c r="D216" s="3" t="inlineStr">
        <is>
          <t>60</t>
        </is>
      </c>
      <c r="E216" s="3" t="inlineStr">
        <is>
          <t>Đầu 6</t>
        </is>
      </c>
      <c r="F216" s="3" t="inlineStr">
        <is>
          <t>Đuôi 0</t>
        </is>
      </c>
      <c r="G216" s="3" t="inlineStr">
        <is>
          <t>9, 3, 1</t>
        </is>
      </c>
      <c r="H216" s="6" t="inlineStr">
        <is>
          <t>TRƯỢT ❌</t>
        </is>
      </c>
      <c r="I216" s="3" t="inlineStr">
        <is>
          <t>0, 4, 8</t>
        </is>
      </c>
      <c r="J216" s="7" t="inlineStr">
        <is>
          <t>TRÚNG 🎯</t>
        </is>
      </c>
      <c r="K216" s="3" t="inlineStr">
        <is>
          <t>10, 14, 18, 30, 34, 38, 90, 94, 98</t>
        </is>
      </c>
      <c r="L216" s="6" t="inlineStr">
        <is>
          <t>TRƯỢT ❌</t>
        </is>
      </c>
      <c r="M216" s="6" t="inlineStr">
        <is>
          <t>TRƯỢT KHUNG ❌</t>
        </is>
      </c>
    </row>
    <row r="217">
      <c r="A217" s="2" t="n">
        <v>213</v>
      </c>
      <c r="B217" s="2" t="inlineStr">
        <is>
          <t>Thứ tư ngày 05-08-2026</t>
        </is>
      </c>
      <c r="C217" s="3" t="inlineStr">
        <is>
          <t>26167</t>
        </is>
      </c>
      <c r="D217" s="3" t="inlineStr">
        <is>
          <t>67</t>
        </is>
      </c>
      <c r="E217" s="3" t="inlineStr">
        <is>
          <t>Đầu 6</t>
        </is>
      </c>
      <c r="F217" s="3" t="inlineStr">
        <is>
          <t>Đuôi 7</t>
        </is>
      </c>
      <c r="G217" s="3" t="inlineStr">
        <is>
          <t>3, 9, 1</t>
        </is>
      </c>
      <c r="H217" s="6" t="inlineStr">
        <is>
          <t>TRƯỢT ❌</t>
        </is>
      </c>
      <c r="I217" s="3" t="inlineStr">
        <is>
          <t>4, 9, 8</t>
        </is>
      </c>
      <c r="J217" s="6" t="inlineStr">
        <is>
          <t>TRƯỢT ❌</t>
        </is>
      </c>
      <c r="K217" s="3" t="inlineStr">
        <is>
          <t>14, 18, 19, 34, 38, 39, 94, 98, 99</t>
        </is>
      </c>
      <c r="L217" s="6" t="inlineStr">
        <is>
          <t>TRƯỢT ❌</t>
        </is>
      </c>
      <c r="M217" s="6" t="inlineStr">
        <is>
          <t>TRƯỢT KHUNG ❌</t>
        </is>
      </c>
    </row>
    <row r="218">
      <c r="A218" s="2" t="n">
        <v>214</v>
      </c>
      <c r="B218" s="2" t="inlineStr">
        <is>
          <t>Thứ năm ngày 06-08-2026</t>
        </is>
      </c>
      <c r="C218" s="3" t="inlineStr">
        <is>
          <t>16479</t>
        </is>
      </c>
      <c r="D218" s="3" t="inlineStr">
        <is>
          <t>79</t>
        </is>
      </c>
      <c r="E218" s="3" t="inlineStr">
        <is>
          <t>Đầu 7</t>
        </is>
      </c>
      <c r="F218" s="3" t="inlineStr">
        <is>
          <t>Đuôi 9</t>
        </is>
      </c>
      <c r="G218" s="3" t="inlineStr">
        <is>
          <t>3, 9, 0</t>
        </is>
      </c>
      <c r="H218" s="6" t="inlineStr">
        <is>
          <t>TRƯỢT ❌</t>
        </is>
      </c>
      <c r="I218" s="3" t="inlineStr">
        <is>
          <t>9, 4, 8</t>
        </is>
      </c>
      <c r="J218" s="7" t="inlineStr">
        <is>
          <t>TRÚNG 🎯</t>
        </is>
      </c>
      <c r="K218" s="3" t="inlineStr">
        <is>
          <t>04, 08, 09, 34, 38, 39, 94, 98, 99</t>
        </is>
      </c>
      <c r="L218" s="6" t="inlineStr">
        <is>
          <t>TRƯỢT ❌</t>
        </is>
      </c>
      <c r="M218" s="6" t="inlineStr">
        <is>
          <t>TRƯỢT KHUNG ❌</t>
        </is>
      </c>
    </row>
    <row r="219">
      <c r="A219" s="2" t="n">
        <v>215</v>
      </c>
      <c r="B219" s="2" t="inlineStr">
        <is>
          <t>Thứ sáu ngày 07-08-2026</t>
        </is>
      </c>
      <c r="C219" s="3" t="inlineStr">
        <is>
          <t>04922</t>
        </is>
      </c>
      <c r="D219" s="3" t="inlineStr">
        <is>
          <t>22</t>
        </is>
      </c>
      <c r="E219" s="3" t="inlineStr">
        <is>
          <t>Đầu 2</t>
        </is>
      </c>
      <c r="F219" s="3" t="inlineStr">
        <is>
          <t>Đuôi 2</t>
        </is>
      </c>
      <c r="G219" s="3" t="inlineStr">
        <is>
          <t>3, 9, 0</t>
        </is>
      </c>
      <c r="H219" s="6" t="inlineStr">
        <is>
          <t>TRƯỢT ❌</t>
        </is>
      </c>
      <c r="I219" s="3" t="inlineStr">
        <is>
          <t>4, 8, 3</t>
        </is>
      </c>
      <c r="J219" s="6" t="inlineStr">
        <is>
          <t>TRƯỢT ❌</t>
        </is>
      </c>
      <c r="K219" s="3" t="inlineStr">
        <is>
          <t>03, 04, 08, 33, 34, 38, 93, 94, 98</t>
        </is>
      </c>
      <c r="L219" s="6" t="inlineStr">
        <is>
          <t>TRƯỢT ❌</t>
        </is>
      </c>
      <c r="M219" s="6" t="inlineStr">
        <is>
          <t>TRƯỢT KHUNG ❌</t>
        </is>
      </c>
    </row>
    <row r="220">
      <c r="A220" s="2" t="n">
        <v>216</v>
      </c>
      <c r="B220" s="2" t="inlineStr">
        <is>
          <t>Thứ bảy ngày 08-08-2026</t>
        </is>
      </c>
      <c r="C220" s="3" t="inlineStr">
        <is>
          <t>12221</t>
        </is>
      </c>
      <c r="D220" s="3" t="inlineStr">
        <is>
          <t>21</t>
        </is>
      </c>
      <c r="E220" s="3" t="inlineStr">
        <is>
          <t>Đầu 2</t>
        </is>
      </c>
      <c r="F220" s="3" t="inlineStr">
        <is>
          <t>Đuôi 1</t>
        </is>
      </c>
      <c r="G220" s="3" t="inlineStr">
        <is>
          <t>3, 9, 0</t>
        </is>
      </c>
      <c r="H220" s="6" t="inlineStr">
        <is>
          <t>TRƯỢT ❌</t>
        </is>
      </c>
      <c r="I220" s="3" t="inlineStr">
        <is>
          <t>4, 8, 3</t>
        </is>
      </c>
      <c r="J220" s="6" t="inlineStr">
        <is>
          <t>TRƯỢT ❌</t>
        </is>
      </c>
      <c r="K220" s="3" t="inlineStr">
        <is>
          <t>03, 04, 08, 33, 34, 38, 93, 94, 98</t>
        </is>
      </c>
      <c r="L220" s="6" t="inlineStr">
        <is>
          <t>TRƯỢT ❌</t>
        </is>
      </c>
      <c r="M220" s="6" t="inlineStr">
        <is>
          <t>TRƯỢT KHUNG ❌</t>
        </is>
      </c>
    </row>
    <row r="221">
      <c r="A221" s="2" t="n">
        <v>217</v>
      </c>
      <c r="B221" s="2" t="inlineStr">
        <is>
          <t>Chủ nhật ngày 09-08-2026</t>
        </is>
      </c>
      <c r="C221" s="3" t="inlineStr">
        <is>
          <t>92957</t>
        </is>
      </c>
      <c r="D221" s="3" t="inlineStr">
        <is>
          <t>57</t>
        </is>
      </c>
      <c r="E221" s="3" t="inlineStr">
        <is>
          <t>Đầu 5</t>
        </is>
      </c>
      <c r="F221" s="3" t="inlineStr">
        <is>
          <t>Đuôi 7</t>
        </is>
      </c>
      <c r="G221" s="3" t="inlineStr">
        <is>
          <t>3, 9, 0</t>
        </is>
      </c>
      <c r="H221" s="6" t="inlineStr">
        <is>
          <t>TRƯỢT ❌</t>
        </is>
      </c>
      <c r="I221" s="3" t="inlineStr">
        <is>
          <t>0, 4, 8</t>
        </is>
      </c>
      <c r="J221" s="6" t="inlineStr">
        <is>
          <t>TRƯỢT ❌</t>
        </is>
      </c>
      <c r="K221" s="3" t="inlineStr">
        <is>
          <t>00, 04, 08, 30, 34, 38, 90, 94, 98</t>
        </is>
      </c>
      <c r="L221" s="6" t="inlineStr">
        <is>
          <t>TRƯỢT ❌</t>
        </is>
      </c>
      <c r="M221" s="6" t="inlineStr">
        <is>
          <t>TRƯỢT KHUNG ❌</t>
        </is>
      </c>
    </row>
    <row r="222">
      <c r="A222" s="2" t="n">
        <v>218</v>
      </c>
      <c r="B222" s="2" t="inlineStr">
        <is>
          <t>Thứ hai ngày 10-08-2026</t>
        </is>
      </c>
      <c r="C222" s="3" t="inlineStr">
        <is>
          <t>92191</t>
        </is>
      </c>
      <c r="D222" s="3" t="inlineStr">
        <is>
          <t>91</t>
        </is>
      </c>
      <c r="E222" s="3" t="inlineStr">
        <is>
          <t>Đầu 9</t>
        </is>
      </c>
      <c r="F222" s="3" t="inlineStr">
        <is>
          <t>Đuôi 1</t>
        </is>
      </c>
      <c r="G222" s="3" t="inlineStr">
        <is>
          <t>3, 9, 6</t>
        </is>
      </c>
      <c r="H222" s="7" t="inlineStr">
        <is>
          <t>TRÚNG 🎯</t>
        </is>
      </c>
      <c r="I222" s="3" t="inlineStr">
        <is>
          <t>0, 4, 9</t>
        </is>
      </c>
      <c r="J222" s="6" t="inlineStr">
        <is>
          <t>TRƯỢT ❌</t>
        </is>
      </c>
      <c r="K222" s="3" t="inlineStr">
        <is>
          <t>30, 34, 39, 60, 64, 69, 90, 94, 99</t>
        </is>
      </c>
      <c r="L222" s="6" t="inlineStr">
        <is>
          <t>TRƯỢT ❌</t>
        </is>
      </c>
      <c r="M222" s="6" t="inlineStr">
        <is>
          <t>TRƯỢT KHUNG ❌</t>
        </is>
      </c>
    </row>
    <row r="223">
      <c r="A223" s="2" t="n">
        <v>219</v>
      </c>
      <c r="B223" s="2" t="inlineStr">
        <is>
          <t>Thứ ba ngày 11-08-2026</t>
        </is>
      </c>
      <c r="C223" s="3" t="inlineStr">
        <is>
          <t>82326</t>
        </is>
      </c>
      <c r="D223" s="3" t="inlineStr">
        <is>
          <t>26</t>
        </is>
      </c>
      <c r="E223" s="3" t="inlineStr">
        <is>
          <t>Đầu 2</t>
        </is>
      </c>
      <c r="F223" s="3" t="inlineStr">
        <is>
          <t>Đuôi 6</t>
        </is>
      </c>
      <c r="G223" s="3" t="inlineStr">
        <is>
          <t>2, 3, 6</t>
        </is>
      </c>
      <c r="H223" s="7" t="inlineStr">
        <is>
          <t>TRÚNG 🎯</t>
        </is>
      </c>
      <c r="I223" s="3" t="inlineStr">
        <is>
          <t>0, 9, 3</t>
        </is>
      </c>
      <c r="J223" s="6" t="inlineStr">
        <is>
          <t>TRƯỢT ❌</t>
        </is>
      </c>
      <c r="K223" s="3" t="inlineStr">
        <is>
          <t>20, 23, 29, 30, 33, 39, 60, 63, 69</t>
        </is>
      </c>
      <c r="L223" s="6" t="inlineStr">
        <is>
          <t>TRƯỢT ❌</t>
        </is>
      </c>
      <c r="M223" s="6" t="inlineStr">
        <is>
          <t>TRƯỢT KHUNG ❌</t>
        </is>
      </c>
    </row>
    <row r="224">
      <c r="A224" s="2" t="n">
        <v>220</v>
      </c>
      <c r="B224" s="2" t="inlineStr">
        <is>
          <t>Thứ tư ngày 12-08-2026</t>
        </is>
      </c>
      <c r="C224" s="3" t="inlineStr">
        <is>
          <t>79344</t>
        </is>
      </c>
      <c r="D224" s="3" t="inlineStr">
        <is>
          <t>44</t>
        </is>
      </c>
      <c r="E224" s="3" t="inlineStr">
        <is>
          <t>Đầu 4</t>
        </is>
      </c>
      <c r="F224" s="3" t="inlineStr">
        <is>
          <t>Đuôi 4</t>
        </is>
      </c>
      <c r="G224" s="3" t="inlineStr">
        <is>
          <t>3, 6, 2</t>
        </is>
      </c>
      <c r="H224" s="6" t="inlineStr">
        <is>
          <t>TRƯỢT ❌</t>
        </is>
      </c>
      <c r="I224" s="3" t="inlineStr">
        <is>
          <t>0, 9, 3</t>
        </is>
      </c>
      <c r="J224" s="6" t="inlineStr">
        <is>
          <t>TRƯỢT ❌</t>
        </is>
      </c>
      <c r="K224" s="3" t="inlineStr">
        <is>
          <t>20, 23, 29, 30, 33, 39, 60, 63, 69</t>
        </is>
      </c>
      <c r="L224" s="6" t="inlineStr">
        <is>
          <t>TRƯỢT ❌</t>
        </is>
      </c>
      <c r="M224" s="6" t="inlineStr">
        <is>
          <t>TRƯỢT KHUNG ❌</t>
        </is>
      </c>
    </row>
    <row r="225">
      <c r="A225" s="2" t="n">
        <v>221</v>
      </c>
      <c r="B225" s="2" t="inlineStr">
        <is>
          <t>Thứ năm ngày 13-08-2026</t>
        </is>
      </c>
      <c r="C225" s="3" t="inlineStr">
        <is>
          <t>80018</t>
        </is>
      </c>
      <c r="D225" s="3" t="inlineStr">
        <is>
          <t>18</t>
        </is>
      </c>
      <c r="E225" s="3" t="inlineStr">
        <is>
          <t>Đầu 1</t>
        </is>
      </c>
      <c r="F225" s="3" t="inlineStr">
        <is>
          <t>Đuôi 8</t>
        </is>
      </c>
      <c r="G225" s="3" t="inlineStr">
        <is>
          <t>2, 3, 6</t>
        </is>
      </c>
      <c r="H225" s="6" t="inlineStr">
        <is>
          <t>TRƯỢT ❌</t>
        </is>
      </c>
      <c r="I225" s="3" t="inlineStr">
        <is>
          <t>0, 9, 3</t>
        </is>
      </c>
      <c r="J225" s="6" t="inlineStr">
        <is>
          <t>TRƯỢT ❌</t>
        </is>
      </c>
      <c r="K225" s="3" t="inlineStr">
        <is>
          <t>20, 23, 29, 30, 33, 39, 60, 63, 69</t>
        </is>
      </c>
      <c r="L225" s="6" t="inlineStr">
        <is>
          <t>TRƯỢT ❌</t>
        </is>
      </c>
      <c r="M225" s="6" t="inlineStr">
        <is>
          <t>TRƯỢT KHUNG ❌</t>
        </is>
      </c>
    </row>
    <row r="226">
      <c r="A226" s="2" t="n">
        <v>222</v>
      </c>
      <c r="B226" s="2" t="inlineStr">
        <is>
          <t>Thứ sáu ngày 14-08-2026</t>
        </is>
      </c>
      <c r="C226" s="3" t="inlineStr">
        <is>
          <t>80278</t>
        </is>
      </c>
      <c r="D226" s="3" t="inlineStr">
        <is>
          <t>78</t>
        </is>
      </c>
      <c r="E226" s="3" t="inlineStr">
        <is>
          <t>Đầu 7</t>
        </is>
      </c>
      <c r="F226" s="3" t="inlineStr">
        <is>
          <t>Đuôi 8</t>
        </is>
      </c>
      <c r="G226" s="3" t="inlineStr">
        <is>
          <t>2, 3, 5</t>
        </is>
      </c>
      <c r="H226" s="6" t="inlineStr">
        <is>
          <t>TRƯỢT ❌</t>
        </is>
      </c>
      <c r="I226" s="3" t="inlineStr">
        <is>
          <t>0, 7, 9</t>
        </is>
      </c>
      <c r="J226" s="6" t="inlineStr">
        <is>
          <t>TRƯỢT ❌</t>
        </is>
      </c>
      <c r="K226" s="3" t="inlineStr">
        <is>
          <t>20, 27, 29, 30, 37, 39, 50, 57, 59</t>
        </is>
      </c>
      <c r="L226" s="6" t="inlineStr">
        <is>
          <t>TRƯỢT ❌</t>
        </is>
      </c>
      <c r="M226" s="7" t="inlineStr">
        <is>
          <t>TRÚNG KHUNG 🎯</t>
        </is>
      </c>
    </row>
    <row r="227">
      <c r="A227" s="2" t="n">
        <v>223</v>
      </c>
      <c r="B227" s="2" t="inlineStr">
        <is>
          <t>Thứ bảy ngày 15-08-2026</t>
        </is>
      </c>
      <c r="C227" s="3" t="inlineStr">
        <is>
          <t>14696</t>
        </is>
      </c>
      <c r="D227" s="3" t="inlineStr">
        <is>
          <t>96</t>
        </is>
      </c>
      <c r="E227" s="3" t="inlineStr">
        <is>
          <t>Đầu 9</t>
        </is>
      </c>
      <c r="F227" s="3" t="inlineStr">
        <is>
          <t>Đuôi 6</t>
        </is>
      </c>
      <c r="G227" s="3" t="inlineStr">
        <is>
          <t>2, 5, 9</t>
        </is>
      </c>
      <c r="H227" s="7" t="inlineStr">
        <is>
          <t>TRÚNG 🎯</t>
        </is>
      </c>
      <c r="I227" s="3" t="inlineStr">
        <is>
          <t>0, 7, 9</t>
        </is>
      </c>
      <c r="J227" s="6" t="inlineStr">
        <is>
          <t>TRƯỢT ❌</t>
        </is>
      </c>
      <c r="K227" s="3" t="inlineStr">
        <is>
          <t>20, 27, 29, 50, 57, 59, 90, 97, 99</t>
        </is>
      </c>
      <c r="L227" s="6" t="inlineStr">
        <is>
          <t>TRƯỢT ❌</t>
        </is>
      </c>
      <c r="M227" s="6" t="inlineStr">
        <is>
          <t>TRƯỢT KHUNG ❌</t>
        </is>
      </c>
    </row>
    <row r="228">
      <c r="A228" s="2" t="n">
        <v>224</v>
      </c>
      <c r="B228" s="2" t="inlineStr">
        <is>
          <t>Chủ nhật ngày 16-08-2026</t>
        </is>
      </c>
      <c r="C228" s="3" t="inlineStr">
        <is>
          <t>01939</t>
        </is>
      </c>
      <c r="D228" s="3" t="inlineStr">
        <is>
          <t>39</t>
        </is>
      </c>
      <c r="E228" s="3" t="inlineStr">
        <is>
          <t>Đầu 3</t>
        </is>
      </c>
      <c r="F228" s="3" t="inlineStr">
        <is>
          <t>Đuôi 9</t>
        </is>
      </c>
      <c r="G228" s="3" t="inlineStr">
        <is>
          <t>2, 5, 0</t>
        </is>
      </c>
      <c r="H228" s="6" t="inlineStr">
        <is>
          <t>TRƯỢT ❌</t>
        </is>
      </c>
      <c r="I228" s="3" t="inlineStr">
        <is>
          <t>0, 7, 8</t>
        </is>
      </c>
      <c r="J228" s="6" t="inlineStr">
        <is>
          <t>TRƯỢT ❌</t>
        </is>
      </c>
      <c r="K228" s="3" t="inlineStr">
        <is>
          <t>00, 07, 08, 20, 27, 28, 50, 57, 58</t>
        </is>
      </c>
      <c r="L228" s="6" t="inlineStr">
        <is>
          <t>TRƯỢT ❌</t>
        </is>
      </c>
      <c r="M228" s="6" t="inlineStr">
        <is>
          <t>TRƯỢT KHUNG ❌</t>
        </is>
      </c>
    </row>
    <row r="229">
      <c r="A229" s="2" t="n">
        <v>225</v>
      </c>
      <c r="B229" s="2" t="inlineStr">
        <is>
          <t>Thứ hai ngày 17-08-2026</t>
        </is>
      </c>
      <c r="C229" s="3" t="inlineStr">
        <is>
          <t>29183</t>
        </is>
      </c>
      <c r="D229" s="3" t="inlineStr">
        <is>
          <t>83</t>
        </is>
      </c>
      <c r="E229" s="3" t="inlineStr">
        <is>
          <t>Đầu 8</t>
        </is>
      </c>
      <c r="F229" s="3" t="inlineStr">
        <is>
          <t>Đuôi 3</t>
        </is>
      </c>
      <c r="G229" s="3" t="inlineStr">
        <is>
          <t>2, 5, 0</t>
        </is>
      </c>
      <c r="H229" s="6" t="inlineStr">
        <is>
          <t>TRƯỢT ❌</t>
        </is>
      </c>
      <c r="I229" s="3" t="inlineStr">
        <is>
          <t>4, 0, 8</t>
        </is>
      </c>
      <c r="J229" s="6" t="inlineStr">
        <is>
          <t>TRƯỢT ❌</t>
        </is>
      </c>
      <c r="K229" s="3" t="inlineStr">
        <is>
          <t>00, 04, 08, 20, 24, 28, 50, 54, 58</t>
        </is>
      </c>
      <c r="L229" s="6" t="inlineStr">
        <is>
          <t>TRƯỢT ❌</t>
        </is>
      </c>
      <c r="M229" s="6" t="inlineStr">
        <is>
          <t>TRƯỢT KHUNG ❌</t>
        </is>
      </c>
    </row>
    <row r="230">
      <c r="A230" s="2" t="n">
        <v>226</v>
      </c>
      <c r="B230" s="2" t="inlineStr">
        <is>
          <t>Thứ ba ngày 18-08-2026</t>
        </is>
      </c>
      <c r="C230" s="3" t="inlineStr">
        <is>
          <t>13643</t>
        </is>
      </c>
      <c r="D230" s="3" t="inlineStr">
        <is>
          <t>43</t>
        </is>
      </c>
      <c r="E230" s="3" t="inlineStr">
        <is>
          <t>Đầu 4</t>
        </is>
      </c>
      <c r="F230" s="3" t="inlineStr">
        <is>
          <t>Đuôi 3</t>
        </is>
      </c>
      <c r="G230" s="3" t="inlineStr">
        <is>
          <t>2, 1, 5</t>
        </is>
      </c>
      <c r="H230" s="6" t="inlineStr">
        <is>
          <t>TRƯỢT ❌</t>
        </is>
      </c>
      <c r="I230" s="3" t="inlineStr">
        <is>
          <t>4, 0, 8</t>
        </is>
      </c>
      <c r="J230" s="6" t="inlineStr">
        <is>
          <t>TRƯỢT ❌</t>
        </is>
      </c>
      <c r="K230" s="3" t="inlineStr">
        <is>
          <t>10, 14, 18, 20, 24, 28, 50, 54, 58</t>
        </is>
      </c>
      <c r="L230" s="6" t="inlineStr">
        <is>
          <t>TRƯỢT ❌</t>
        </is>
      </c>
      <c r="M230" s="6" t="inlineStr">
        <is>
          <t>TRƯỢT KHUNG ❌</t>
        </is>
      </c>
    </row>
    <row r="231">
      <c r="A231" s="2" t="n">
        <v>227</v>
      </c>
      <c r="B231" s="2" t="inlineStr">
        <is>
          <t>Thứ tư ngày 19-08-2026</t>
        </is>
      </c>
      <c r="C231" s="3" t="inlineStr">
        <is>
          <t>07523</t>
        </is>
      </c>
      <c r="D231" s="3" t="inlineStr">
        <is>
          <t>23</t>
        </is>
      </c>
      <c r="E231" s="3" t="inlineStr">
        <is>
          <t>Đầu 2</t>
        </is>
      </c>
      <c r="F231" s="3" t="inlineStr">
        <is>
          <t>Đuôi 3</t>
        </is>
      </c>
      <c r="G231" s="3" t="inlineStr">
        <is>
          <t>2, 1, 7</t>
        </is>
      </c>
      <c r="H231" s="7" t="inlineStr">
        <is>
          <t>TRÚNG 🎯</t>
        </is>
      </c>
      <c r="I231" s="3" t="inlineStr">
        <is>
          <t>4, 8, 0</t>
        </is>
      </c>
      <c r="J231" s="6" t="inlineStr">
        <is>
          <t>TRƯỢT ❌</t>
        </is>
      </c>
      <c r="K231" s="3" t="inlineStr">
        <is>
          <t>10, 14, 18, 20, 24, 28, 70, 74, 78</t>
        </is>
      </c>
      <c r="L231" s="6" t="inlineStr">
        <is>
          <t>TRƯỢT ❌</t>
        </is>
      </c>
      <c r="M231" s="6" t="inlineStr">
        <is>
          <t>TRƯỢT KHUNG ❌</t>
        </is>
      </c>
    </row>
    <row r="232">
      <c r="A232" s="2" t="n">
        <v>228</v>
      </c>
      <c r="B232" s="2" t="inlineStr">
        <is>
          <t>Thứ năm ngày 20-08-2026</t>
        </is>
      </c>
      <c r="C232" s="3" t="inlineStr">
        <is>
          <t>94533</t>
        </is>
      </c>
      <c r="D232" s="3" t="inlineStr">
        <is>
          <t>33</t>
        </is>
      </c>
      <c r="E232" s="3" t="inlineStr">
        <is>
          <t>Đầu 3</t>
        </is>
      </c>
      <c r="F232" s="3" t="inlineStr">
        <is>
          <t>Đuôi 3</t>
        </is>
      </c>
      <c r="G232" s="3" t="inlineStr">
        <is>
          <t>1, 9, 2</t>
        </is>
      </c>
      <c r="H232" s="6" t="inlineStr">
        <is>
          <t>TRƯỢT ❌</t>
        </is>
      </c>
      <c r="I232" s="3" t="inlineStr">
        <is>
          <t>4, 6, 8</t>
        </is>
      </c>
      <c r="J232" s="6" t="inlineStr">
        <is>
          <t>TRƯỢT ❌</t>
        </is>
      </c>
      <c r="K232" s="3" t="inlineStr">
        <is>
          <t>14, 16, 18, 24, 26, 28, 94, 96, 98</t>
        </is>
      </c>
      <c r="L232" s="6" t="inlineStr">
        <is>
          <t>TRƯỢT ❌</t>
        </is>
      </c>
      <c r="M232" s="6" t="inlineStr">
        <is>
          <t>TRƯỢT KHUNG ❌</t>
        </is>
      </c>
    </row>
    <row r="233">
      <c r="A233" s="2" t="n">
        <v>229</v>
      </c>
      <c r="B233" s="2" t="inlineStr">
        <is>
          <t>Thứ sáu ngày 21-08-2026</t>
        </is>
      </c>
      <c r="C233" s="3" t="inlineStr">
        <is>
          <t>60213</t>
        </is>
      </c>
      <c r="D233" s="3" t="inlineStr">
        <is>
          <t>13</t>
        </is>
      </c>
      <c r="E233" s="3" t="inlineStr">
        <is>
          <t>Đầu 1</t>
        </is>
      </c>
      <c r="F233" s="3" t="inlineStr">
        <is>
          <t>Đuôi 3</t>
        </is>
      </c>
      <c r="G233" s="3" t="inlineStr">
        <is>
          <t>2, 1, 9</t>
        </is>
      </c>
      <c r="H233" s="7" t="inlineStr">
        <is>
          <t>TRÚNG 🎯</t>
        </is>
      </c>
      <c r="I233" s="3" t="inlineStr">
        <is>
          <t>6, 8, 9</t>
        </is>
      </c>
      <c r="J233" s="6" t="inlineStr">
        <is>
          <t>TRƯỢT ❌</t>
        </is>
      </c>
      <c r="K233" s="3" t="inlineStr">
        <is>
          <t>16, 18, 19, 26, 28, 29, 96, 98, 99</t>
        </is>
      </c>
      <c r="L233" s="6" t="inlineStr">
        <is>
          <t>TRƯỢT ❌</t>
        </is>
      </c>
      <c r="M233" s="6" t="inlineStr">
        <is>
          <t>TRƯỢT KHUNG ❌</t>
        </is>
      </c>
    </row>
    <row r="234">
      <c r="A234" s="2" t="n">
        <v>230</v>
      </c>
      <c r="B234" s="2" t="inlineStr">
        <is>
          <t>Thứ bảy ngày 22-08-2026</t>
        </is>
      </c>
      <c r="C234" s="3" t="inlineStr">
        <is>
          <t>37938</t>
        </is>
      </c>
      <c r="D234" s="3" t="inlineStr">
        <is>
          <t>38</t>
        </is>
      </c>
      <c r="E234" s="3" t="inlineStr">
        <is>
          <t>Đầu 3</t>
        </is>
      </c>
      <c r="F234" s="3" t="inlineStr">
        <is>
          <t>Đuôi 8</t>
        </is>
      </c>
      <c r="G234" s="3" t="inlineStr">
        <is>
          <t>2, 9, 7</t>
        </is>
      </c>
      <c r="H234" s="6" t="inlineStr">
        <is>
          <t>TRƯỢT ❌</t>
        </is>
      </c>
      <c r="I234" s="3" t="inlineStr">
        <is>
          <t>6, 8, 9</t>
        </is>
      </c>
      <c r="J234" s="7" t="inlineStr">
        <is>
          <t>TRÚNG 🎯</t>
        </is>
      </c>
      <c r="K234" s="3" t="inlineStr">
        <is>
          <t>26, 28, 29, 76, 78, 79, 96, 98, 99</t>
        </is>
      </c>
      <c r="L234" s="6" t="inlineStr">
        <is>
          <t>TRƯỢT ❌</t>
        </is>
      </c>
      <c r="M234" s="6" t="inlineStr">
        <is>
          <t>TRƯỢT KHUNG ❌</t>
        </is>
      </c>
    </row>
    <row r="235">
      <c r="A235" s="2" t="n">
        <v>231</v>
      </c>
      <c r="B235" s="2" t="inlineStr">
        <is>
          <t>Chủ nhật ngày 23-08-2026</t>
        </is>
      </c>
      <c r="C235" s="3" t="inlineStr">
        <is>
          <t>36917</t>
        </is>
      </c>
      <c r="D235" s="3" t="inlineStr">
        <is>
          <t>17</t>
        </is>
      </c>
      <c r="E235" s="3" t="inlineStr">
        <is>
          <t>Đầu 1</t>
        </is>
      </c>
      <c r="F235" s="3" t="inlineStr">
        <is>
          <t>Đuôi 7</t>
        </is>
      </c>
      <c r="G235" s="3" t="inlineStr">
        <is>
          <t>2, 4, 9</t>
        </is>
      </c>
      <c r="H235" s="6" t="inlineStr">
        <is>
          <t>TRƯỢT ❌</t>
        </is>
      </c>
      <c r="I235" s="3" t="inlineStr">
        <is>
          <t>6, 3, 9</t>
        </is>
      </c>
      <c r="J235" s="6" t="inlineStr">
        <is>
          <t>TRƯỢT ❌</t>
        </is>
      </c>
      <c r="K235" s="3" t="inlineStr">
        <is>
          <t>23, 26, 29, 43, 46, 49, 93, 96, 99</t>
        </is>
      </c>
      <c r="L235" s="6" t="inlineStr">
        <is>
          <t>TRƯỢT ❌</t>
        </is>
      </c>
      <c r="M235" s="6" t="inlineStr">
        <is>
          <t>TRƯỢT KHUNG ❌</t>
        </is>
      </c>
    </row>
    <row r="236">
      <c r="A236" s="2" t="n">
        <v>232</v>
      </c>
      <c r="B236" s="2" t="inlineStr">
        <is>
          <t>Thứ hai ngày 24-08-2026</t>
        </is>
      </c>
      <c r="C236" s="3" t="inlineStr">
        <is>
          <t>85080</t>
        </is>
      </c>
      <c r="D236" s="3" t="inlineStr">
        <is>
          <t>80</t>
        </is>
      </c>
      <c r="E236" s="3" t="inlineStr">
        <is>
          <t>Đầu 8</t>
        </is>
      </c>
      <c r="F236" s="3" t="inlineStr">
        <is>
          <t>Đuôi 0</t>
        </is>
      </c>
      <c r="G236" s="3" t="inlineStr">
        <is>
          <t>2, 4, 9</t>
        </is>
      </c>
      <c r="H236" s="6" t="inlineStr">
        <is>
          <t>TRƯỢT ❌</t>
        </is>
      </c>
      <c r="I236" s="3" t="inlineStr">
        <is>
          <t>3, 6, 9</t>
        </is>
      </c>
      <c r="J236" s="6" t="inlineStr">
        <is>
          <t>TRƯỢT ❌</t>
        </is>
      </c>
      <c r="K236" s="3" t="inlineStr">
        <is>
          <t>23, 26, 29, 43, 46, 49, 93, 96, 99</t>
        </is>
      </c>
      <c r="L236" s="6" t="inlineStr">
        <is>
          <t>TRƯỢT ❌</t>
        </is>
      </c>
      <c r="M236" s="6" t="inlineStr">
        <is>
          <t>TRƯỢT KHUNG ❌</t>
        </is>
      </c>
    </row>
    <row r="237">
      <c r="A237" s="2" t="n">
        <v>233</v>
      </c>
      <c r="B237" s="2" t="inlineStr">
        <is>
          <t>Thứ ba ngày 25-08-2026</t>
        </is>
      </c>
      <c r="C237" s="3" t="inlineStr">
        <is>
          <t>85361</t>
        </is>
      </c>
      <c r="D237" s="3" t="inlineStr">
        <is>
          <t>61</t>
        </is>
      </c>
      <c r="E237" s="3" t="inlineStr">
        <is>
          <t>Đầu 6</t>
        </is>
      </c>
      <c r="F237" s="3" t="inlineStr">
        <is>
          <t>Đuôi 1</t>
        </is>
      </c>
      <c r="G237" s="3" t="inlineStr">
        <is>
          <t>2, 4, 9</t>
        </is>
      </c>
      <c r="H237" s="6" t="inlineStr">
        <is>
          <t>TRƯỢT ❌</t>
        </is>
      </c>
      <c r="I237" s="3" t="inlineStr">
        <is>
          <t>3, 6, 9</t>
        </is>
      </c>
      <c r="J237" s="6" t="inlineStr">
        <is>
          <t>TRƯỢT ❌</t>
        </is>
      </c>
      <c r="K237" s="3" t="inlineStr">
        <is>
          <t>23, 26, 29, 43, 46, 49, 93, 96, 99</t>
        </is>
      </c>
      <c r="L237" s="6" t="inlineStr">
        <is>
          <t>TRƯỢT ❌</t>
        </is>
      </c>
      <c r="M237" s="6" t="inlineStr">
        <is>
          <t>TRƯỢT KHUNG ❌</t>
        </is>
      </c>
    </row>
    <row r="238">
      <c r="A238" s="2" t="n">
        <v>234</v>
      </c>
      <c r="B238" s="2" t="inlineStr">
        <is>
          <t>Thứ tư ngày 26-08-2026</t>
        </is>
      </c>
      <c r="C238" s="3" t="inlineStr">
        <is>
          <t>82645</t>
        </is>
      </c>
      <c r="D238" s="3" t="inlineStr">
        <is>
          <t>45</t>
        </is>
      </c>
      <c r="E238" s="3" t="inlineStr">
        <is>
          <t>Đầu 4</t>
        </is>
      </c>
      <c r="F238" s="3" t="inlineStr">
        <is>
          <t>Đuôi 5</t>
        </is>
      </c>
      <c r="G238" s="3" t="inlineStr">
        <is>
          <t>2, 4, 3</t>
        </is>
      </c>
      <c r="H238" s="7" t="inlineStr">
        <is>
          <t>TRÚNG 🎯</t>
        </is>
      </c>
      <c r="I238" s="3" t="inlineStr">
        <is>
          <t>3, 9, 4</t>
        </is>
      </c>
      <c r="J238" s="6" t="inlineStr">
        <is>
          <t>TRƯỢT ❌</t>
        </is>
      </c>
      <c r="K238" s="3" t="inlineStr">
        <is>
          <t>23, 24, 29, 33, 34, 39, 43, 44, 49</t>
        </is>
      </c>
      <c r="L238" s="6" t="inlineStr">
        <is>
          <t>TRƯỢT ❌</t>
        </is>
      </c>
      <c r="M238" s="6" t="inlineStr">
        <is>
          <t>TRƯỢT KHUNG ❌</t>
        </is>
      </c>
    </row>
    <row r="239">
      <c r="A239" s="2" t="n">
        <v>235</v>
      </c>
      <c r="B239" s="2" t="inlineStr">
        <is>
          <t>Thứ năm ngày 27-08-2026</t>
        </is>
      </c>
      <c r="C239" s="3" t="inlineStr">
        <is>
          <t>06168</t>
        </is>
      </c>
      <c r="D239" s="3" t="inlineStr">
        <is>
          <t>68</t>
        </is>
      </c>
      <c r="E239" s="3" t="inlineStr">
        <is>
          <t>Đầu 6</t>
        </is>
      </c>
      <c r="F239" s="3" t="inlineStr">
        <is>
          <t>Đuôi 8</t>
        </is>
      </c>
      <c r="G239" s="3" t="inlineStr">
        <is>
          <t>2, 3, 1</t>
        </is>
      </c>
      <c r="H239" s="6" t="inlineStr">
        <is>
          <t>TRƯỢT ❌</t>
        </is>
      </c>
      <c r="I239" s="3" t="inlineStr">
        <is>
          <t>3, 8, 9</t>
        </is>
      </c>
      <c r="J239" s="7" t="inlineStr">
        <is>
          <t>TRÚNG 🎯</t>
        </is>
      </c>
      <c r="K239" s="3" t="inlineStr">
        <is>
          <t>13, 18, 19, 23, 28, 29, 33, 38, 39</t>
        </is>
      </c>
      <c r="L239" s="6" t="inlineStr">
        <is>
          <t>TRƯỢT ❌</t>
        </is>
      </c>
      <c r="M239" s="6" t="inlineStr">
        <is>
          <t>TRƯỢT KHUNG ❌</t>
        </is>
      </c>
    </row>
    <row r="240">
      <c r="A240" s="2" t="n">
        <v>236</v>
      </c>
      <c r="B240" s="2" t="inlineStr">
        <is>
          <t>Thứ sáu ngày 28-08-2026</t>
        </is>
      </c>
      <c r="C240" s="3" t="inlineStr">
        <is>
          <t>90737</t>
        </is>
      </c>
      <c r="D240" s="3" t="inlineStr">
        <is>
          <t>37</t>
        </is>
      </c>
      <c r="E240" s="3" t="inlineStr">
        <is>
          <t>Đầu 3</t>
        </is>
      </c>
      <c r="F240" s="3" t="inlineStr">
        <is>
          <t>Đuôi 7</t>
        </is>
      </c>
      <c r="G240" s="3" t="inlineStr">
        <is>
          <t>2, 1, 3</t>
        </is>
      </c>
      <c r="H240" s="7" t="inlineStr">
        <is>
          <t>TRÚNG 🎯</t>
        </is>
      </c>
      <c r="I240" s="3" t="inlineStr">
        <is>
          <t>3, 7, 9</t>
        </is>
      </c>
      <c r="J240" s="7" t="inlineStr">
        <is>
          <t>TRÚNG 🎯</t>
        </is>
      </c>
      <c r="K240" s="3" t="inlineStr">
        <is>
          <t>13, 17, 19, 23, 27, 29, 33, 37, 39</t>
        </is>
      </c>
      <c r="L240" s="7" t="inlineStr">
        <is>
          <t>TRÚNG 🎯</t>
        </is>
      </c>
      <c r="M240" s="7" t="inlineStr">
        <is>
          <t>TRÚNG KHUNG 🎯</t>
        </is>
      </c>
    </row>
    <row r="241">
      <c r="A241" s="2" t="n">
        <v>237</v>
      </c>
      <c r="B241" s="2" t="inlineStr">
        <is>
          <t>Thứ bảy ngày 29-08-2026</t>
        </is>
      </c>
      <c r="C241" s="3" t="inlineStr">
        <is>
          <t>83772</t>
        </is>
      </c>
      <c r="D241" s="3" t="inlineStr">
        <is>
          <t>72</t>
        </is>
      </c>
      <c r="E241" s="3" t="inlineStr">
        <is>
          <t>Đầu 7</t>
        </is>
      </c>
      <c r="F241" s="3" t="inlineStr">
        <is>
          <t>Đuôi 2</t>
        </is>
      </c>
      <c r="G241" s="3" t="inlineStr">
        <is>
          <t>2, 1, 4</t>
        </is>
      </c>
      <c r="H241" s="6" t="inlineStr">
        <is>
          <t>TRƯỢT ❌</t>
        </is>
      </c>
      <c r="I241" s="3" t="inlineStr">
        <is>
          <t>3, 0, 9</t>
        </is>
      </c>
      <c r="J241" s="6" t="inlineStr">
        <is>
          <t>TRƯỢT ❌</t>
        </is>
      </c>
      <c r="K241" s="3" t="inlineStr">
        <is>
          <t>10, 13, 19, 20, 23, 29, 40, 43, 49</t>
        </is>
      </c>
      <c r="L241" s="6" t="inlineStr">
        <is>
          <t>TRƯỢT ❌</t>
        </is>
      </c>
      <c r="M241" s="6" t="inlineStr">
        <is>
          <t>TRƯỢT KHUNG ❌</t>
        </is>
      </c>
    </row>
    <row r="242">
      <c r="A242" s="2" t="n">
        <v>238</v>
      </c>
      <c r="B242" s="2" t="inlineStr">
        <is>
          <t>Chủ nhật ngày 30-08-2026</t>
        </is>
      </c>
      <c r="C242" s="3" t="inlineStr">
        <is>
          <t>35644</t>
        </is>
      </c>
      <c r="D242" s="3" t="inlineStr">
        <is>
          <t>44</t>
        </is>
      </c>
      <c r="E242" s="3" t="inlineStr">
        <is>
          <t>Đầu 4</t>
        </is>
      </c>
      <c r="F242" s="3" t="inlineStr">
        <is>
          <t>Đuôi 4</t>
        </is>
      </c>
      <c r="G242" s="3" t="inlineStr">
        <is>
          <t>2, 1, 4</t>
        </is>
      </c>
      <c r="H242" s="7" t="inlineStr">
        <is>
          <t>TRÚNG 🎯</t>
        </is>
      </c>
      <c r="I242" s="3" t="inlineStr">
        <is>
          <t>3, 1, 9</t>
        </is>
      </c>
      <c r="J242" s="6" t="inlineStr">
        <is>
          <t>TRƯỢT ❌</t>
        </is>
      </c>
      <c r="K242" s="3" t="inlineStr">
        <is>
          <t>11, 13, 19, 21, 23, 29, 41, 43, 49</t>
        </is>
      </c>
      <c r="L242" s="6" t="inlineStr">
        <is>
          <t>TRƯỢT ❌</t>
        </is>
      </c>
      <c r="M242" s="6" t="inlineStr">
        <is>
          <t>TRƯỢT KHUNG ❌</t>
        </is>
      </c>
    </row>
    <row r="243">
      <c r="A243" s="4" t="inlineStr">
        <is>
          <t>BẢNG PHÂN TÍCH CHUYÊN SÂU</t>
        </is>
      </c>
      <c r="B243" s="4" t="inlineStr">
        <is>
          <t>TỪNG ĐẦU DỰ ĐOÁN (0-9)</t>
        </is>
      </c>
      <c r="C243" s="5" t="inlineStr">
        <is>
          <t>Số Lần Dự Đoán</t>
        </is>
      </c>
      <c r="D243" s="7" t="inlineStr">
        <is>
          <t>Số Lần TRÚNG Thực Tế</t>
        </is>
      </c>
      <c r="E243" s="5" t="inlineStr">
        <is>
          <t>Tỷ Lệ Trúng %</t>
        </is>
      </c>
      <c r="F243" s="5" t="inlineStr">
        <is>
          <t>---</t>
        </is>
      </c>
      <c r="G243" s="5" t="inlineStr">
        <is>
          <t>---</t>
        </is>
      </c>
      <c r="H243" s="5" t="inlineStr">
        <is>
          <t>---</t>
        </is>
      </c>
      <c r="I243" s="5" t="inlineStr">
        <is>
          <t>---</t>
        </is>
      </c>
      <c r="J243" s="5" t="inlineStr">
        <is>
          <t>---</t>
        </is>
      </c>
      <c r="K243" s="5" t="inlineStr">
        <is>
          <t>---</t>
        </is>
      </c>
      <c r="L243" s="5" t="inlineStr">
        <is>
          <t>---</t>
        </is>
      </c>
      <c r="M243" s="5" t="inlineStr">
        <is>
          <t>---</t>
        </is>
      </c>
    </row>
    <row r="244">
      <c r="A244" s="2" t="inlineStr">
        <is>
          <t>ĐẦU CHI TIẾT</t>
        </is>
      </c>
      <c r="B244" s="2" t="inlineStr">
        <is>
          <t>Đầu 0</t>
        </is>
      </c>
      <c r="C244" s="3" t="inlineStr">
        <is>
          <t>50 lần</t>
        </is>
      </c>
      <c r="D244" s="3" t="inlineStr">
        <is>
          <t>2 lần</t>
        </is>
      </c>
      <c r="E244" s="3" t="inlineStr">
        <is>
          <t>4.0%</t>
        </is>
      </c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</row>
    <row r="245">
      <c r="A245" s="2" t="inlineStr">
        <is>
          <t>ĐẦU CHI TIẾT</t>
        </is>
      </c>
      <c r="B245" s="2" t="inlineStr">
        <is>
          <t>Đầu 1</t>
        </is>
      </c>
      <c r="C245" s="3" t="inlineStr">
        <is>
          <t>57 lần</t>
        </is>
      </c>
      <c r="D245" s="3" t="inlineStr">
        <is>
          <t>6 lần</t>
        </is>
      </c>
      <c r="E245" s="3" t="inlineStr">
        <is>
          <t>10.53%</t>
        </is>
      </c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2" t="inlineStr">
        <is>
          <t>ĐẦU CHI TIẾT</t>
        </is>
      </c>
      <c r="B246" s="2" t="inlineStr">
        <is>
          <t>Đầu 2</t>
        </is>
      </c>
      <c r="C246" s="3" t="inlineStr">
        <is>
          <t>77 lần</t>
        </is>
      </c>
      <c r="D246" s="3" t="inlineStr">
        <is>
          <t>7 lần</t>
        </is>
      </c>
      <c r="E246" s="3" t="inlineStr">
        <is>
          <t>9.09%</t>
        </is>
      </c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</row>
    <row r="247">
      <c r="A247" s="2" t="inlineStr">
        <is>
          <t>ĐẦU CHI TIẾT</t>
        </is>
      </c>
      <c r="B247" s="2" t="inlineStr">
        <is>
          <t>Đầu 3</t>
        </is>
      </c>
      <c r="C247" s="3" t="inlineStr">
        <is>
          <t>84 lần</t>
        </is>
      </c>
      <c r="D247" s="3" t="inlineStr">
        <is>
          <t>11 lần</t>
        </is>
      </c>
      <c r="E247" s="3" t="inlineStr">
        <is>
          <t>13.1%</t>
        </is>
      </c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2" t="inlineStr">
        <is>
          <t>ĐẦU CHI TIẾT</t>
        </is>
      </c>
      <c r="B248" s="2" t="inlineStr">
        <is>
          <t>Đầu 4</t>
        </is>
      </c>
      <c r="C248" s="3" t="inlineStr">
        <is>
          <t>73 lần</t>
        </is>
      </c>
      <c r="D248" s="3" t="inlineStr">
        <is>
          <t>5 lần</t>
        </is>
      </c>
      <c r="E248" s="3" t="inlineStr">
        <is>
          <t>6.85%</t>
        </is>
      </c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/>
    </row>
    <row r="249">
      <c r="A249" s="2" t="inlineStr">
        <is>
          <t>ĐẦU CHI TIẾT</t>
        </is>
      </c>
      <c r="B249" s="2" t="inlineStr">
        <is>
          <t>Đầu 5</t>
        </is>
      </c>
      <c r="C249" s="3" t="inlineStr">
        <is>
          <t>89 lần</t>
        </is>
      </c>
      <c r="D249" s="3" t="inlineStr">
        <is>
          <t>9 lần</t>
        </is>
      </c>
      <c r="E249" s="3" t="inlineStr">
        <is>
          <t>10.11%</t>
        </is>
      </c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  <c r="M249" s="3" t="inlineStr"/>
    </row>
    <row r="250">
      <c r="A250" s="2" t="inlineStr">
        <is>
          <t>ĐẦU CHI TIẾT</t>
        </is>
      </c>
      <c r="B250" s="2" t="inlineStr">
        <is>
          <t>Đầu 6</t>
        </is>
      </c>
      <c r="C250" s="3" t="inlineStr">
        <is>
          <t>95 lần</t>
        </is>
      </c>
      <c r="D250" s="3" t="inlineStr">
        <is>
          <t>6 lần</t>
        </is>
      </c>
      <c r="E250" s="3" t="inlineStr">
        <is>
          <t>6.32%</t>
        </is>
      </c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  <c r="M250" s="3" t="inlineStr"/>
    </row>
    <row r="251">
      <c r="A251" s="2" t="inlineStr">
        <is>
          <t>ĐẦU CHI TIẾT</t>
        </is>
      </c>
      <c r="B251" s="2" t="inlineStr">
        <is>
          <t>Đầu 7</t>
        </is>
      </c>
      <c r="C251" s="3" t="inlineStr">
        <is>
          <t>35 lần</t>
        </is>
      </c>
      <c r="D251" s="3" t="inlineStr">
        <is>
          <t>2 lần</t>
        </is>
      </c>
      <c r="E251" s="3" t="inlineStr">
        <is>
          <t>5.71%</t>
        </is>
      </c>
      <c r="F251" s="3" t="inlineStr"/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</row>
    <row r="252">
      <c r="A252" s="2" t="inlineStr">
        <is>
          <t>ĐẦU CHI TIẾT</t>
        </is>
      </c>
      <c r="B252" s="2" t="inlineStr">
        <is>
          <t>Đầu 8</t>
        </is>
      </c>
      <c r="C252" s="3" t="inlineStr">
        <is>
          <t>92 lần</t>
        </is>
      </c>
      <c r="D252" s="3" t="inlineStr">
        <is>
          <t>11 lần</t>
        </is>
      </c>
      <c r="E252" s="3" t="inlineStr">
        <is>
          <t>11.96%</t>
        </is>
      </c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</row>
    <row r="253">
      <c r="A253" s="2" t="inlineStr">
        <is>
          <t>ĐẦU CHI TIẾT</t>
        </is>
      </c>
      <c r="B253" s="2" t="inlineStr">
        <is>
          <t>Đầu 9</t>
        </is>
      </c>
      <c r="C253" s="3" t="inlineStr">
        <is>
          <t>62 lần</t>
        </is>
      </c>
      <c r="D253" s="3" t="inlineStr">
        <is>
          <t>7 lần</t>
        </is>
      </c>
      <c r="E253" s="3" t="inlineStr">
        <is>
          <t>11.29%</t>
        </is>
      </c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</row>
    <row r="254">
      <c r="A254" s="4" t="inlineStr">
        <is>
          <t>BẢNG PHÂN TÍCH CHUYÊN SÂU</t>
        </is>
      </c>
      <c r="B254" s="4" t="inlineStr">
        <is>
          <t>TỪNG ĐUÔI DỰ ĐOÁN (0-9)</t>
        </is>
      </c>
      <c r="C254" s="5" t="inlineStr">
        <is>
          <t>Số Lần Dự Đoán</t>
        </is>
      </c>
      <c r="D254" s="7" t="inlineStr">
        <is>
          <t>Số Lần TRÚNG Thực Tế</t>
        </is>
      </c>
      <c r="E254" s="5" t="inlineStr">
        <is>
          <t>Tỷ Lệ Trúng %</t>
        </is>
      </c>
      <c r="F254" s="5" t="inlineStr">
        <is>
          <t>---</t>
        </is>
      </c>
      <c r="G254" s="5" t="inlineStr">
        <is>
          <t>---</t>
        </is>
      </c>
      <c r="H254" s="5" t="inlineStr">
        <is>
          <t>---</t>
        </is>
      </c>
      <c r="I254" s="5" t="inlineStr">
        <is>
          <t>---</t>
        </is>
      </c>
      <c r="J254" s="5" t="inlineStr">
        <is>
          <t>---</t>
        </is>
      </c>
      <c r="K254" s="5" t="inlineStr">
        <is>
          <t>---</t>
        </is>
      </c>
      <c r="L254" s="5" t="inlineStr">
        <is>
          <t>---</t>
        </is>
      </c>
      <c r="M254" s="5" t="inlineStr">
        <is>
          <t>---</t>
        </is>
      </c>
    </row>
    <row r="255">
      <c r="A255" s="2" t="inlineStr">
        <is>
          <t>ĐUÔI CHI TIẾT</t>
        </is>
      </c>
      <c r="B255" s="2" t="inlineStr">
        <is>
          <t>Đuôi 0</t>
        </is>
      </c>
      <c r="C255" s="3" t="inlineStr">
        <is>
          <t>48 lần</t>
        </is>
      </c>
      <c r="D255" s="3" t="inlineStr">
        <is>
          <t>3 lần</t>
        </is>
      </c>
      <c r="E255" s="3" t="inlineStr">
        <is>
          <t>6.25%</t>
        </is>
      </c>
      <c r="F255" s="3" t="inlineStr"/>
      <c r="G255" s="3" t="inlineStr"/>
      <c r="H255" s="3" t="inlineStr"/>
      <c r="I255" s="3" t="inlineStr"/>
      <c r="J255" s="3" t="inlineStr"/>
      <c r="K255" s="3" t="inlineStr"/>
      <c r="L255" s="3" t="inlineStr"/>
      <c r="M255" s="3" t="inlineStr"/>
    </row>
    <row r="256">
      <c r="A256" s="2" t="inlineStr">
        <is>
          <t>ĐUÔI CHI TIẾT</t>
        </is>
      </c>
      <c r="B256" s="2" t="inlineStr">
        <is>
          <t>Đuôi 1</t>
        </is>
      </c>
      <c r="C256" s="3" t="inlineStr">
        <is>
          <t>63 lần</t>
        </is>
      </c>
      <c r="D256" s="3" t="inlineStr">
        <is>
          <t>6 lần</t>
        </is>
      </c>
      <c r="E256" s="3" t="inlineStr">
        <is>
          <t>9.52%</t>
        </is>
      </c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</row>
    <row r="257">
      <c r="A257" s="2" t="inlineStr">
        <is>
          <t>ĐUÔI CHI TIẾT</t>
        </is>
      </c>
      <c r="B257" s="2" t="inlineStr">
        <is>
          <t>Đuôi 2</t>
        </is>
      </c>
      <c r="C257" s="3" t="inlineStr">
        <is>
          <t>60 lần</t>
        </is>
      </c>
      <c r="D257" s="3" t="inlineStr">
        <is>
          <t>4 lần</t>
        </is>
      </c>
      <c r="E257" s="3" t="inlineStr">
        <is>
          <t>6.67%</t>
        </is>
      </c>
      <c r="F257" s="3" t="inlineStr"/>
      <c r="G257" s="3" t="inlineStr"/>
      <c r="H257" s="3" t="inlineStr"/>
      <c r="I257" s="3" t="inlineStr"/>
      <c r="J257" s="3" t="inlineStr"/>
      <c r="K257" s="3" t="inlineStr"/>
      <c r="L257" s="3" t="inlineStr"/>
      <c r="M257" s="3" t="inlineStr"/>
    </row>
    <row r="258">
      <c r="A258" s="2" t="inlineStr">
        <is>
          <t>ĐUÔI CHI TIẾT</t>
        </is>
      </c>
      <c r="B258" s="2" t="inlineStr">
        <is>
          <t>Đuôi 3</t>
        </is>
      </c>
      <c r="C258" s="3" t="inlineStr">
        <is>
          <t>85 lần</t>
        </is>
      </c>
      <c r="D258" s="3" t="inlineStr">
        <is>
          <t>7 lần</t>
        </is>
      </c>
      <c r="E258" s="3" t="inlineStr">
        <is>
          <t>8.24%</t>
        </is>
      </c>
      <c r="F258" s="3" t="inlineStr"/>
      <c r="G258" s="3" t="inlineStr"/>
      <c r="H258" s="3" t="inlineStr"/>
      <c r="I258" s="3" t="inlineStr"/>
      <c r="J258" s="3" t="inlineStr"/>
      <c r="K258" s="3" t="inlineStr"/>
      <c r="L258" s="3" t="inlineStr"/>
      <c r="M258" s="3" t="inlineStr"/>
    </row>
    <row r="259">
      <c r="A259" s="2" t="inlineStr">
        <is>
          <t>ĐUÔI CHI TIẾT</t>
        </is>
      </c>
      <c r="B259" s="2" t="inlineStr">
        <is>
          <t>Đuôi 4</t>
        </is>
      </c>
      <c r="C259" s="3" t="inlineStr">
        <is>
          <t>113 lần</t>
        </is>
      </c>
      <c r="D259" s="3" t="inlineStr">
        <is>
          <t>12 lần</t>
        </is>
      </c>
      <c r="E259" s="3" t="inlineStr">
        <is>
          <t>10.62%</t>
        </is>
      </c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</row>
    <row r="260">
      <c r="A260" s="2" t="inlineStr">
        <is>
          <t>ĐUÔI CHI TIẾT</t>
        </is>
      </c>
      <c r="B260" s="2" t="inlineStr">
        <is>
          <t>Đuôi 5</t>
        </is>
      </c>
      <c r="C260" s="3" t="inlineStr">
        <is>
          <t>58 lần</t>
        </is>
      </c>
      <c r="D260" s="3" t="inlineStr">
        <is>
          <t>4 lần</t>
        </is>
      </c>
      <c r="E260" s="3" t="inlineStr">
        <is>
          <t>6.9%</t>
        </is>
      </c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</row>
    <row r="261">
      <c r="A261" s="2" t="inlineStr">
        <is>
          <t>ĐUÔI CHI TIẾT</t>
        </is>
      </c>
      <c r="B261" s="2" t="inlineStr">
        <is>
          <t>Đuôi 6</t>
        </is>
      </c>
      <c r="C261" s="3" t="inlineStr">
        <is>
          <t>18 lần</t>
        </is>
      </c>
      <c r="D261" s="3" t="inlineStr">
        <is>
          <t>0 lần</t>
        </is>
      </c>
      <c r="E261" s="3" t="inlineStr">
        <is>
          <t>0.0%</t>
        </is>
      </c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  <c r="M261" s="3" t="inlineStr"/>
    </row>
    <row r="262">
      <c r="A262" s="2" t="inlineStr">
        <is>
          <t>ĐUÔI CHI TIẾT</t>
        </is>
      </c>
      <c r="B262" s="2" t="inlineStr">
        <is>
          <t>Đuôi 7</t>
        </is>
      </c>
      <c r="C262" s="3" t="inlineStr">
        <is>
          <t>89 lần</t>
        </is>
      </c>
      <c r="D262" s="3" t="inlineStr">
        <is>
          <t>11 lần</t>
        </is>
      </c>
      <c r="E262" s="3" t="inlineStr">
        <is>
          <t>12.36%</t>
        </is>
      </c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  <c r="M262" s="3" t="inlineStr"/>
    </row>
    <row r="263">
      <c r="A263" s="2" t="inlineStr">
        <is>
          <t>ĐUÔI CHI TIẾT</t>
        </is>
      </c>
      <c r="B263" s="2" t="inlineStr">
        <is>
          <t>Đuôi 8</t>
        </is>
      </c>
      <c r="C263" s="3" t="inlineStr">
        <is>
          <t>106 lần</t>
        </is>
      </c>
      <c r="D263" s="3" t="inlineStr">
        <is>
          <t>10 lần</t>
        </is>
      </c>
      <c r="E263" s="3" t="inlineStr">
        <is>
          <t>9.43%</t>
        </is>
      </c>
      <c r="F263" s="3" t="inlineStr"/>
      <c r="G263" s="3" t="inlineStr"/>
      <c r="H263" s="3" t="inlineStr"/>
      <c r="I263" s="3" t="inlineStr"/>
      <c r="J263" s="3" t="inlineStr"/>
      <c r="K263" s="3" t="inlineStr"/>
      <c r="L263" s="3" t="inlineStr"/>
      <c r="M263" s="3" t="inlineStr"/>
    </row>
    <row r="264">
      <c r="A264" s="2" t="inlineStr">
        <is>
          <t>ĐUÔI CHI TIẾT</t>
        </is>
      </c>
      <c r="B264" s="2" t="inlineStr">
        <is>
          <t>Đuôi 9</t>
        </is>
      </c>
      <c r="C264" s="3" t="inlineStr">
        <is>
          <t>74 lần</t>
        </is>
      </c>
      <c r="D264" s="3" t="inlineStr">
        <is>
          <t>7 lần</t>
        </is>
      </c>
      <c r="E264" s="3" t="inlineStr">
        <is>
          <t>9.46%</t>
        </is>
      </c>
      <c r="F264" s="3" t="inlineStr"/>
      <c r="G264" s="3" t="inlineStr"/>
      <c r="H264" s="3" t="inlineStr"/>
      <c r="I264" s="3" t="inlineStr"/>
      <c r="J264" s="3" t="inlineStr"/>
      <c r="K264" s="3" t="inlineStr"/>
      <c r="L264" s="3" t="inlineStr"/>
      <c r="M264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3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3" customWidth="1" min="3" max="3"/>
    <col width="23" customWidth="1" min="4" max="4"/>
    <col width="23" customWidth="1" min="5" max="5"/>
    <col width="43" customWidth="1" min="6" max="6"/>
    <col width="35" customWidth="1" min="7" max="7"/>
    <col width="34" customWidth="1" min="8" max="8"/>
    <col width="65" customWidth="1" min="9" max="9"/>
    <col width="65" customWidth="1" min="10" max="10"/>
    <col width="65" customWidth="1" min="11" max="11"/>
  </cols>
  <sheetData>
    <row r="1">
      <c r="A1" s="1" t="inlineStr">
        <is>
          <t>STT</t>
        </is>
      </c>
      <c r="B1" s="1" t="inlineStr">
        <is>
          <t>Ngày Bắt Đầu Khung</t>
        </is>
      </c>
      <c r="C1" s="1" t="inlineStr">
        <is>
          <t>N1 (Gốc 60 số)</t>
        </is>
      </c>
      <c r="D1" s="1" t="inlineStr">
        <is>
          <t>N2 (Siêu Lọc 36 số)</t>
        </is>
      </c>
      <c r="E1" s="1" t="inlineStr">
        <is>
          <t>N3 (Siêu Lọc 36 số)</t>
        </is>
      </c>
      <c r="F1" s="1" t="inlineStr">
        <is>
          <t>Tỷ Lệ Trúng N2/N3 (Khi N1 Trượt)</t>
        </is>
      </c>
      <c r="G1" s="1" t="inlineStr">
        <is>
          <t>Song Thủ Lô Rơi (N2/N3)</t>
        </is>
      </c>
      <c r="H1" s="1" t="inlineStr">
        <is>
          <t>Kết Quả Khung 3 Ngày</t>
        </is>
      </c>
      <c r="I1" s="1" t="inlineStr">
        <is>
          <t>Dàn N1 (60 Số)</t>
        </is>
      </c>
      <c r="J1" s="1" t="inlineStr">
        <is>
          <t>Dàn Siêu Lọc N2 (36 Số)</t>
        </is>
      </c>
      <c r="K1" s="1" t="inlineStr">
        <is>
          <t>Dàn Siêu Lọc N3 (36 Số)</t>
        </is>
      </c>
    </row>
    <row r="2">
      <c r="A2" s="2" t="inlineStr">
        <is>
          <t>TỔNG KẾT KHUNG 3 NGÀY</t>
        </is>
      </c>
      <c r="B2" s="2" t="inlineStr">
        <is>
          <t>Tổng Khung: 236 Khung</t>
        </is>
      </c>
      <c r="C2" s="3" t="inlineStr">
        <is>
          <t>Trúng N1: 129 Khung</t>
        </is>
      </c>
      <c r="D2" s="3" t="inlineStr">
        <is>
          <t>Trúng N2: 34 Khung</t>
        </is>
      </c>
      <c r="E2" s="3" t="inlineStr">
        <is>
          <t>Trúng N3: 22 Khung</t>
        </is>
      </c>
      <c r="F2" s="3" t="inlineStr">
        <is>
          <t>Trúng N2/N3 Siêu Lọc: 56 Khung (52.34%)</t>
        </is>
      </c>
      <c r="G2" s="3" t="inlineStr">
        <is>
          <t>Trúng STL Rơi: 12 Khung (5.08%)</t>
        </is>
      </c>
      <c r="H2" s="7" t="inlineStr">
        <is>
          <t>TỔNG TRÚNG: 185 Khung (78.39%)</t>
        </is>
      </c>
      <c r="I2" s="3" t="inlineStr">
        <is>
          <t>---</t>
        </is>
      </c>
      <c r="J2" s="3" t="inlineStr">
        <is>
          <t>---</t>
        </is>
      </c>
      <c r="K2" s="3" t="inlineStr">
        <is>
          <t>---</t>
        </is>
      </c>
    </row>
    <row r="3">
      <c r="A3" s="2" t="n">
        <v>1</v>
      </c>
      <c r="B3" s="2" t="inlineStr">
        <is>
          <t>Thứ năm ngày 01-01-2026</t>
        </is>
      </c>
      <c r="C3" s="3" t="inlineStr">
        <is>
          <t>48 (Trúng)</t>
        </is>
      </c>
      <c r="D3" s="3" t="inlineStr">
        <is>
          <t>49 (Không)</t>
        </is>
      </c>
      <c r="E3" s="3" t="inlineStr">
        <is>
          <t>97 (Không)</t>
        </is>
      </c>
      <c r="F3" s="3" t="inlineStr">
        <is>
          <t>---</t>
        </is>
      </c>
      <c r="G3" s="6" t="inlineStr">
        <is>
          <t>25, 67 (TRƯỢT ❌)</t>
        </is>
      </c>
      <c r="H3" s="7" t="inlineStr">
        <is>
          <t>TRÚNG N1 🎯</t>
        </is>
      </c>
      <c r="I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3" s="3" t="inlineStr">
        <is>
          <t>50, 52, 53, 55, 57, 58, 61, 62, 64, 66, 67, 69, 70, 71, 73, 75, 76, 78, 80, 82, 84, 85, 87, 89, 91, 93, 94, 96, 98, 99 (30 số)</t>
        </is>
      </c>
      <c r="K3" s="3" t="inlineStr">
        <is>
          <t>50, 52, 53, 55, 57, 58, 61, 62, 64, 66, 67, 69, 70, 71, 73, 75, 76, 78, 80, 82, 84, 85, 87, 89, 91, 93, 94, 96, 98, 99 (30 số)</t>
        </is>
      </c>
    </row>
    <row r="4">
      <c r="A4" s="2" t="n">
        <v>2</v>
      </c>
      <c r="B4" s="2" t="inlineStr">
        <is>
          <t>Thứ sáu ngày 02-01-2026</t>
        </is>
      </c>
      <c r="C4" s="3" t="inlineStr">
        <is>
          <t>49 (Không)</t>
        </is>
      </c>
      <c r="D4" s="3" t="inlineStr">
        <is>
          <t>97 (Trúng)</t>
        </is>
      </c>
      <c r="E4" s="3" t="inlineStr">
        <is>
          <t>05 (Không)</t>
        </is>
      </c>
      <c r="F4" s="3" t="inlineStr">
        <is>
          <t>---</t>
        </is>
      </c>
      <c r="G4" s="6" t="inlineStr">
        <is>
          <t>22, 24 (TRƯỢT ❌)</t>
        </is>
      </c>
      <c r="H4" s="7" t="inlineStr">
        <is>
          <t>TRÚNG N2 (Siêu Lọc 🎯)</t>
        </is>
      </c>
      <c r="I4" s="3" t="inlineStr">
        <is>
          <t>01, 04, 06, 09, 10, 13, 15, 18, 22, 24, 27, 29, 31, 33, 36, 38, 40, 42, 45, 47, 51, 54, 56, 59, 60, 63, 65, 68, 72, 74, 77, 79, 81, 83, 86, 88, 90, 92, 95, 97 (40 số)</t>
        </is>
      </c>
      <c r="J4" s="3" t="inlineStr">
        <is>
          <t>51, 54, 56, 59, 60, 63, 65, 68, 72, 74, 77, 79, 81, 83, 86, 88, 90, 92, 95, 97 (20 số)</t>
        </is>
      </c>
      <c r="K4" s="3" t="inlineStr">
        <is>
          <t>51, 54, 56, 59, 60, 63, 65, 68, 72, 74, 77, 79, 81, 83, 86, 88, 90, 92, 95, 97 (20 số)</t>
        </is>
      </c>
    </row>
    <row r="5">
      <c r="A5" s="2" t="n">
        <v>3</v>
      </c>
      <c r="B5" s="2" t="inlineStr">
        <is>
          <t>Thứ bảy ngày 03-01-2026</t>
        </is>
      </c>
      <c r="C5" s="3" t="inlineStr">
        <is>
          <t>97 (Trúng)</t>
        </is>
      </c>
      <c r="D5" s="3" t="inlineStr">
        <is>
          <t>05 (Trúng)</t>
        </is>
      </c>
      <c r="E5" s="3" t="inlineStr">
        <is>
          <t>47 (Trúng)</t>
        </is>
      </c>
      <c r="F5" s="3" t="inlineStr">
        <is>
          <t>---</t>
        </is>
      </c>
      <c r="G5" s="6" t="inlineStr">
        <is>
          <t>33, 46 (TRƯỢT ❌)</t>
        </is>
      </c>
      <c r="H5" s="7" t="inlineStr">
        <is>
          <t>TRÚNG N1 🎯</t>
        </is>
      </c>
      <c r="I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5" s="3" t="inlineStr">
        <is>
          <t>00, 01, 02, 05, 06, 07, 10, 11, 14, 15, 16, 19, 20, 23, 24, 25, 28, 29, 32, 33, 34, 37, 38, 39, 41, 42, 43, 46, 47, 48 (30 số)</t>
        </is>
      </c>
      <c r="K5" s="3" t="inlineStr">
        <is>
          <t>00, 01, 02, 05, 06, 07, 10, 11, 14, 15, 16, 19, 20, 23, 24, 25, 28, 29, 32, 33, 34, 37, 38, 39, 41, 42, 43, 46, 47, 48 (30 số)</t>
        </is>
      </c>
    </row>
    <row r="6">
      <c r="A6" s="2" t="n">
        <v>4</v>
      </c>
      <c r="B6" s="2" t="inlineStr">
        <is>
          <t>Chủ nhật ngày 04-01-2026</t>
        </is>
      </c>
      <c r="C6" s="3" t="inlineStr">
        <is>
          <t>05 (Không)</t>
        </is>
      </c>
      <c r="D6" s="3" t="inlineStr">
        <is>
          <t>47 (Không)</t>
        </is>
      </c>
      <c r="E6" s="3" t="inlineStr">
        <is>
          <t>89 (Trúng)</t>
        </is>
      </c>
      <c r="F6" s="3" t="inlineStr">
        <is>
          <t>---</t>
        </is>
      </c>
      <c r="G6" s="6" t="inlineStr">
        <is>
          <t>25, 34 (TRƯỢT ❌)</t>
        </is>
      </c>
      <c r="H6" s="7" t="inlineStr">
        <is>
          <t>TRÚNG N3 (Siêu Lọc 🎯)</t>
        </is>
      </c>
      <c r="I6" s="3" t="inlineStr">
        <is>
          <t>02, 04, 07, 09, 11, 13, 16, 18, 20, 22, 25, 27, 31, 34, 36, 39, 40, 43, 45, 48, 52, 54, 57, 59, 61, 63, 66, 68, 70, 72, 75, 77, 81, 84, 86, 89, 90, 93, 95, 98 (40 số)</t>
        </is>
      </c>
      <c r="J6" s="3" t="inlineStr">
        <is>
          <t>52, 54, 57, 59, 61, 63, 66, 68, 70, 72, 75, 77, 81, 84, 86, 89, 90, 93, 95, 98 (20 số)</t>
        </is>
      </c>
      <c r="K6" s="3" t="inlineStr">
        <is>
          <t>52, 54, 57, 59, 61, 63, 66, 68, 70, 72, 75, 77, 81, 84, 86, 89, 90, 93, 95, 98 (20 số)</t>
        </is>
      </c>
    </row>
    <row r="7">
      <c r="A7" s="2" t="n">
        <v>5</v>
      </c>
      <c r="B7" s="2" t="inlineStr">
        <is>
          <t>Thứ hai ngày 05-01-2026</t>
        </is>
      </c>
      <c r="C7" s="3" t="inlineStr">
        <is>
          <t>47 (Trúng)</t>
        </is>
      </c>
      <c r="D7" s="3" t="inlineStr">
        <is>
          <t>89 (Trúng)</t>
        </is>
      </c>
      <c r="E7" s="3" t="inlineStr">
        <is>
          <t>62 (Không)</t>
        </is>
      </c>
      <c r="F7" s="3" t="inlineStr">
        <is>
          <t>---</t>
        </is>
      </c>
      <c r="G7" s="6" t="inlineStr">
        <is>
          <t>27, 43 (TRƯỢT ❌)</t>
        </is>
      </c>
      <c r="H7" s="7" t="inlineStr">
        <is>
          <t>TRÚNG N1 🎯</t>
        </is>
      </c>
      <c r="I7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7" s="3" t="inlineStr">
        <is>
          <t>51, 52, 54, 56, 57, 59, 60, 61, 63, 65, 66, 68, 70, 72, 74, 75, 77, 79, 81, 83, 84, 86, 88, 89, 90, 92, 93, 95, 97, 98 (30 số)</t>
        </is>
      </c>
      <c r="K7" s="3" t="inlineStr">
        <is>
          <t>51, 52, 54, 56, 57, 59, 60, 61, 63, 65, 66, 68, 70, 72, 74, 75, 77, 79, 81, 83, 84, 86, 88, 89, 90, 92, 93, 95, 97, 98 (30 số)</t>
        </is>
      </c>
    </row>
    <row r="8">
      <c r="A8" s="2" t="n">
        <v>6</v>
      </c>
      <c r="B8" s="2" t="inlineStr">
        <is>
          <t>Thứ ba ngày 06-01-2026</t>
        </is>
      </c>
      <c r="C8" s="3" t="inlineStr">
        <is>
          <t>89 (Không)</t>
        </is>
      </c>
      <c r="D8" s="3" t="inlineStr">
        <is>
          <t>62 (Không)</t>
        </is>
      </c>
      <c r="E8" s="3" t="inlineStr">
        <is>
          <t>23 (Trúng)</t>
        </is>
      </c>
      <c r="F8" s="3" t="inlineStr">
        <is>
          <t>---</t>
        </is>
      </c>
      <c r="G8" s="6" t="inlineStr">
        <is>
          <t>10, 12 (TRƯỢT ❌)</t>
        </is>
      </c>
      <c r="H8" s="7" t="inlineStr">
        <is>
          <t>TRÚNG N3 (Siêu Lọc 🎯)</t>
        </is>
      </c>
      <c r="I8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8" s="3" t="inlineStr">
        <is>
          <t>00, 01, 03, 05, 06, 08, 10, 12, 14, 15, 17, 19, 21, 23, 24, 26, 28, 29, 30, 32, 33, 35, 37, 38, 41, 42, 44, 46, 47, 49 (30 số)</t>
        </is>
      </c>
      <c r="K8" s="3" t="inlineStr">
        <is>
          <t>00, 01, 03, 05, 06, 08, 10, 12, 14, 15, 17, 19, 21, 23, 24, 26, 28, 29, 30, 32, 33, 35, 37, 38, 41, 42, 44, 46, 47, 49 (30 số)</t>
        </is>
      </c>
    </row>
    <row r="9">
      <c r="A9" s="2" t="n">
        <v>7</v>
      </c>
      <c r="B9" s="2" t="inlineStr">
        <is>
          <t>Thứ tư ngày 07-01-2026</t>
        </is>
      </c>
      <c r="C9" s="3" t="inlineStr">
        <is>
          <t>62 (Không)</t>
        </is>
      </c>
      <c r="D9" s="3" t="inlineStr">
        <is>
          <t>23 (Trúng)</t>
        </is>
      </c>
      <c r="E9" s="3" t="inlineStr">
        <is>
          <t>93 (Không)</t>
        </is>
      </c>
      <c r="F9" s="3" t="inlineStr">
        <is>
          <t>---</t>
        </is>
      </c>
      <c r="G9" s="6" t="inlineStr">
        <is>
          <t>24, 39 (TRƯỢT ❌)</t>
        </is>
      </c>
      <c r="H9" s="7" t="inlineStr">
        <is>
          <t>TRÚNG N2 (Siêu Lọc 🎯)</t>
        </is>
      </c>
      <c r="I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9" s="3" t="inlineStr">
        <is>
          <t>00, 01, 02, 05, 06, 07, 10, 11, 14, 15, 16, 19, 20, 23, 24, 25, 28, 29, 32, 33, 34, 37, 38, 39, 41, 42, 43, 46, 47, 48 (30 số)</t>
        </is>
      </c>
      <c r="K9" s="3" t="inlineStr">
        <is>
          <t>00, 01, 02, 05, 06, 07, 10, 11, 14, 15, 16, 19, 20, 23, 24, 25, 28, 29, 32, 33, 34, 37, 38, 39, 41, 42, 43, 46, 47, 48 (30 số)</t>
        </is>
      </c>
    </row>
    <row r="10">
      <c r="A10" s="2" t="n">
        <v>8</v>
      </c>
      <c r="B10" s="2" t="inlineStr">
        <is>
          <t>Thứ năm ngày 08-01-2026</t>
        </is>
      </c>
      <c r="C10" s="3" t="inlineStr">
        <is>
          <t>23 (Trúng)</t>
        </is>
      </c>
      <c r="D10" s="3" t="inlineStr">
        <is>
          <t>93 (Không)</t>
        </is>
      </c>
      <c r="E10" s="3" t="inlineStr">
        <is>
          <t>38 (Không)</t>
        </is>
      </c>
      <c r="F10" s="3" t="inlineStr">
        <is>
          <t>---</t>
        </is>
      </c>
      <c r="G10" s="6" t="inlineStr">
        <is>
          <t>13, 54 (TRƯỢT ❌)</t>
        </is>
      </c>
      <c r="H10" s="7" t="inlineStr">
        <is>
          <t>TRÚNG N1 🎯</t>
        </is>
      </c>
      <c r="I10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10" s="3" t="inlineStr">
        <is>
          <t>50, 51, 54, 55, 56, 59, 60, 63, 64, 65, 68, 69, 72, 73, 74, 77, 78, 79, 81, 82, 83, 86, 87, 88, 90, 91, 92, 95, 96, 97 (30 số)</t>
        </is>
      </c>
      <c r="K10" s="3" t="inlineStr">
        <is>
          <t>50, 51, 54, 55, 56, 59, 60, 63, 64, 65, 68, 69, 72, 73, 74, 77, 78, 79, 81, 82, 83, 86, 87, 88, 90, 91, 92, 95, 96, 97 (30 số)</t>
        </is>
      </c>
    </row>
    <row r="11">
      <c r="A11" s="2" t="n">
        <v>9</v>
      </c>
      <c r="B11" s="2" t="inlineStr">
        <is>
          <t>Thứ sáu ngày 09-01-2026</t>
        </is>
      </c>
      <c r="C11" s="3" t="inlineStr">
        <is>
          <t>93 (Trúng)</t>
        </is>
      </c>
      <c r="D11" s="3" t="inlineStr">
        <is>
          <t>38 (Trúng)</t>
        </is>
      </c>
      <c r="E11" s="3" t="inlineStr">
        <is>
          <t>94 (Không)</t>
        </is>
      </c>
      <c r="F11" s="3" t="inlineStr">
        <is>
          <t>---</t>
        </is>
      </c>
      <c r="G11" s="6" t="inlineStr">
        <is>
          <t>23, 46 (TRƯỢT ❌)</t>
        </is>
      </c>
      <c r="H11" s="7" t="inlineStr">
        <is>
          <t>TRÚNG N1 🎯</t>
        </is>
      </c>
      <c r="I1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11" s="3" t="inlineStr">
        <is>
          <t>00, 01, 02, 05, 06, 07, 10, 11, 14, 15, 16, 19, 20, 23, 24, 25, 28, 29, 32, 33, 34, 37, 38, 39, 41, 42, 43, 46, 47, 48 (30 số)</t>
        </is>
      </c>
      <c r="K11" s="3" t="inlineStr">
        <is>
          <t>00, 01, 02, 05, 06, 07, 10, 11, 14, 15, 16, 19, 20, 23, 24, 25, 28, 29, 32, 33, 34, 37, 38, 39, 41, 42, 43, 46, 47, 48 (30 số)</t>
        </is>
      </c>
    </row>
    <row r="12">
      <c r="A12" s="2" t="n">
        <v>10</v>
      </c>
      <c r="B12" s="2" t="inlineStr">
        <is>
          <t>Thứ bảy ngày 10-01-2026</t>
        </is>
      </c>
      <c r="C12" s="3" t="inlineStr">
        <is>
          <t>38 (Không)</t>
        </is>
      </c>
      <c r="D12" s="3" t="inlineStr">
        <is>
          <t>94 (Không)</t>
        </is>
      </c>
      <c r="E12" s="3" t="inlineStr">
        <is>
          <t>27 (Không)</t>
        </is>
      </c>
      <c r="F12" s="3" t="inlineStr">
        <is>
          <t>---</t>
        </is>
      </c>
      <c r="G12" s="6" t="inlineStr">
        <is>
          <t>13, 14 (TRƯỢT ❌)</t>
        </is>
      </c>
      <c r="H12" s="6" t="inlineStr">
        <is>
          <t>TRƯỢT KHUNG ❌</t>
        </is>
      </c>
      <c r="I1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2" s="3" t="inlineStr">
        <is>
          <t>50, 52, 54, 55, 57, 59, 61, 63, 64, 66, 68, 69, 70, 72, 73, 75, 77, 78, 81, 82, 84, 86, 87, 89, 90, 91, 93, 95, 96, 98 (30 số)</t>
        </is>
      </c>
      <c r="K12" s="3" t="inlineStr">
        <is>
          <t>50, 52, 54, 55, 57, 59, 61, 63, 64, 66, 68, 69, 70, 72, 73, 75, 77, 78, 81, 82, 84, 86, 87, 89, 90, 91, 93, 95, 96, 98 (30 số)</t>
        </is>
      </c>
    </row>
    <row r="13">
      <c r="A13" s="2" t="n">
        <v>11</v>
      </c>
      <c r="B13" s="2" t="inlineStr">
        <is>
          <t>Chủ nhật ngày 11-01-2026</t>
        </is>
      </c>
      <c r="C13" s="3" t="inlineStr">
        <is>
          <t>94 (Không)</t>
        </is>
      </c>
      <c r="D13" s="3" t="inlineStr">
        <is>
          <t>27 (Trúng)</t>
        </is>
      </c>
      <c r="E13" s="3" t="inlineStr">
        <is>
          <t>17 (Không)</t>
        </is>
      </c>
      <c r="F13" s="3" t="inlineStr">
        <is>
          <t>---</t>
        </is>
      </c>
      <c r="G13" s="6" t="inlineStr">
        <is>
          <t>10, 38 (TRƯỢT ❌)</t>
        </is>
      </c>
      <c r="H13" s="7" t="inlineStr">
        <is>
          <t>TRÚNG N2 (Siêu Lọc 🎯)</t>
        </is>
      </c>
      <c r="I13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3" s="3" t="inlineStr">
        <is>
          <t>01, 02, 04, 06, 07, 09, 10, 11, 13, 15, 16, 18, 20, 22, 24, 25, 27, 29, 31, 33, 34, 36, 38, 39, 40, 42, 43, 45, 47, 48 (30 số)</t>
        </is>
      </c>
      <c r="K13" s="3" t="inlineStr">
        <is>
          <t>01, 02, 04, 06, 07, 09, 10, 11, 13, 15, 16, 18, 20, 22, 24, 25, 27, 29, 31, 33, 34, 36, 38, 39, 40, 42, 43, 45, 47, 48 (30 số)</t>
        </is>
      </c>
    </row>
    <row r="14">
      <c r="A14" s="2" t="n">
        <v>12</v>
      </c>
      <c r="B14" s="2" t="inlineStr">
        <is>
          <t>Thứ hai ngày 12-01-2026</t>
        </is>
      </c>
      <c r="C14" s="3" t="inlineStr">
        <is>
          <t>27 (Trúng)</t>
        </is>
      </c>
      <c r="D14" s="3" t="inlineStr">
        <is>
          <t>17 (Không)</t>
        </is>
      </c>
      <c r="E14" s="3" t="inlineStr">
        <is>
          <t>22 (Không)</t>
        </is>
      </c>
      <c r="F14" s="3" t="inlineStr">
        <is>
          <t>---</t>
        </is>
      </c>
      <c r="G14" s="6" t="inlineStr">
        <is>
          <t>20, 31 (TRƯỢT ❌)</t>
        </is>
      </c>
      <c r="H14" s="7" t="inlineStr">
        <is>
          <t>TRÚNG N1 🎯</t>
        </is>
      </c>
      <c r="I1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4" s="3" t="inlineStr">
        <is>
          <t>51, 52, 54, 56, 57, 59, 60, 61, 63, 65, 66, 68, 70, 72, 74, 75, 77, 79, 81, 83, 84, 86, 88, 89, 90, 92, 93, 95, 97, 98 (30 số)</t>
        </is>
      </c>
      <c r="K14" s="3" t="inlineStr">
        <is>
          <t>51, 52, 54, 56, 57, 59, 60, 61, 63, 65, 66, 68, 70, 72, 74, 75, 77, 79, 81, 83, 84, 86, 88, 89, 90, 92, 93, 95, 97, 98 (30 số)</t>
        </is>
      </c>
    </row>
    <row r="15">
      <c r="A15" s="2" t="n">
        <v>13</v>
      </c>
      <c r="B15" s="2" t="inlineStr">
        <is>
          <t>Thứ ba ngày 13-01-2026</t>
        </is>
      </c>
      <c r="C15" s="3" t="inlineStr">
        <is>
          <t>17 (Không)</t>
        </is>
      </c>
      <c r="D15" s="3" t="inlineStr">
        <is>
          <t>22 (Không)</t>
        </is>
      </c>
      <c r="E15" s="3" t="inlineStr">
        <is>
          <t>28 (Không)</t>
        </is>
      </c>
      <c r="F15" s="3" t="inlineStr">
        <is>
          <t>---</t>
        </is>
      </c>
      <c r="G15" s="6" t="inlineStr">
        <is>
          <t>16, 24 (TRƯỢT ❌)</t>
        </is>
      </c>
      <c r="H15" s="6" t="inlineStr">
        <is>
          <t>TRƯỢT KHUNG ❌</t>
        </is>
      </c>
      <c r="I1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15" s="3" t="inlineStr">
        <is>
          <t>50, 51, 52, 55, 56, 57, 60, 61, 64, 65, 66, 69, 70, 73, 74, 75, 78, 79, 82, 83, 84, 87, 88, 89, 91, 92, 93, 96, 97, 98 (30 số)</t>
        </is>
      </c>
      <c r="K15" s="3" t="inlineStr">
        <is>
          <t>50, 51, 52, 55, 56, 57, 60, 61, 64, 65, 66, 69, 70, 73, 74, 75, 78, 79, 82, 83, 84, 87, 88, 89, 91, 92, 93, 96, 97, 98 (30 số)</t>
        </is>
      </c>
    </row>
    <row r="16">
      <c r="A16" s="2" t="n">
        <v>14</v>
      </c>
      <c r="B16" s="2" t="inlineStr">
        <is>
          <t>Thứ tư ngày 14-01-2026</t>
        </is>
      </c>
      <c r="C16" s="3" t="inlineStr">
        <is>
          <t>22 (Không)</t>
        </is>
      </c>
      <c r="D16" s="3" t="inlineStr">
        <is>
          <t>28 (Không)</t>
        </is>
      </c>
      <c r="E16" s="3" t="inlineStr">
        <is>
          <t>24 (Không)</t>
        </is>
      </c>
      <c r="F16" s="3" t="inlineStr">
        <is>
          <t>---</t>
        </is>
      </c>
      <c r="G16" s="6" t="inlineStr">
        <is>
          <t>15, 17 (TRƯỢT ❌)</t>
        </is>
      </c>
      <c r="H16" s="6" t="inlineStr">
        <is>
          <t>TRƯỢT KHUNG ❌</t>
        </is>
      </c>
      <c r="I16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 (80 số)</t>
        </is>
      </c>
      <c r="J16" s="3" t="inlineStr">
        <is>
          <t>50, 51, 52, 53, 55, 56, 57, 58, 60, 61, 64, 66, 67, 69, 70, 71, 73, 74, 75, 78, 79, 80, 82, 83, 84, 87, 88, 89, 91, 92, 93, 94, 96, 97, 98, 99 (36 số)</t>
        </is>
      </c>
      <c r="K16" s="3" t="inlineStr">
        <is>
          <t>50, 51, 52, 53, 55, 56, 57, 58, 60, 61, 64, 66, 67, 69, 70, 71, 73, 74, 75, 78, 79, 80, 82, 83, 84, 87, 88, 89, 91, 92, 93, 94, 96, 97, 98, 99 (36 số)</t>
        </is>
      </c>
    </row>
    <row r="17">
      <c r="A17" s="2" t="n">
        <v>15</v>
      </c>
      <c r="B17" s="2" t="inlineStr">
        <is>
          <t>Thứ năm ngày 15-01-2026</t>
        </is>
      </c>
      <c r="C17" s="3" t="inlineStr">
        <is>
          <t>28 (Trúng)</t>
        </is>
      </c>
      <c r="D17" s="3" t="inlineStr">
        <is>
          <t>24 (Không)</t>
        </is>
      </c>
      <c r="E17" s="3" t="inlineStr">
        <is>
          <t>51 (Không)</t>
        </is>
      </c>
      <c r="F17" s="3" t="inlineStr">
        <is>
          <t>---</t>
        </is>
      </c>
      <c r="G17" s="6" t="inlineStr">
        <is>
          <t>00, 14 (TRƯỢT ❌)</t>
        </is>
      </c>
      <c r="H17" s="7" t="inlineStr">
        <is>
          <t>TRÚNG N1 🎯</t>
        </is>
      </c>
      <c r="I17" s="3" t="inlineStr">
        <is>
          <t>00, 03, 05, 08, 12, 14, 17, 19, 21, 23, 26, 28, 30, 32, 35, 37, 41, 44, 46, 49, 50, 53, 55, 58, 62, 64, 67, 69, 71, 73, 76, 78, 80, 82, 85, 87, 91, 94, 96, 99 (40 số)</t>
        </is>
      </c>
      <c r="J17" s="3" t="inlineStr">
        <is>
          <t>50, 53, 55, 58, 62, 64, 67, 69, 71, 73, 76, 78, 80, 82, 85, 87, 91, 94, 96, 99 (20 số)</t>
        </is>
      </c>
      <c r="K17" s="3" t="inlineStr">
        <is>
          <t>50, 53, 55, 58, 62, 64, 67, 69, 71, 73, 76, 78, 80, 82, 85, 87, 91, 94, 96, 99 (20 số)</t>
        </is>
      </c>
    </row>
    <row r="18">
      <c r="A18" s="2" t="n">
        <v>16</v>
      </c>
      <c r="B18" s="2" t="inlineStr">
        <is>
          <t>Thứ sáu ngày 16-01-2026</t>
        </is>
      </c>
      <c r="C18" s="3" t="inlineStr">
        <is>
          <t>24 (Trúng)</t>
        </is>
      </c>
      <c r="D18" s="3" t="inlineStr">
        <is>
          <t>51 (Trúng)</t>
        </is>
      </c>
      <c r="E18" s="3" t="inlineStr">
        <is>
          <t>86 (Trúng)</t>
        </is>
      </c>
      <c r="F18" s="3" t="inlineStr">
        <is>
          <t>---</t>
        </is>
      </c>
      <c r="G18" s="6" t="inlineStr">
        <is>
          <t>33, 40 (TRƯỢT ❌)</t>
        </is>
      </c>
      <c r="H18" s="7" t="inlineStr">
        <is>
          <t>TRÚNG N1 🎯</t>
        </is>
      </c>
      <c r="I1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18" s="3" t="inlineStr">
        <is>
          <t>51, 53, 54, 56, 58, 59, 60, 62, 63, 65, 67, 68, 71, 72, 74, 76, 77, 79, 80, 81, 83, 85, 86, 88, 90, 92, 94, 95, 97, 99 (30 số)</t>
        </is>
      </c>
      <c r="K18" s="3" t="inlineStr">
        <is>
          <t>51, 53, 54, 56, 58, 59, 60, 62, 63, 65, 67, 68, 71, 72, 74, 76, 77, 79, 80, 81, 83, 85, 86, 88, 90, 92, 94, 95, 97, 99 (30 số)</t>
        </is>
      </c>
    </row>
    <row r="19">
      <c r="A19" s="2" t="n">
        <v>17</v>
      </c>
      <c r="B19" s="2" t="inlineStr">
        <is>
          <t>Thứ bảy ngày 17-01-2026</t>
        </is>
      </c>
      <c r="C19" s="3" t="inlineStr">
        <is>
          <t>51 (Trúng)</t>
        </is>
      </c>
      <c r="D19" s="3" t="inlineStr">
        <is>
          <t>86 (Không)</t>
        </is>
      </c>
      <c r="E19" s="3" t="inlineStr">
        <is>
          <t>78 (Không)</t>
        </is>
      </c>
      <c r="F19" s="3" t="inlineStr">
        <is>
          <t>---</t>
        </is>
      </c>
      <c r="G19" s="6" t="inlineStr">
        <is>
          <t>24, 43 (TRƯỢT ❌)</t>
        </is>
      </c>
      <c r="H19" s="7" t="inlineStr">
        <is>
          <t>TRÚNG N1 🎯</t>
        </is>
      </c>
      <c r="I19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 (80 số)</t>
        </is>
      </c>
      <c r="J19" s="3" t="inlineStr">
        <is>
          <t>01, 02, 04, 07, 09, 10, 11, 13, 14, 16, 18, 19, 20, 22, 23, 24, 25, 27, 28, 29, 31, 32, 33, 34, 36, 37, 38, 39, 40, 41, 42, 43, 45, 46, 47, 48 (36 số)</t>
        </is>
      </c>
      <c r="K19" s="3" t="inlineStr">
        <is>
          <t>01, 02, 04, 07, 09, 10, 11, 13, 14, 16, 18, 19, 20, 22, 23, 24, 25, 27, 28, 29, 31, 32, 33, 34, 36, 37, 38, 39, 40, 41, 42, 43, 45, 46, 47, 48 (36 số)</t>
        </is>
      </c>
    </row>
    <row r="20">
      <c r="A20" s="2" t="n">
        <v>18</v>
      </c>
      <c r="B20" s="2" t="inlineStr">
        <is>
          <t>Chủ nhật ngày 18-01-2026</t>
        </is>
      </c>
      <c r="C20" s="3" t="inlineStr">
        <is>
          <t>86 (Không)</t>
        </is>
      </c>
      <c r="D20" s="3" t="inlineStr">
        <is>
          <t>78 (Không)</t>
        </is>
      </c>
      <c r="E20" s="3" t="inlineStr">
        <is>
          <t>86 (Không)</t>
        </is>
      </c>
      <c r="F20" s="3" t="inlineStr">
        <is>
          <t>---</t>
        </is>
      </c>
      <c r="G20" s="6" t="inlineStr">
        <is>
          <t>16, 25 (TRƯỢT ❌)</t>
        </is>
      </c>
      <c r="H20" s="6" t="inlineStr">
        <is>
          <t>TRƯỢT KHUNG ❌</t>
        </is>
      </c>
      <c r="I20" s="3" t="inlineStr">
        <is>
          <t>02, 03, 07, 08, 11, 12, 16, 17, 20, 21, 25, 26, 30, 34, 35, 39, 43, 44, 48, 49, 52, 53, 57, 58, 61, 62, 66, 67, 70, 71, 75, 76, 80, 84, 85, 89, 93, 94, 98, 99 (40 số)</t>
        </is>
      </c>
      <c r="J20" s="3" t="inlineStr">
        <is>
          <t>02, 03, 07, 08, 11, 12, 16, 17, 20, 21, 25, 26, 30, 34, 35, 39, 43, 44, 48, 49 (20 số)</t>
        </is>
      </c>
      <c r="K20" s="3" t="inlineStr">
        <is>
          <t>02, 03, 07, 08, 11, 12, 16, 17, 20, 21, 25, 26, 30, 34, 35, 39, 43, 44, 48, 49 (20 số)</t>
        </is>
      </c>
    </row>
    <row r="21">
      <c r="A21" s="2" t="n">
        <v>19</v>
      </c>
      <c r="B21" s="2" t="inlineStr">
        <is>
          <t>Thứ hai ngày 19-01-2026</t>
        </is>
      </c>
      <c r="C21" s="3" t="inlineStr">
        <is>
          <t>78 (Trúng)</t>
        </is>
      </c>
      <c r="D21" s="3" t="inlineStr">
        <is>
          <t>86 (Không)</t>
        </is>
      </c>
      <c r="E21" s="3" t="inlineStr">
        <is>
          <t>63 (Không)</t>
        </is>
      </c>
      <c r="F21" s="3" t="inlineStr">
        <is>
          <t>---</t>
        </is>
      </c>
      <c r="G21" s="6" t="inlineStr">
        <is>
          <t>23, 24 (TRƯỢT ❌)</t>
        </is>
      </c>
      <c r="H21" s="7" t="inlineStr">
        <is>
          <t>TRÚNG N1 🎯</t>
        </is>
      </c>
      <c r="I21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21" s="3" t="inlineStr">
        <is>
          <t>00, 01, 03, 05, 06, 08, 10, 12, 14, 15, 17, 19, 21, 23, 24, 26, 28, 29, 30, 32, 33, 35, 37, 38, 41, 42, 44, 46, 47, 49 (30 số)</t>
        </is>
      </c>
      <c r="K21" s="3" t="inlineStr">
        <is>
          <t>00, 01, 03, 05, 06, 08, 10, 12, 14, 15, 17, 19, 21, 23, 24, 26, 28, 29, 30, 32, 33, 35, 37, 38, 41, 42, 44, 46, 47, 49 (30 số)</t>
        </is>
      </c>
    </row>
    <row r="22">
      <c r="A22" s="2" t="n">
        <v>20</v>
      </c>
      <c r="B22" s="2" t="inlineStr">
        <is>
          <t>Thứ ba ngày 20-01-2026</t>
        </is>
      </c>
      <c r="C22" s="3" t="inlineStr">
        <is>
          <t>86 (Trúng)</t>
        </is>
      </c>
      <c r="D22" s="3" t="inlineStr">
        <is>
          <t>63 (Không)</t>
        </is>
      </c>
      <c r="E22" s="3" t="inlineStr">
        <is>
          <t>22 (Trúng)</t>
        </is>
      </c>
      <c r="F22" s="3" t="inlineStr">
        <is>
          <t>---</t>
        </is>
      </c>
      <c r="G22" s="6" t="inlineStr">
        <is>
          <t>09, 12 (TRƯỢT ❌)</t>
        </is>
      </c>
      <c r="H22" s="7" t="inlineStr">
        <is>
          <t>TRÚNG N1 🎯</t>
        </is>
      </c>
      <c r="I22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 (80 số)</t>
        </is>
      </c>
      <c r="J22" s="3" t="inlineStr">
        <is>
          <t>00, 01, 03, 04, 08, 09, 10, 13, 14, 17, 18, 19, 21, 22, 23, 24, 26, 27, 28, 29, 30, 31, 32, 33, 35, 36, 37, 38, 40, 41, 42, 44, 45, 46, 47, 49 (36 số)</t>
        </is>
      </c>
      <c r="K22" s="3" t="inlineStr">
        <is>
          <t>00, 01, 03, 04, 08, 09, 10, 13, 14, 17, 18, 19, 21, 22, 23, 24, 26, 27, 28, 29, 30, 31, 32, 33, 35, 36, 37, 38, 40, 41, 42, 44, 45, 46, 47, 49 (36 số)</t>
        </is>
      </c>
    </row>
    <row r="23">
      <c r="A23" s="2" t="n">
        <v>21</v>
      </c>
      <c r="B23" s="2" t="inlineStr">
        <is>
          <t>Thứ tư ngày 21-01-2026</t>
        </is>
      </c>
      <c r="C23" s="3" t="inlineStr">
        <is>
          <t>63 (Không)</t>
        </is>
      </c>
      <c r="D23" s="3" t="inlineStr">
        <is>
          <t>22 (Không)</t>
        </is>
      </c>
      <c r="E23" s="3" t="inlineStr">
        <is>
          <t>62 (Không)</t>
        </is>
      </c>
      <c r="F23" s="3" t="inlineStr">
        <is>
          <t>---</t>
        </is>
      </c>
      <c r="G23" s="6" t="inlineStr">
        <is>
          <t>26, 32 (TRƯỢT ❌)</t>
        </is>
      </c>
      <c r="H23" s="6" t="inlineStr">
        <is>
          <t>TRƯỢT KHUNG ❌</t>
        </is>
      </c>
      <c r="I23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23" s="3" t="inlineStr">
        <is>
          <t>00, 01, 03, 05, 06, 08, 10, 12, 14, 15, 17, 19, 21, 23, 24, 26, 28, 29, 30, 32, 33, 35, 37, 38, 41, 42, 44, 46, 47, 49 (30 số)</t>
        </is>
      </c>
      <c r="K23" s="3" t="inlineStr">
        <is>
          <t>00, 01, 03, 05, 06, 08, 10, 12, 14, 15, 17, 19, 21, 23, 24, 26, 28, 29, 30, 32, 33, 35, 37, 38, 41, 42, 44, 46, 47, 49 (30 số)</t>
        </is>
      </c>
    </row>
    <row r="24">
      <c r="A24" s="2" t="n">
        <v>22</v>
      </c>
      <c r="B24" s="2" t="inlineStr">
        <is>
          <t>Thứ năm ngày 22-01-2026</t>
        </is>
      </c>
      <c r="C24" s="3" t="inlineStr">
        <is>
          <t>22 (Không)</t>
        </is>
      </c>
      <c r="D24" s="3" t="inlineStr">
        <is>
          <t>62 (Trúng)</t>
        </is>
      </c>
      <c r="E24" s="3" t="inlineStr">
        <is>
          <t>30 (Không)</t>
        </is>
      </c>
      <c r="F24" s="3" t="inlineStr">
        <is>
          <t>---</t>
        </is>
      </c>
      <c r="G24" s="6" t="inlineStr">
        <is>
          <t>39, 43 (TRƯỢT ❌)</t>
        </is>
      </c>
      <c r="H24" s="7" t="inlineStr">
        <is>
          <t>TRÚNG N2 (Siêu Lọc 🎯)</t>
        </is>
      </c>
      <c r="I2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24" s="3" t="inlineStr">
        <is>
          <t>50, 52, 53, 55, 57, 58, 61, 62, 64, 66, 67, 69, 70, 71, 73, 75, 76, 78, 80, 82, 84, 85, 87, 89, 91, 93, 94, 96, 98, 99 (30 số)</t>
        </is>
      </c>
      <c r="K24" s="3" t="inlineStr">
        <is>
          <t>50, 52, 53, 55, 57, 58, 61, 62, 64, 66, 67, 69, 70, 71, 73, 75, 76, 78, 80, 82, 84, 85, 87, 89, 91, 93, 94, 96, 98, 99 (30 số)</t>
        </is>
      </c>
    </row>
    <row r="25">
      <c r="A25" s="2" t="n">
        <v>23</v>
      </c>
      <c r="B25" s="2" t="inlineStr">
        <is>
          <t>Thứ sáu ngày 23-01-2026</t>
        </is>
      </c>
      <c r="C25" s="3" t="inlineStr">
        <is>
          <t>62 (Không)</t>
        </is>
      </c>
      <c r="D25" s="3" t="inlineStr">
        <is>
          <t>30 (Không)</t>
        </is>
      </c>
      <c r="E25" s="3" t="inlineStr">
        <is>
          <t>74 (Không)</t>
        </is>
      </c>
      <c r="F25" s="3" t="inlineStr">
        <is>
          <t>---</t>
        </is>
      </c>
      <c r="G25" s="6" t="inlineStr">
        <is>
          <t>10, 19 (TRƯỢT ❌)</t>
        </is>
      </c>
      <c r="H25" s="6" t="inlineStr">
        <is>
          <t>TRƯỢT KHUNG ❌</t>
        </is>
      </c>
      <c r="I25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25" s="3" t="inlineStr">
        <is>
          <t>00, 01, 04, 05, 06, 09, 10, 13, 14, 15, 18, 19, 22, 23, 24, 27, 28, 29, 31, 32, 33, 36, 37, 38, 40, 41, 42, 45, 46, 47 (30 số)</t>
        </is>
      </c>
      <c r="K25" s="3" t="inlineStr">
        <is>
          <t>00, 01, 04, 05, 06, 09, 10, 13, 14, 15, 18, 19, 22, 23, 24, 27, 28, 29, 31, 32, 33, 36, 37, 38, 40, 41, 42, 45, 46, 47 (30 số)</t>
        </is>
      </c>
    </row>
    <row r="26">
      <c r="A26" s="2" t="n">
        <v>24</v>
      </c>
      <c r="B26" s="2" t="inlineStr">
        <is>
          <t>Thứ bảy ngày 24-01-2026</t>
        </is>
      </c>
      <c r="C26" s="3" t="inlineStr">
        <is>
          <t>30 (Không)</t>
        </is>
      </c>
      <c r="D26" s="3" t="inlineStr">
        <is>
          <t>74 (Trúng)</t>
        </is>
      </c>
      <c r="E26" s="3" t="inlineStr">
        <is>
          <t>80 (Không)</t>
        </is>
      </c>
      <c r="F26" s="3" t="inlineStr">
        <is>
          <t>---</t>
        </is>
      </c>
      <c r="G26" s="6" t="inlineStr">
        <is>
          <t>34, 51 (TRƯỢT ❌)</t>
        </is>
      </c>
      <c r="H26" s="7" t="inlineStr">
        <is>
          <t>TRÚNG N2 (Siêu Lọc 🎯)</t>
        </is>
      </c>
      <c r="I26" s="3" t="inlineStr">
        <is>
          <t>01, 02, 06, 07, 10, 11, 15, 16, 20, 24, 25, 29, 33, 34, 38, 39, 42, 43, 47, 48, 51, 52, 56, 57, 60, 61, 65, 66, 70, 74, 75, 79, 83, 84, 88, 89, 92, 93, 97, 98 (40 số)</t>
        </is>
      </c>
      <c r="J26" s="3" t="inlineStr">
        <is>
          <t>51, 52, 56, 57, 60, 61, 65, 66, 70, 74, 75, 79, 83, 84, 88, 89, 92, 93, 97, 98 (20 số)</t>
        </is>
      </c>
      <c r="K26" s="3" t="inlineStr">
        <is>
          <t>51, 52, 56, 57, 60, 61, 65, 66, 70, 74, 75, 79, 83, 84, 88, 89, 92, 93, 97, 98 (20 số)</t>
        </is>
      </c>
    </row>
    <row r="27">
      <c r="A27" s="2" t="n">
        <v>25</v>
      </c>
      <c r="B27" s="2" t="inlineStr">
        <is>
          <t>Chủ nhật ngày 25-01-2026</t>
        </is>
      </c>
      <c r="C27" s="3" t="inlineStr">
        <is>
          <t>74 (Trúng)</t>
        </is>
      </c>
      <c r="D27" s="3" t="inlineStr">
        <is>
          <t>80 (Không)</t>
        </is>
      </c>
      <c r="E27" s="3" t="inlineStr">
        <is>
          <t>21 (Không)</t>
        </is>
      </c>
      <c r="F27" s="3" t="inlineStr">
        <is>
          <t>---</t>
        </is>
      </c>
      <c r="G27" s="6" t="inlineStr">
        <is>
          <t>33, 63 (TRƯỢT ❌)</t>
        </is>
      </c>
      <c r="H27" s="7" t="inlineStr">
        <is>
          <t>TRÚNG N1 🎯</t>
        </is>
      </c>
      <c r="I27" s="3" t="inlineStr">
        <is>
          <t>01, 04, 06, 09, 10, 13, 15, 18, 22, 24, 27, 29, 31, 33, 36, 38, 40, 42, 45, 47, 51, 54, 56, 59, 60, 63, 65, 68, 72, 74, 77, 79, 81, 83, 86, 88, 90, 92, 95, 97 (40 số)</t>
        </is>
      </c>
      <c r="J27" s="3" t="inlineStr">
        <is>
          <t>01, 04, 06, 09, 10, 13, 15, 18, 22, 24, 27, 29, 31, 33, 36, 38, 40, 42, 45, 47 (20 số)</t>
        </is>
      </c>
      <c r="K27" s="3" t="inlineStr">
        <is>
          <t>01, 04, 06, 09, 10, 13, 15, 18, 22, 24, 27, 29, 31, 33, 36, 38, 40, 42, 45, 47 (20 số)</t>
        </is>
      </c>
    </row>
    <row r="28">
      <c r="A28" s="2" t="n">
        <v>26</v>
      </c>
      <c r="B28" s="2" t="inlineStr">
        <is>
          <t>Thứ hai ngày 26-01-2026</t>
        </is>
      </c>
      <c r="C28" s="3" t="inlineStr">
        <is>
          <t>80 (Trúng)</t>
        </is>
      </c>
      <c r="D28" s="3" t="inlineStr">
        <is>
          <t>21 (Trúng)</t>
        </is>
      </c>
      <c r="E28" s="3" t="inlineStr">
        <is>
          <t>14 (Không)</t>
        </is>
      </c>
      <c r="F28" s="3" t="inlineStr">
        <is>
          <t>---</t>
        </is>
      </c>
      <c r="G28" s="6" t="inlineStr">
        <is>
          <t>56, 63 (TRƯỢT ❌)</t>
        </is>
      </c>
      <c r="H28" s="7" t="inlineStr">
        <is>
          <t>TRÚNG N1 🎯</t>
        </is>
      </c>
      <c r="I2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28" s="3" t="inlineStr">
        <is>
          <t>01, 03, 04, 06, 08, 09, 10, 12, 13, 15, 17, 18, 21, 22, 24, 26, 27, 29, 30, 31, 33, 35, 36, 38, 40, 42, 44, 45, 47, 49 (30 số)</t>
        </is>
      </c>
      <c r="K28" s="3" t="inlineStr">
        <is>
          <t>01, 03, 04, 06, 08, 09, 10, 12, 13, 15, 17, 18, 21, 22, 24, 26, 27, 29, 30, 31, 33, 35, 36, 38, 40, 42, 44, 45, 47, 49 (30 số)</t>
        </is>
      </c>
    </row>
    <row r="29">
      <c r="A29" s="2" t="n">
        <v>27</v>
      </c>
      <c r="B29" s="2" t="inlineStr">
        <is>
          <t>Thứ ba ngày 27-01-2026</t>
        </is>
      </c>
      <c r="C29" s="3" t="inlineStr">
        <is>
          <t>21 (Không)</t>
        </is>
      </c>
      <c r="D29" s="3" t="inlineStr">
        <is>
          <t>14 (Không)</t>
        </is>
      </c>
      <c r="E29" s="3" t="inlineStr">
        <is>
          <t>45 (Không)</t>
        </is>
      </c>
      <c r="F29" s="3" t="inlineStr">
        <is>
          <t>---</t>
        </is>
      </c>
      <c r="G29" s="6" t="inlineStr">
        <is>
          <t>16, 20 (TRƯỢT ❌)</t>
        </is>
      </c>
      <c r="H29" s="6" t="inlineStr">
        <is>
          <t>TRƯỢT KHUNG ❌</t>
        </is>
      </c>
      <c r="I29" s="3" t="inlineStr">
        <is>
          <t>02, 04, 07, 09, 11, 13, 16, 18, 20, 22, 25, 27, 31, 34, 36, 39, 40, 43, 45, 48, 52, 54, 57, 59, 61, 63, 66, 68, 70, 72, 75, 77, 81, 84, 86, 89, 90, 93, 95, 98 (40 số)</t>
        </is>
      </c>
      <c r="J29" s="3" t="inlineStr">
        <is>
          <t>52, 54, 57, 59, 61, 63, 66, 68, 70, 72, 75, 77, 81, 84, 86, 89, 90, 93, 95, 98 (20 số)</t>
        </is>
      </c>
      <c r="K29" s="3" t="inlineStr">
        <is>
          <t>52, 54, 57, 59, 61, 63, 66, 68, 70, 72, 75, 77, 81, 84, 86, 89, 90, 93, 95, 98 (20 số)</t>
        </is>
      </c>
    </row>
    <row r="30">
      <c r="A30" s="2" t="n">
        <v>28</v>
      </c>
      <c r="B30" s="2" t="inlineStr">
        <is>
          <t>Thứ tư ngày 28-01-2026</t>
        </is>
      </c>
      <c r="C30" s="3" t="inlineStr">
        <is>
          <t>14 (Không)</t>
        </is>
      </c>
      <c r="D30" s="3" t="inlineStr">
        <is>
          <t>45 (Không)</t>
        </is>
      </c>
      <c r="E30" s="3" t="inlineStr">
        <is>
          <t>54 (Trúng)</t>
        </is>
      </c>
      <c r="F30" s="3" t="inlineStr">
        <is>
          <t>---</t>
        </is>
      </c>
      <c r="G30" s="6" t="inlineStr">
        <is>
          <t>21, 47 (TRƯỢT ❌)</t>
        </is>
      </c>
      <c r="H30" s="7" t="inlineStr">
        <is>
          <t>TRÚNG N3 (Siêu Lọc 🎯)</t>
        </is>
      </c>
      <c r="I3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30" s="3" t="inlineStr">
        <is>
          <t>51, 53, 54, 56, 58, 59, 60, 62, 63, 65, 67, 68, 71, 72, 74, 76, 77, 79, 80, 81, 83, 85, 86, 88, 90, 92, 94, 95, 97, 99 (30 số)</t>
        </is>
      </c>
      <c r="K30" s="3" t="inlineStr">
        <is>
          <t>51, 53, 54, 56, 58, 59, 60, 62, 63, 65, 67, 68, 71, 72, 74, 76, 77, 79, 80, 81, 83, 85, 86, 88, 90, 92, 94, 95, 97, 99 (30 số)</t>
        </is>
      </c>
    </row>
    <row r="31">
      <c r="A31" s="2" t="n">
        <v>29</v>
      </c>
      <c r="B31" s="2" t="inlineStr">
        <is>
          <t>Thứ năm ngày 29-01-2026</t>
        </is>
      </c>
      <c r="C31" s="3" t="inlineStr">
        <is>
          <t>45 (Trúng)</t>
        </is>
      </c>
      <c r="D31" s="3" t="inlineStr">
        <is>
          <t>54 (Trúng)</t>
        </is>
      </c>
      <c r="E31" s="3" t="inlineStr">
        <is>
          <t>77 (Trúng)</t>
        </is>
      </c>
      <c r="F31" s="3" t="inlineStr">
        <is>
          <t>---</t>
        </is>
      </c>
      <c r="G31" s="6" t="inlineStr">
        <is>
          <t>14, 32 (TRƯỢT ❌)</t>
        </is>
      </c>
      <c r="H31" s="7" t="inlineStr">
        <is>
          <t>TRÚNG N1 🎯</t>
        </is>
      </c>
      <c r="I3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31" s="3" t="inlineStr">
        <is>
          <t>50, 51, 54, 55, 56, 59, 60, 63, 64, 65, 68, 69, 72, 73, 74, 77, 78, 79, 81, 82, 83, 86, 87, 88, 90, 91, 92, 95, 96, 97 (30 số)</t>
        </is>
      </c>
      <c r="K31" s="3" t="inlineStr">
        <is>
          <t>50, 51, 54, 55, 56, 59, 60, 63, 64, 65, 68, 69, 72, 73, 74, 77, 78, 79, 81, 82, 83, 86, 87, 88, 90, 91, 92, 95, 96, 97 (30 số)</t>
        </is>
      </c>
    </row>
    <row r="32">
      <c r="A32" s="2" t="n">
        <v>30</v>
      </c>
      <c r="B32" s="2" t="inlineStr">
        <is>
          <t>Thứ sáu ngày 30-01-2026</t>
        </is>
      </c>
      <c r="C32" s="3" t="inlineStr">
        <is>
          <t>54 (Trúng)</t>
        </is>
      </c>
      <c r="D32" s="3" t="inlineStr">
        <is>
          <t>77 (Không)</t>
        </is>
      </c>
      <c r="E32" s="3" t="inlineStr">
        <is>
          <t>61 (Không)</t>
        </is>
      </c>
      <c r="F32" s="3" t="inlineStr">
        <is>
          <t>---</t>
        </is>
      </c>
      <c r="G32" s="6" t="inlineStr">
        <is>
          <t>03, 45 (TRƯỢT ❌)</t>
        </is>
      </c>
      <c r="H32" s="7" t="inlineStr">
        <is>
          <t>TRÚNG N1 🎯</t>
        </is>
      </c>
      <c r="I32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32" s="3" t="inlineStr">
        <is>
          <t>00, 03, 04, 05, 08, 09, 12, 13, 14, 17, 18, 19, 21, 22, 23, 26, 27, 28, 30, 31, 32, 35, 36, 37, 40, 41, 44, 45, 46, 49 (30 số)</t>
        </is>
      </c>
      <c r="K32" s="3" t="inlineStr">
        <is>
          <t>00, 03, 04, 05, 08, 09, 12, 13, 14, 17, 18, 19, 21, 22, 23, 26, 27, 28, 30, 31, 32, 35, 36, 37, 40, 41, 44, 45, 46, 49 (30 số)</t>
        </is>
      </c>
    </row>
    <row r="33">
      <c r="A33" s="2" t="n">
        <v>31</v>
      </c>
      <c r="B33" s="2" t="inlineStr">
        <is>
          <t>Thứ bảy ngày 31-01-2026</t>
        </is>
      </c>
      <c r="C33" s="3" t="inlineStr">
        <is>
          <t>77 (Trúng)</t>
        </is>
      </c>
      <c r="D33" s="3" t="inlineStr">
        <is>
          <t>61 (Không)</t>
        </is>
      </c>
      <c r="E33" s="3" t="inlineStr">
        <is>
          <t>48 (Không)</t>
        </is>
      </c>
      <c r="F33" s="3" t="inlineStr">
        <is>
          <t>---</t>
        </is>
      </c>
      <c r="G33" s="6" t="inlineStr">
        <is>
          <t>47, 51 (TRƯỢT ❌)</t>
        </is>
      </c>
      <c r="H33" s="7" t="inlineStr">
        <is>
          <t>TRÚNG N1 🎯</t>
        </is>
      </c>
      <c r="I3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33" s="3" t="inlineStr">
        <is>
          <t>01, 03, 04, 06, 08, 09, 10, 12, 13, 15, 17, 18, 21, 22, 24, 26, 27, 29, 30, 31, 33, 35, 36, 38, 40, 42, 44, 45, 47, 49 (30 số)</t>
        </is>
      </c>
      <c r="K33" s="3" t="inlineStr">
        <is>
          <t>01, 03, 04, 06, 08, 09, 10, 12, 13, 15, 17, 18, 21, 22, 24, 26, 27, 29, 30, 31, 33, 35, 36, 38, 40, 42, 44, 45, 47, 49 (30 số)</t>
        </is>
      </c>
    </row>
    <row r="34">
      <c r="A34" s="2" t="n">
        <v>32</v>
      </c>
      <c r="B34" s="2" t="inlineStr">
        <is>
          <t>Chủ nhật ngày 01-02-2026</t>
        </is>
      </c>
      <c r="C34" s="3" t="inlineStr">
        <is>
          <t>61 (Không)</t>
        </is>
      </c>
      <c r="D34" s="3" t="inlineStr">
        <is>
          <t>48 (Không)</t>
        </is>
      </c>
      <c r="E34" s="3" t="inlineStr">
        <is>
          <t>17 (Trúng)</t>
        </is>
      </c>
      <c r="F34" s="3" t="inlineStr">
        <is>
          <t>---</t>
        </is>
      </c>
      <c r="G34" s="6" t="inlineStr">
        <is>
          <t>03, 05 (TRƯỢT ❌)</t>
        </is>
      </c>
      <c r="H34" s="7" t="inlineStr">
        <is>
          <t>TRÚNG N3 (Siêu Lọc 🎯)</t>
        </is>
      </c>
      <c r="I34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34" s="3" t="inlineStr">
        <is>
          <t>00, 01, 03, 05, 06, 08, 10, 12, 14, 15, 17, 19, 21, 23, 24, 26, 28, 29, 30, 32, 33, 35, 37, 38, 41, 42, 44, 46, 47, 49 (30 số)</t>
        </is>
      </c>
      <c r="K34" s="3" t="inlineStr">
        <is>
          <t>00, 01, 03, 05, 06, 08, 10, 12, 14, 15, 17, 19, 21, 23, 24, 26, 28, 29, 30, 32, 33, 35, 37, 38, 41, 42, 44, 46, 47, 49 (30 số)</t>
        </is>
      </c>
    </row>
    <row r="35">
      <c r="A35" s="2" t="n">
        <v>33</v>
      </c>
      <c r="B35" s="2" t="inlineStr">
        <is>
          <t>Thứ hai ngày 02-02-2026</t>
        </is>
      </c>
      <c r="C35" s="3" t="inlineStr">
        <is>
          <t>48 (Trúng)</t>
        </is>
      </c>
      <c r="D35" s="3" t="inlineStr">
        <is>
          <t>17 (Không)</t>
        </is>
      </c>
      <c r="E35" s="3" t="inlineStr">
        <is>
          <t>68 (Không)</t>
        </is>
      </c>
      <c r="F35" s="3" t="inlineStr">
        <is>
          <t>---</t>
        </is>
      </c>
      <c r="G35" s="6" t="inlineStr">
        <is>
          <t>06, 07 (TRƯỢT ❌)</t>
        </is>
      </c>
      <c r="H35" s="7" t="inlineStr">
        <is>
          <t>TRÚNG N1 🎯</t>
        </is>
      </c>
      <c r="I3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35" s="3" t="inlineStr">
        <is>
          <t>50, 51, 52, 55, 56, 57, 60, 61, 64, 65, 66, 69, 70, 73, 74, 75, 78, 79, 82, 83, 84, 87, 88, 89, 91, 92, 93, 96, 97, 98 (30 số)</t>
        </is>
      </c>
      <c r="K35" s="3" t="inlineStr">
        <is>
          <t>50, 51, 52, 55, 56, 57, 60, 61, 64, 65, 66, 69, 70, 73, 74, 75, 78, 79, 82, 83, 84, 87, 88, 89, 91, 92, 93, 96, 97, 98 (30 số)</t>
        </is>
      </c>
    </row>
    <row r="36">
      <c r="A36" s="2" t="n">
        <v>34</v>
      </c>
      <c r="B36" s="2" t="inlineStr">
        <is>
          <t>Thứ ba ngày 03-02-2026</t>
        </is>
      </c>
      <c r="C36" s="3" t="inlineStr">
        <is>
          <t>17 (Trúng)</t>
        </is>
      </c>
      <c r="D36" s="3" t="inlineStr">
        <is>
          <t>68 (Trúng)</t>
        </is>
      </c>
      <c r="E36" s="3" t="inlineStr">
        <is>
          <t>33 (Không)</t>
        </is>
      </c>
      <c r="F36" s="3" t="inlineStr">
        <is>
          <t>---</t>
        </is>
      </c>
      <c r="G36" s="6" t="inlineStr">
        <is>
          <t>41, 48 (TRƯỢT ❌)</t>
        </is>
      </c>
      <c r="H36" s="7" t="inlineStr">
        <is>
          <t>TRÚNG N1 🎯</t>
        </is>
      </c>
      <c r="I36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 (80 số)</t>
        </is>
      </c>
      <c r="J36" s="3" t="inlineStr">
        <is>
          <t>50, 52, 53, 54, 55, 57, 58, 59, 61, 63, 64, 66, 67, 68, 69, 70, 71, 72, 73, 75, 77, 78, 80, 81, 82, 84, 86, 87, 89, 90, 91, 93, 94, 95, 96, 98 (36 số)</t>
        </is>
      </c>
      <c r="K36" s="3" t="inlineStr">
        <is>
          <t>50, 52, 53, 54, 55, 57, 58, 59, 61, 63, 64, 66, 67, 68, 69, 70, 71, 72, 73, 75, 77, 78, 80, 81, 82, 84, 86, 87, 89, 90, 91, 93, 94, 95, 96, 98 (36 số)</t>
        </is>
      </c>
    </row>
    <row r="37">
      <c r="A37" s="2" t="n">
        <v>35</v>
      </c>
      <c r="B37" s="2" t="inlineStr">
        <is>
          <t>Thứ tư ngày 04-02-2026</t>
        </is>
      </c>
      <c r="C37" s="3" t="inlineStr">
        <is>
          <t>68 (Không)</t>
        </is>
      </c>
      <c r="D37" s="3" t="inlineStr">
        <is>
          <t>33 (Trúng)</t>
        </is>
      </c>
      <c r="E37" s="3" t="inlineStr">
        <is>
          <t>85 (Không)</t>
        </is>
      </c>
      <c r="F37" s="3" t="inlineStr">
        <is>
          <t>---</t>
        </is>
      </c>
      <c r="G37" s="6" t="inlineStr">
        <is>
          <t>17, 30 (TRƯỢT ❌)</t>
        </is>
      </c>
      <c r="H37" s="7" t="inlineStr">
        <is>
          <t>TRÚNG N2 (Siêu Lọc 🎯)</t>
        </is>
      </c>
      <c r="I37" s="3" t="inlineStr">
        <is>
          <t>01, 03, 06, 08, 10, 12, 15, 17, 21, 24, 26, 29, 30, 33, 35, 38, 42, 44, 47, 49, 51, 53, 56, 58, 60, 62, 65, 67, 71, 74, 76, 79, 80, 83, 85, 88, 92, 94, 97, 99 (40 số)</t>
        </is>
      </c>
      <c r="J37" s="3" t="inlineStr">
        <is>
          <t>01, 03, 06, 08, 10, 12, 15, 17, 21, 24, 26, 29, 30, 33, 35, 38, 42, 44, 47, 49 (20 số)</t>
        </is>
      </c>
      <c r="K37" s="3" t="inlineStr">
        <is>
          <t>01, 03, 06, 08, 10, 12, 15, 17, 21, 24, 26, 29, 30, 33, 35, 38, 42, 44, 47, 49 (20 số)</t>
        </is>
      </c>
    </row>
    <row r="38">
      <c r="A38" s="2" t="n">
        <v>36</v>
      </c>
      <c r="B38" s="2" t="inlineStr">
        <is>
          <t>Thứ năm ngày 05-02-2026</t>
        </is>
      </c>
      <c r="C38" s="3" t="inlineStr">
        <is>
          <t>33 (Trúng)</t>
        </is>
      </c>
      <c r="D38" s="3" t="inlineStr">
        <is>
          <t>85 (Không)</t>
        </is>
      </c>
      <c r="E38" s="3" t="inlineStr">
        <is>
          <t>77 (Không)</t>
        </is>
      </c>
      <c r="F38" s="3" t="inlineStr">
        <is>
          <t>---</t>
        </is>
      </c>
      <c r="G38" s="7" t="inlineStr">
        <is>
          <t>33, 57 (TRÚNG 🎯)</t>
        </is>
      </c>
      <c r="H38" s="7" t="inlineStr">
        <is>
          <t>TRÚNG N1 🎯</t>
        </is>
      </c>
      <c r="I38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 (80 số)</t>
        </is>
      </c>
      <c r="J38" s="3" t="inlineStr">
        <is>
          <t>50, 51, 52, 53, 55, 56, 57, 58, 60, 61, 64, 66, 67, 69, 70, 71, 73, 74, 75, 78, 79, 80, 82, 83, 84, 87, 88, 89, 91, 92, 93, 94, 96, 97, 98, 99 (36 số)</t>
        </is>
      </c>
      <c r="K38" s="3" t="inlineStr">
        <is>
          <t>50, 51, 52, 53, 55, 56, 57, 58, 60, 61, 64, 66, 67, 69, 70, 71, 73, 74, 75, 78, 79, 80, 82, 83, 84, 87, 88, 89, 91, 92, 93, 94, 96, 97, 98, 99 (36 số)</t>
        </is>
      </c>
    </row>
    <row r="39">
      <c r="A39" s="2" t="n">
        <v>37</v>
      </c>
      <c r="B39" s="2" t="inlineStr">
        <is>
          <t>Thứ sáu ngày 06-02-2026</t>
        </is>
      </c>
      <c r="C39" s="3" t="inlineStr">
        <is>
          <t>85 (Không)</t>
        </is>
      </c>
      <c r="D39" s="3" t="inlineStr">
        <is>
          <t>77 (Không)</t>
        </is>
      </c>
      <c r="E39" s="3" t="inlineStr">
        <is>
          <t>01 (Không)</t>
        </is>
      </c>
      <c r="F39" s="3" t="inlineStr">
        <is>
          <t>---</t>
        </is>
      </c>
      <c r="G39" s="6" t="inlineStr">
        <is>
          <t>05, 18 (TRƯỢT ❌)</t>
        </is>
      </c>
      <c r="H39" s="6" t="inlineStr">
        <is>
          <t>TRƯỢT KHUNG ❌</t>
        </is>
      </c>
      <c r="I3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39" s="3" t="inlineStr">
        <is>
          <t>00, 02, 04, 05, 07, 09, 11, 13, 14, 16, 18, 19, 20, 22, 23, 25, 27, 28, 31, 32, 34, 36, 37, 39, 40, 41, 43, 45, 46, 48 (30 số)</t>
        </is>
      </c>
      <c r="K39" s="3" t="inlineStr">
        <is>
          <t>00, 02, 04, 05, 07, 09, 11, 13, 14, 16, 18, 19, 20, 22, 23, 25, 27, 28, 31, 32, 34, 36, 37, 39, 40, 41, 43, 45, 46, 48 (30 số)</t>
        </is>
      </c>
    </row>
    <row r="40">
      <c r="A40" s="2" t="n">
        <v>38</v>
      </c>
      <c r="B40" s="2" t="inlineStr">
        <is>
          <t>Thứ bảy ngày 07-02-2026</t>
        </is>
      </c>
      <c r="C40" s="3" t="inlineStr">
        <is>
          <t>77 (Trúng)</t>
        </is>
      </c>
      <c r="D40" s="3" t="inlineStr">
        <is>
          <t>01 (Không)</t>
        </is>
      </c>
      <c r="E40" s="3" t="inlineStr">
        <is>
          <t>90 (Không)</t>
        </is>
      </c>
      <c r="F40" s="3" t="inlineStr">
        <is>
          <t>---</t>
        </is>
      </c>
      <c r="G40" s="6" t="inlineStr">
        <is>
          <t>17, 43 (TRƯỢT ❌)</t>
        </is>
      </c>
      <c r="H40" s="7" t="inlineStr">
        <is>
          <t>TRÚNG N1 🎯</t>
        </is>
      </c>
      <c r="I40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40" s="3" t="inlineStr">
        <is>
          <t>02, 03, 04, 07, 08, 09, 11, 12, 13, 16, 17, 18, 20, 21, 22, 25, 26, 27, 30, 31, 34, 35, 36, 39, 40, 43, 44, 45, 48, 49 (30 số)</t>
        </is>
      </c>
      <c r="K40" s="3" t="inlineStr">
        <is>
          <t>02, 03, 04, 07, 08, 09, 11, 12, 13, 16, 17, 18, 20, 21, 22, 25, 26, 27, 30, 31, 34, 35, 36, 39, 40, 43, 44, 45, 48, 49 (30 số)</t>
        </is>
      </c>
    </row>
    <row r="41">
      <c r="A41" s="2" t="n">
        <v>39</v>
      </c>
      <c r="B41" s="2" t="inlineStr">
        <is>
          <t>Chủ nhật ngày 08-02-2026</t>
        </is>
      </c>
      <c r="C41" s="3" t="inlineStr">
        <is>
          <t>01 (Trúng)</t>
        </is>
      </c>
      <c r="D41" s="3" t="inlineStr">
        <is>
          <t>90 (Trúng)</t>
        </is>
      </c>
      <c r="E41" s="3" t="inlineStr">
        <is>
          <t>92 (Trúng)</t>
        </is>
      </c>
      <c r="F41" s="3" t="inlineStr">
        <is>
          <t>---</t>
        </is>
      </c>
      <c r="G41" s="6" t="inlineStr">
        <is>
          <t>04, 35 (TRƯỢT ❌)</t>
        </is>
      </c>
      <c r="H41" s="7" t="inlineStr">
        <is>
          <t>TRÚNG N1 🎯</t>
        </is>
      </c>
      <c r="I4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41" s="3" t="inlineStr">
        <is>
          <t>51, 53, 54, 56, 58, 59, 60, 62, 63, 65, 67, 68, 71, 72, 74, 76, 77, 79, 80, 81, 83, 85, 86, 88, 90, 92, 94, 95, 97, 99 (30 số)</t>
        </is>
      </c>
      <c r="K41" s="3" t="inlineStr">
        <is>
          <t>51, 53, 54, 56, 58, 59, 60, 62, 63, 65, 67, 68, 71, 72, 74, 76, 77, 79, 80, 81, 83, 85, 86, 88, 90, 92, 94, 95, 97, 99 (30 số)</t>
        </is>
      </c>
    </row>
    <row r="42">
      <c r="A42" s="2" t="n">
        <v>40</v>
      </c>
      <c r="B42" s="2" t="inlineStr">
        <is>
          <t>Thứ hai ngày 09-02-2026</t>
        </is>
      </c>
      <c r="C42" s="3" t="inlineStr">
        <is>
          <t>90 (Không)</t>
        </is>
      </c>
      <c r="D42" s="3" t="inlineStr">
        <is>
          <t>92 (Không)</t>
        </is>
      </c>
      <c r="E42" s="3" t="inlineStr">
        <is>
          <t>75 (Không)</t>
        </is>
      </c>
      <c r="F42" s="3" t="inlineStr">
        <is>
          <t>---</t>
        </is>
      </c>
      <c r="G42" s="6" t="inlineStr">
        <is>
          <t>14, 25 (TRƯỢT ❌)</t>
        </is>
      </c>
      <c r="H42" s="6" t="inlineStr">
        <is>
          <t>TRƯỢT KHUNG ❌</t>
        </is>
      </c>
      <c r="I42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42" s="3" t="inlineStr">
        <is>
          <t>00, 02, 03, 05, 07, 08, 11, 12, 14, 16, 17, 19, 20, 21, 23, 25, 26, 28, 30, 32, 34, 35, 37, 39, 41, 43, 44, 46, 48, 49 (30 số)</t>
        </is>
      </c>
      <c r="K42" s="3" t="inlineStr">
        <is>
          <t>00, 02, 03, 05, 07, 08, 11, 12, 14, 16, 17, 19, 20, 21, 23, 25, 26, 28, 30, 32, 34, 35, 37, 39, 41, 43, 44, 46, 48, 49 (30 số)</t>
        </is>
      </c>
    </row>
    <row r="43">
      <c r="A43" s="2" t="n">
        <v>41</v>
      </c>
      <c r="B43" s="2" t="inlineStr">
        <is>
          <t>Thứ ba ngày 10-02-2026</t>
        </is>
      </c>
      <c r="C43" s="3" t="inlineStr">
        <is>
          <t>92 (Không)</t>
        </is>
      </c>
      <c r="D43" s="3" t="inlineStr">
        <is>
          <t>75 (Không)</t>
        </is>
      </c>
      <c r="E43" s="3" t="inlineStr">
        <is>
          <t>77 (Không)</t>
        </is>
      </c>
      <c r="F43" s="3" t="inlineStr">
        <is>
          <t>---</t>
        </is>
      </c>
      <c r="G43" s="6" t="inlineStr">
        <is>
          <t>14, 55 (TRƯỢT ❌)</t>
        </is>
      </c>
      <c r="H43" s="6" t="inlineStr">
        <is>
          <t>TRƯỢT KHUNG ❌</t>
        </is>
      </c>
      <c r="I4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43" s="3" t="inlineStr">
        <is>
          <t>00, 02, 04, 05, 07, 09, 11, 13, 14, 16, 18, 19, 20, 22, 23, 25, 27, 28, 31, 32, 34, 36, 37, 39, 40, 41, 43, 45, 46, 48 (30 số)</t>
        </is>
      </c>
      <c r="K43" s="3" t="inlineStr">
        <is>
          <t>00, 02, 04, 05, 07, 09, 11, 13, 14, 16, 18, 19, 20, 22, 23, 25, 27, 28, 31, 32, 34, 36, 37, 39, 40, 41, 43, 45, 46, 48 (30 số)</t>
        </is>
      </c>
    </row>
    <row r="44">
      <c r="A44" s="2" t="n">
        <v>42</v>
      </c>
      <c r="B44" s="2" t="inlineStr">
        <is>
          <t>Thứ tư ngày 11-02-2026</t>
        </is>
      </c>
      <c r="C44" s="3" t="inlineStr">
        <is>
          <t>75 (Trúng)</t>
        </is>
      </c>
      <c r="D44" s="3" t="inlineStr">
        <is>
          <t>77 (Không)</t>
        </is>
      </c>
      <c r="E44" s="3" t="inlineStr">
        <is>
          <t>30 (Không)</t>
        </is>
      </c>
      <c r="F44" s="3" t="inlineStr">
        <is>
          <t>---</t>
        </is>
      </c>
      <c r="G44" s="6" t="inlineStr">
        <is>
          <t>32, 47 (TRƯỢT ❌)</t>
        </is>
      </c>
      <c r="H44" s="7" t="inlineStr">
        <is>
          <t>TRÚNG N1 🎯</t>
        </is>
      </c>
      <c r="I4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44" s="3" t="inlineStr">
        <is>
          <t>00, 01, 02, 05, 06, 07, 10, 11, 14, 15, 16, 19, 20, 23, 24, 25, 28, 29, 32, 33, 34, 37, 38, 39, 41, 42, 43, 46, 47, 48 (30 số)</t>
        </is>
      </c>
      <c r="K44" s="3" t="inlineStr">
        <is>
          <t>00, 01, 02, 05, 06, 07, 10, 11, 14, 15, 16, 19, 20, 23, 24, 25, 28, 29, 32, 33, 34, 37, 38, 39, 41, 42, 43, 46, 47, 48 (30 số)</t>
        </is>
      </c>
    </row>
    <row r="45">
      <c r="A45" s="2" t="n">
        <v>43</v>
      </c>
      <c r="B45" s="2" t="inlineStr">
        <is>
          <t>Thứ năm ngày 12-02-2026</t>
        </is>
      </c>
      <c r="C45" s="3" t="inlineStr">
        <is>
          <t>77 (Trúng)</t>
        </is>
      </c>
      <c r="D45" s="3" t="inlineStr">
        <is>
          <t>30 (Không)</t>
        </is>
      </c>
      <c r="E45" s="3" t="inlineStr">
        <is>
          <t>01 (Trúng)</t>
        </is>
      </c>
      <c r="F45" s="3" t="inlineStr">
        <is>
          <t>---</t>
        </is>
      </c>
      <c r="G45" s="6" t="inlineStr">
        <is>
          <t>10, 16 (TRƯỢT ❌)</t>
        </is>
      </c>
      <c r="H45" s="7" t="inlineStr">
        <is>
          <t>TRÚNG N1 🎯</t>
        </is>
      </c>
      <c r="I45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 (80 số)</t>
        </is>
      </c>
      <c r="J45" s="3" t="inlineStr">
        <is>
          <t>01, 02, 04, 07, 09, 10, 11, 13, 14, 16, 18, 19, 20, 22, 23, 24, 25, 27, 28, 29, 31, 32, 33, 34, 36, 37, 38, 39, 40, 41, 42, 43, 45, 46, 47, 48 (36 số)</t>
        </is>
      </c>
      <c r="K45" s="3" t="inlineStr">
        <is>
          <t>01, 02, 04, 07, 09, 10, 11, 13, 14, 16, 18, 19, 20, 22, 23, 24, 25, 27, 28, 29, 31, 32, 33, 34, 36, 37, 38, 39, 40, 41, 42, 43, 45, 46, 47, 48 (36 số)</t>
        </is>
      </c>
    </row>
    <row r="46">
      <c r="A46" s="2" t="n">
        <v>44</v>
      </c>
      <c r="B46" s="2" t="inlineStr">
        <is>
          <t>Thứ sáu ngày 13-02-2026</t>
        </is>
      </c>
      <c r="C46" s="3" t="inlineStr">
        <is>
          <t>30 (Không)</t>
        </is>
      </c>
      <c r="D46" s="3" t="inlineStr">
        <is>
          <t>01 (Không)</t>
        </is>
      </c>
      <c r="E46" s="3" t="inlineStr">
        <is>
          <t>81 (Trúng)</t>
        </is>
      </c>
      <c r="F46" s="3" t="inlineStr">
        <is>
          <t>---</t>
        </is>
      </c>
      <c r="G46" s="7" t="inlineStr">
        <is>
          <t>01, 09 (TRÚNG 🎯)</t>
        </is>
      </c>
      <c r="H46" s="7" t="inlineStr">
        <is>
          <t>TRÚNG N3 (Siêu Lọc 🎯)</t>
        </is>
      </c>
      <c r="I4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46" s="3" t="inlineStr">
        <is>
          <t>50, 51, 54, 55, 56, 59, 60, 63, 64, 65, 68, 69, 72, 73, 74, 77, 78, 79, 81, 82, 83, 86, 87, 88, 90, 91, 92, 95, 96, 97 (30 số)</t>
        </is>
      </c>
      <c r="K46" s="3" t="inlineStr">
        <is>
          <t>50, 51, 54, 55, 56, 59, 60, 63, 64, 65, 68, 69, 72, 73, 74, 77, 78, 79, 81, 82, 83, 86, 87, 88, 90, 91, 92, 95, 96, 97 (30 số)</t>
        </is>
      </c>
    </row>
    <row r="47">
      <c r="A47" s="2" t="n">
        <v>45</v>
      </c>
      <c r="B47" s="2" t="inlineStr">
        <is>
          <t>Thứ bảy ngày 14-02-2026</t>
        </is>
      </c>
      <c r="C47" s="3" t="inlineStr">
        <is>
          <t>01 (Trúng)</t>
        </is>
      </c>
      <c r="D47" s="3" t="inlineStr">
        <is>
          <t>81 (Trúng)</t>
        </is>
      </c>
      <c r="E47" s="3" t="inlineStr">
        <is>
          <t>13 (Không)</t>
        </is>
      </c>
      <c r="F47" s="3" t="inlineStr">
        <is>
          <t>---</t>
        </is>
      </c>
      <c r="G47" s="6" t="inlineStr">
        <is>
          <t>09, 18 (TRƯỢT ❌)</t>
        </is>
      </c>
      <c r="H47" s="7" t="inlineStr">
        <is>
          <t>TRÚNG N1 🎯</t>
        </is>
      </c>
      <c r="I47" s="3" t="inlineStr">
        <is>
          <t>01, 04, 06, 09, 10, 13, 15, 18, 22, 24, 27, 29, 31, 33, 36, 38, 40, 42, 45, 47, 51, 54, 56, 59, 60, 63, 65, 68, 72, 74, 77, 79, 81, 83, 86, 88, 90, 92, 95, 97 (40 số)</t>
        </is>
      </c>
      <c r="J47" s="3" t="inlineStr">
        <is>
          <t>51, 54, 56, 59, 60, 63, 65, 68, 72, 74, 77, 79, 81, 83, 86, 88, 90, 92, 95, 97 (20 số)</t>
        </is>
      </c>
      <c r="K47" s="3" t="inlineStr">
        <is>
          <t>51, 54, 56, 59, 60, 63, 65, 68, 72, 74, 77, 79, 81, 83, 86, 88, 90, 92, 95, 97 (20 số)</t>
        </is>
      </c>
    </row>
    <row r="48">
      <c r="A48" s="2" t="n">
        <v>46</v>
      </c>
      <c r="B48" s="2" t="inlineStr">
        <is>
          <t>Chủ nhật ngày 15-02-2026</t>
        </is>
      </c>
      <c r="C48" s="3" t="inlineStr">
        <is>
          <t>81 (Trúng)</t>
        </is>
      </c>
      <c r="D48" s="3" t="inlineStr">
        <is>
          <t>13 (Trúng)</t>
        </is>
      </c>
      <c r="E48" s="3" t="inlineStr">
        <is>
          <t>12 (Không)</t>
        </is>
      </c>
      <c r="F48" s="3" t="inlineStr">
        <is>
          <t>---</t>
        </is>
      </c>
      <c r="G48" s="6" t="inlineStr">
        <is>
          <t>01, 03 (TRƯỢT ❌)</t>
        </is>
      </c>
      <c r="H48" s="7" t="inlineStr">
        <is>
          <t>TRÚNG N1 🎯</t>
        </is>
      </c>
      <c r="I48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 (80 số)</t>
        </is>
      </c>
      <c r="J48" s="3" t="inlineStr">
        <is>
          <t>01, 02, 04, 07, 08, 09, 10, 11, 13, 16, 17, 18, 20, 21, 22, 24, 25, 26, 27, 29, 30, 31, 33, 34, 35, 36, 38, 39, 40, 42, 43, 44, 45, 47, 48, 49 (36 số)</t>
        </is>
      </c>
      <c r="K48" s="3" t="inlineStr">
        <is>
          <t>01, 02, 04, 07, 08, 09, 10, 11, 13, 16, 17, 18, 20, 21, 22, 24, 25, 26, 27, 29, 30, 31, 33, 34, 35, 36, 38, 39, 40, 42, 43, 44, 45, 47, 48, 49 (36 số)</t>
        </is>
      </c>
    </row>
    <row r="49">
      <c r="A49" s="2" t="n">
        <v>47</v>
      </c>
      <c r="B49" s="2" t="inlineStr">
        <is>
          <t>Thứ sáu ngày 20-02-2026</t>
        </is>
      </c>
      <c r="C49" s="3" t="inlineStr">
        <is>
          <t>13 (Trúng)</t>
        </is>
      </c>
      <c r="D49" s="3" t="inlineStr">
        <is>
          <t>12 (Không)</t>
        </is>
      </c>
      <c r="E49" s="3" t="inlineStr">
        <is>
          <t>55 (Không)</t>
        </is>
      </c>
      <c r="F49" s="3" t="inlineStr">
        <is>
          <t>---</t>
        </is>
      </c>
      <c r="G49" s="6" t="inlineStr">
        <is>
          <t>09, 42 (TRƯỢT ❌)</t>
        </is>
      </c>
      <c r="H49" s="7" t="inlineStr">
        <is>
          <t>TRÚNG N1 🎯</t>
        </is>
      </c>
      <c r="I49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49" s="3" t="inlineStr">
        <is>
          <t>51, 52, 54, 56, 57, 59, 60, 61, 63, 65, 66, 68, 70, 72, 74, 75, 77, 79, 81, 83, 84, 86, 88, 89, 90, 92, 93, 95, 97, 98 (30 số)</t>
        </is>
      </c>
      <c r="K49" s="3" t="inlineStr">
        <is>
          <t>51, 52, 54, 56, 57, 59, 60, 61, 63, 65, 66, 68, 70, 72, 74, 75, 77, 79, 81, 83, 84, 86, 88, 89, 90, 92, 93, 95, 97, 98 (30 số)</t>
        </is>
      </c>
    </row>
    <row r="50">
      <c r="A50" s="2" t="n">
        <v>48</v>
      </c>
      <c r="B50" s="2" t="inlineStr">
        <is>
          <t>Thứ bảy ngày 21-02-2026</t>
        </is>
      </c>
      <c r="C50" s="3" t="inlineStr">
        <is>
          <t>12 (Không)</t>
        </is>
      </c>
      <c r="D50" s="3" t="inlineStr">
        <is>
          <t>55 (Trúng)</t>
        </is>
      </c>
      <c r="E50" s="3" t="inlineStr">
        <is>
          <t>37 (Không)</t>
        </is>
      </c>
      <c r="F50" s="3" t="inlineStr">
        <is>
          <t>---</t>
        </is>
      </c>
      <c r="G50" s="6" t="inlineStr">
        <is>
          <t>09, 13 (TRƯỢT ❌)</t>
        </is>
      </c>
      <c r="H50" s="7" t="inlineStr">
        <is>
          <t>TRÚNG N2 (Siêu Lọc 🎯)</t>
        </is>
      </c>
      <c r="I50" s="3" t="inlineStr">
        <is>
          <t>00, 04, 05, 09, 13, 14, 18, 19, 22, 23, 27, 28, 31, 32, 36, 37, 40, 41, 45, 46, 50, 54, 55, 59, 63, 64, 68, 69, 72, 73, 77, 78, 81, 82, 86, 87, 90, 91, 95, 96 (40 số)</t>
        </is>
      </c>
      <c r="J50" s="3" t="inlineStr">
        <is>
          <t>50, 54, 55, 59, 63, 64, 68, 69, 72, 73, 77, 78, 81, 82, 86, 87, 90, 91, 95, 96 (20 số)</t>
        </is>
      </c>
      <c r="K50" s="3" t="inlineStr">
        <is>
          <t>50, 54, 55, 59, 63, 64, 68, 69, 72, 73, 77, 78, 81, 82, 86, 87, 90, 91, 95, 96 (20 số)</t>
        </is>
      </c>
    </row>
    <row r="51">
      <c r="A51" s="2" t="n">
        <v>49</v>
      </c>
      <c r="B51" s="2" t="inlineStr">
        <is>
          <t>Chủ nhật ngày 22-02-2026</t>
        </is>
      </c>
      <c r="C51" s="3" t="inlineStr">
        <is>
          <t>55 (Không)</t>
        </is>
      </c>
      <c r="D51" s="3" t="inlineStr">
        <is>
          <t>37 (Không)</t>
        </is>
      </c>
      <c r="E51" s="3" t="inlineStr">
        <is>
          <t>53 (Không)</t>
        </is>
      </c>
      <c r="F51" s="3" t="inlineStr">
        <is>
          <t>---</t>
        </is>
      </c>
      <c r="G51" s="6" t="inlineStr">
        <is>
          <t>09, 12 (TRƯỢT ❌)</t>
        </is>
      </c>
      <c r="H51" s="6" t="inlineStr">
        <is>
          <t>TRƯỢT KHUNG ❌</t>
        </is>
      </c>
      <c r="I5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51" s="3" t="inlineStr">
        <is>
          <t>01, 03, 04, 06, 08, 09, 10, 12, 13, 15, 17, 18, 21, 22, 24, 26, 27, 29, 30, 31, 33, 35, 36, 38, 40, 42, 44, 45, 47, 49 (30 số)</t>
        </is>
      </c>
      <c r="K51" s="3" t="inlineStr">
        <is>
          <t>01, 03, 04, 06, 08, 09, 10, 12, 13, 15, 17, 18, 21, 22, 24, 26, 27, 29, 30, 31, 33, 35, 36, 38, 40, 42, 44, 45, 47, 49 (30 số)</t>
        </is>
      </c>
    </row>
    <row r="52">
      <c r="A52" s="2" t="n">
        <v>50</v>
      </c>
      <c r="B52" s="2" t="inlineStr">
        <is>
          <t>Thứ hai ngày 23-02-2026</t>
        </is>
      </c>
      <c r="C52" s="3" t="inlineStr">
        <is>
          <t>37 (Trúng)</t>
        </is>
      </c>
      <c r="D52" s="3" t="inlineStr">
        <is>
          <t>53 (Không)</t>
        </is>
      </c>
      <c r="E52" s="3" t="inlineStr">
        <is>
          <t>08 (Không)</t>
        </is>
      </c>
      <c r="F52" s="3" t="inlineStr">
        <is>
          <t>---</t>
        </is>
      </c>
      <c r="G52" s="6" t="inlineStr">
        <is>
          <t>00, 43 (TRƯỢT ❌)</t>
        </is>
      </c>
      <c r="H52" s="7" t="inlineStr">
        <is>
          <t>TRÚNG N1 🎯</t>
        </is>
      </c>
      <c r="I5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52" s="3" t="inlineStr">
        <is>
          <t>50, 52, 54, 55, 57, 59, 61, 63, 64, 66, 68, 69, 70, 72, 73, 75, 77, 78, 81, 82, 84, 86, 87, 89, 90, 91, 93, 95, 96, 98 (30 số)</t>
        </is>
      </c>
      <c r="K52" s="3" t="inlineStr">
        <is>
          <t>50, 52, 54, 55, 57, 59, 61, 63, 64, 66, 68, 69, 70, 72, 73, 75, 77, 78, 81, 82, 84, 86, 87, 89, 90, 91, 93, 95, 96, 98 (30 số)</t>
        </is>
      </c>
    </row>
    <row r="53">
      <c r="A53" s="2" t="n">
        <v>51</v>
      </c>
      <c r="B53" s="2" t="inlineStr">
        <is>
          <t>Thứ ba ngày 24-02-2026</t>
        </is>
      </c>
      <c r="C53" s="3" t="inlineStr">
        <is>
          <t>53 (Không)</t>
        </is>
      </c>
      <c r="D53" s="3" t="inlineStr">
        <is>
          <t>08 (Không)</t>
        </is>
      </c>
      <c r="E53" s="3" t="inlineStr">
        <is>
          <t>83 (Không)</t>
        </is>
      </c>
      <c r="F53" s="3" t="inlineStr">
        <is>
          <t>---</t>
        </is>
      </c>
      <c r="G53" s="6" t="inlineStr">
        <is>
          <t>36, 37 (TRƯỢT ❌)</t>
        </is>
      </c>
      <c r="H53" s="6" t="inlineStr">
        <is>
          <t>TRƯỢT KHUNG ❌</t>
        </is>
      </c>
      <c r="I5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53" s="3" t="inlineStr">
        <is>
          <t>00, 01, 04, 05, 06, 09, 10, 13, 14, 15, 18, 19, 22, 23, 24, 27, 28, 29, 31, 32, 33, 36, 37, 38, 40, 41, 42, 45, 46, 47 (30 số)</t>
        </is>
      </c>
      <c r="K53" s="3" t="inlineStr">
        <is>
          <t>00, 01, 04, 05, 06, 09, 10, 13, 14, 15, 18, 19, 22, 23, 24, 27, 28, 29, 31, 32, 33, 36, 37, 38, 40, 41, 42, 45, 46, 47 (30 số)</t>
        </is>
      </c>
    </row>
    <row r="54">
      <c r="A54" s="2" t="n">
        <v>52</v>
      </c>
      <c r="B54" s="2" t="inlineStr">
        <is>
          <t>Thứ tư ngày 25-02-2026</t>
        </is>
      </c>
      <c r="C54" s="3" t="inlineStr">
        <is>
          <t>08 (Trúng)</t>
        </is>
      </c>
      <c r="D54" s="3" t="inlineStr">
        <is>
          <t>83 (Không)</t>
        </is>
      </c>
      <c r="E54" s="3" t="inlineStr">
        <is>
          <t>91 (Không)</t>
        </is>
      </c>
      <c r="F54" s="3" t="inlineStr">
        <is>
          <t>---</t>
        </is>
      </c>
      <c r="G54" s="6" t="inlineStr">
        <is>
          <t>13, 30 (TRƯỢT ❌)</t>
        </is>
      </c>
      <c r="H54" s="7" t="inlineStr">
        <is>
          <t>TRÚNG N1 🎯</t>
        </is>
      </c>
      <c r="I54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54" s="3" t="inlineStr">
        <is>
          <t>52, 53, 54, 57, 58, 59, 61, 62, 63, 66, 67, 68, 70, 71, 72, 75, 76, 77, 80, 81, 84, 85, 86, 89, 90, 93, 94, 95, 98, 99 (30 số)</t>
        </is>
      </c>
      <c r="K54" s="3" t="inlineStr">
        <is>
          <t>52, 53, 54, 57, 58, 59, 61, 62, 63, 66, 67, 68, 70, 71, 72, 75, 76, 77, 80, 81, 84, 85, 86, 89, 90, 93, 94, 95, 98, 99 (30 số)</t>
        </is>
      </c>
    </row>
    <row r="55">
      <c r="A55" s="2" t="n">
        <v>53</v>
      </c>
      <c r="B55" s="2" t="inlineStr">
        <is>
          <t>Thứ năm ngày 26-02-2026</t>
        </is>
      </c>
      <c r="C55" s="3" t="inlineStr">
        <is>
          <t>83 (Trúng)</t>
        </is>
      </c>
      <c r="D55" s="3" t="inlineStr">
        <is>
          <t>91 (Không)</t>
        </is>
      </c>
      <c r="E55" s="3" t="inlineStr">
        <is>
          <t>48 (Không)</t>
        </is>
      </c>
      <c r="F55" s="3" t="inlineStr">
        <is>
          <t>---</t>
        </is>
      </c>
      <c r="G55" s="6" t="inlineStr">
        <is>
          <t>08, 41 (TRƯỢT ❌)</t>
        </is>
      </c>
      <c r="H55" s="7" t="inlineStr">
        <is>
          <t>TRÚNG N1 🎯</t>
        </is>
      </c>
      <c r="I55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55" s="3" t="inlineStr">
        <is>
          <t>00, 01, 03, 05, 06, 08, 10, 12, 14, 15, 17, 19, 21, 23, 24, 26, 28, 29, 30, 32, 33, 35, 37, 38, 41, 42, 44, 46, 47, 49 (30 số)</t>
        </is>
      </c>
      <c r="K55" s="3" t="inlineStr">
        <is>
          <t>00, 01, 03, 05, 06, 08, 10, 12, 14, 15, 17, 19, 21, 23, 24, 26, 28, 29, 30, 32, 33, 35, 37, 38, 41, 42, 44, 46, 47, 49 (30 số)</t>
        </is>
      </c>
    </row>
    <row r="56">
      <c r="A56" s="2" t="n">
        <v>54</v>
      </c>
      <c r="B56" s="2" t="inlineStr">
        <is>
          <t>Thứ sáu ngày 27-02-2026</t>
        </is>
      </c>
      <c r="C56" s="3" t="inlineStr">
        <is>
          <t>91 (Không)</t>
        </is>
      </c>
      <c r="D56" s="3" t="inlineStr">
        <is>
          <t>48 (Trúng)</t>
        </is>
      </c>
      <c r="E56" s="3" t="inlineStr">
        <is>
          <t>57 (Không)</t>
        </is>
      </c>
      <c r="F56" s="3" t="inlineStr">
        <is>
          <t>---</t>
        </is>
      </c>
      <c r="G56" s="6" t="inlineStr">
        <is>
          <t>13, 39 (TRƯỢT ❌)</t>
        </is>
      </c>
      <c r="H56" s="7" t="inlineStr">
        <is>
          <t>TRÚNG N2 (Siêu Lọc 🎯)</t>
        </is>
      </c>
      <c r="I56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56" s="3" t="inlineStr">
        <is>
          <t>01, 02, 04, 06, 07, 09, 10, 11, 13, 15, 16, 18, 20, 22, 24, 25, 27, 29, 31, 33, 34, 36, 38, 39, 40, 42, 43, 45, 47, 48 (30 số)</t>
        </is>
      </c>
      <c r="K56" s="3" t="inlineStr">
        <is>
          <t>01, 02, 04, 06, 07, 09, 10, 11, 13, 15, 16, 18, 20, 22, 24, 25, 27, 29, 31, 33, 34, 36, 38, 39, 40, 42, 43, 45, 47, 48 (30 số)</t>
        </is>
      </c>
    </row>
    <row r="57">
      <c r="A57" s="2" t="n">
        <v>55</v>
      </c>
      <c r="B57" s="2" t="inlineStr">
        <is>
          <t>Thứ bảy ngày 28-02-2026</t>
        </is>
      </c>
      <c r="C57" s="3" t="inlineStr">
        <is>
          <t>48 (Không)</t>
        </is>
      </c>
      <c r="D57" s="3" t="inlineStr">
        <is>
          <t>57 (Không)</t>
        </is>
      </c>
      <c r="E57" s="3" t="inlineStr">
        <is>
          <t>78 (Trúng)</t>
        </is>
      </c>
      <c r="F57" s="3" t="inlineStr">
        <is>
          <t>---</t>
        </is>
      </c>
      <c r="G57" s="6" t="inlineStr">
        <is>
          <t>09, 65 (TRƯỢT ❌)</t>
        </is>
      </c>
      <c r="H57" s="7" t="inlineStr">
        <is>
          <t>TRÚNG N3 (Siêu Lọc 🎯)</t>
        </is>
      </c>
      <c r="I57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57" s="3" t="inlineStr">
        <is>
          <t>50, 51, 54, 55, 56, 59, 60, 63, 64, 65, 68, 69, 72, 73, 74, 77, 78, 79, 81, 82, 83, 86, 87, 88, 90, 91, 92, 95, 96, 97 (30 số)</t>
        </is>
      </c>
      <c r="K57" s="3" t="inlineStr">
        <is>
          <t>50, 51, 54, 55, 56, 59, 60, 63, 64, 65, 68, 69, 72, 73, 74, 77, 78, 79, 81, 82, 83, 86, 87, 88, 90, 91, 92, 95, 96, 97 (30 số)</t>
        </is>
      </c>
    </row>
    <row r="58">
      <c r="A58" s="2" t="n">
        <v>56</v>
      </c>
      <c r="B58" s="2" t="inlineStr">
        <is>
          <t>Chủ nhật ngày 01-03-2026</t>
        </is>
      </c>
      <c r="C58" s="3" t="inlineStr">
        <is>
          <t>57 (Không)</t>
        </is>
      </c>
      <c r="D58" s="3" t="inlineStr">
        <is>
          <t>78 (Không)</t>
        </is>
      </c>
      <c r="E58" s="3" t="inlineStr">
        <is>
          <t>19 (Trúng)</t>
        </is>
      </c>
      <c r="F58" s="3" t="inlineStr">
        <is>
          <t>---</t>
        </is>
      </c>
      <c r="G58" s="6" t="inlineStr">
        <is>
          <t>60, 73 (TRƯỢT ❌)</t>
        </is>
      </c>
      <c r="H58" s="7" t="inlineStr">
        <is>
          <t>TRÚNG N3 (Siêu Lọc 🎯)</t>
        </is>
      </c>
      <c r="I58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58" s="3" t="inlineStr">
        <is>
          <t>00, 01, 04, 05, 06, 09, 10, 13, 14, 15, 18, 19, 22, 23, 24, 27, 28, 29, 31, 32, 33, 36, 37, 38, 40, 41, 42, 45, 46, 47 (30 số)</t>
        </is>
      </c>
      <c r="K58" s="3" t="inlineStr">
        <is>
          <t>00, 01, 04, 05, 06, 09, 10, 13, 14, 15, 18, 19, 22, 23, 24, 27, 28, 29, 31, 32, 33, 36, 37, 38, 40, 41, 42, 45, 46, 47 (30 số)</t>
        </is>
      </c>
    </row>
    <row r="59">
      <c r="A59" s="2" t="n">
        <v>57</v>
      </c>
      <c r="B59" s="2" t="inlineStr">
        <is>
          <t>Thứ hai ngày 02-03-2026</t>
        </is>
      </c>
      <c r="C59" s="3" t="inlineStr">
        <is>
          <t>78 (Trúng)</t>
        </is>
      </c>
      <c r="D59" s="3" t="inlineStr">
        <is>
          <t>19 (Trúng)</t>
        </is>
      </c>
      <c r="E59" s="3" t="inlineStr">
        <is>
          <t>59 (Không)</t>
        </is>
      </c>
      <c r="F59" s="3" t="inlineStr">
        <is>
          <t>---</t>
        </is>
      </c>
      <c r="G59" s="6" t="inlineStr">
        <is>
          <t>00, 45 (TRƯỢT ❌)</t>
        </is>
      </c>
      <c r="H59" s="7" t="inlineStr">
        <is>
          <t>TRÚNG N1 🎯</t>
        </is>
      </c>
      <c r="I5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59" s="3" t="inlineStr">
        <is>
          <t>00, 02, 04, 05, 07, 09, 11, 13, 14, 16, 18, 19, 20, 22, 23, 25, 27, 28, 31, 32, 34, 36, 37, 39, 40, 41, 43, 45, 46, 48 (30 số)</t>
        </is>
      </c>
      <c r="K59" s="3" t="inlineStr">
        <is>
          <t>00, 02, 04, 05, 07, 09, 11, 13, 14, 16, 18, 19, 20, 22, 23, 25, 27, 28, 31, 32, 34, 36, 37, 39, 40, 41, 43, 45, 46, 48 (30 số)</t>
        </is>
      </c>
    </row>
    <row r="60">
      <c r="A60" s="2" t="n">
        <v>58</v>
      </c>
      <c r="B60" s="2" t="inlineStr">
        <is>
          <t>Thứ ba ngày 03-03-2026</t>
        </is>
      </c>
      <c r="C60" s="3" t="inlineStr">
        <is>
          <t>19 (Không)</t>
        </is>
      </c>
      <c r="D60" s="3" t="inlineStr">
        <is>
          <t>59 (Trúng)</t>
        </is>
      </c>
      <c r="E60" s="3" t="inlineStr">
        <is>
          <t>49 (Không)</t>
        </is>
      </c>
      <c r="F60" s="3" t="inlineStr">
        <is>
          <t>---</t>
        </is>
      </c>
      <c r="G60" s="6" t="inlineStr">
        <is>
          <t>21, 36 (TRƯỢT ❌)</t>
        </is>
      </c>
      <c r="H60" s="7" t="inlineStr">
        <is>
          <t>TRÚNG N2 (Siêu Lọc 🎯)</t>
        </is>
      </c>
      <c r="I6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60" s="3" t="inlineStr">
        <is>
          <t>51, 53, 54, 56, 58, 59, 60, 62, 63, 65, 67, 68, 71, 72, 74, 76, 77, 79, 80, 81, 83, 85, 86, 88, 90, 92, 94, 95, 97, 99 (30 số)</t>
        </is>
      </c>
      <c r="K60" s="3" t="inlineStr">
        <is>
          <t>51, 53, 54, 56, 58, 59, 60, 62, 63, 65, 67, 68, 71, 72, 74, 76, 77, 79, 80, 81, 83, 85, 86, 88, 90, 92, 94, 95, 97, 99 (30 số)</t>
        </is>
      </c>
    </row>
    <row r="61">
      <c r="A61" s="2" t="n">
        <v>59</v>
      </c>
      <c r="B61" s="2" t="inlineStr">
        <is>
          <t>Thứ tư ngày 04-03-2026</t>
        </is>
      </c>
      <c r="C61" s="3" t="inlineStr">
        <is>
          <t>59 (Không)</t>
        </is>
      </c>
      <c r="D61" s="3" t="inlineStr">
        <is>
          <t>49 (Trúng)</t>
        </is>
      </c>
      <c r="E61" s="3" t="inlineStr">
        <is>
          <t>51 (Không)</t>
        </is>
      </c>
      <c r="F61" s="3" t="inlineStr">
        <is>
          <t>---</t>
        </is>
      </c>
      <c r="G61" s="6" t="inlineStr">
        <is>
          <t>05, 19 (TRƯỢT ❌)</t>
        </is>
      </c>
      <c r="H61" s="7" t="inlineStr">
        <is>
          <t>TRÚNG N2 (Siêu Lọc 🎯)</t>
        </is>
      </c>
      <c r="I61" s="3" t="inlineStr">
        <is>
          <t>00, 03, 05, 08, 12, 14, 17, 19, 21, 23, 26, 28, 30, 32, 35, 37, 41, 44, 46, 49, 50, 53, 55, 58, 62, 64, 67, 69, 71, 73, 76, 78, 80, 82, 85, 87, 91, 94, 96, 99 (40 số)</t>
        </is>
      </c>
      <c r="J61" s="3" t="inlineStr">
        <is>
          <t>00, 03, 05, 08, 12, 14, 17, 19, 21, 23, 26, 28, 30, 32, 35, 37, 41, 44, 46, 49 (20 số)</t>
        </is>
      </c>
      <c r="K61" s="3" t="inlineStr">
        <is>
          <t>00, 03, 05, 08, 12, 14, 17, 19, 21, 23, 26, 28, 30, 32, 35, 37, 41, 44, 46, 49 (20 số)</t>
        </is>
      </c>
    </row>
    <row r="62">
      <c r="A62" s="2" t="n">
        <v>60</v>
      </c>
      <c r="B62" s="2" t="inlineStr">
        <is>
          <t>Thứ năm ngày 05-03-2026</t>
        </is>
      </c>
      <c r="C62" s="3" t="inlineStr">
        <is>
          <t>49 (Trúng)</t>
        </is>
      </c>
      <c r="D62" s="3" t="inlineStr">
        <is>
          <t>51 (Không)</t>
        </is>
      </c>
      <c r="E62" s="3" t="inlineStr">
        <is>
          <t>36 (Không)</t>
        </is>
      </c>
      <c r="F62" s="3" t="inlineStr">
        <is>
          <t>---</t>
        </is>
      </c>
      <c r="G62" s="6" t="inlineStr">
        <is>
          <t>14, 40 (TRƯỢT ❌)</t>
        </is>
      </c>
      <c r="H62" s="7" t="inlineStr">
        <is>
          <t>TRÚNG N1 🎯</t>
        </is>
      </c>
      <c r="I62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 (80 số)</t>
        </is>
      </c>
      <c r="J62" s="3" t="inlineStr">
        <is>
          <t>50, 52, 53, 54, 55, 57, 58, 59, 61, 63, 64, 66, 67, 68, 69, 70, 71, 72, 73, 75, 77, 78, 80, 81, 82, 84, 86, 87, 89, 90, 91, 93, 94, 95, 96, 98 (36 số)</t>
        </is>
      </c>
      <c r="K62" s="3" t="inlineStr">
        <is>
          <t>50, 52, 53, 54, 55, 57, 58, 59, 61, 63, 64, 66, 67, 68, 69, 70, 71, 72, 73, 75, 77, 78, 80, 81, 82, 84, 86, 87, 89, 90, 91, 93, 94, 95, 96, 98 (36 số)</t>
        </is>
      </c>
    </row>
    <row r="63">
      <c r="A63" s="2" t="n">
        <v>61</v>
      </c>
      <c r="B63" s="2" t="inlineStr">
        <is>
          <t>Thứ sáu ngày 06-03-2026</t>
        </is>
      </c>
      <c r="C63" s="3" t="inlineStr">
        <is>
          <t>51 (Trúng)</t>
        </is>
      </c>
      <c r="D63" s="3" t="inlineStr">
        <is>
          <t>36 (Không)</t>
        </is>
      </c>
      <c r="E63" s="3" t="inlineStr">
        <is>
          <t>80 (Không)</t>
        </is>
      </c>
      <c r="F63" s="3" t="inlineStr">
        <is>
          <t>---</t>
        </is>
      </c>
      <c r="G63" s="6" t="inlineStr">
        <is>
          <t>01, 14 (TRƯỢT ❌)</t>
        </is>
      </c>
      <c r="H63" s="7" t="inlineStr">
        <is>
          <t>TRÚNG N1 🎯</t>
        </is>
      </c>
      <c r="I63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63" s="3" t="inlineStr">
        <is>
          <t>00, 01, 03, 05, 06, 08, 10, 12, 14, 15, 17, 19, 21, 23, 24, 26, 28, 29, 30, 32, 33, 35, 37, 38, 41, 42, 44, 46, 47, 49 (30 số)</t>
        </is>
      </c>
      <c r="K63" s="3" t="inlineStr">
        <is>
          <t>00, 01, 03, 05, 06, 08, 10, 12, 14, 15, 17, 19, 21, 23, 24, 26, 28, 29, 30, 32, 33, 35, 37, 38, 41, 42, 44, 46, 47, 49 (30 số)</t>
        </is>
      </c>
    </row>
    <row r="64">
      <c r="A64" s="2" t="n">
        <v>62</v>
      </c>
      <c r="B64" s="2" t="inlineStr">
        <is>
          <t>Thứ bảy ngày 07-03-2026</t>
        </is>
      </c>
      <c r="C64" s="3" t="inlineStr">
        <is>
          <t>36 (Không)</t>
        </is>
      </c>
      <c r="D64" s="3" t="inlineStr">
        <is>
          <t>80 (Trúng)</t>
        </is>
      </c>
      <c r="E64" s="3" t="inlineStr">
        <is>
          <t>42 (Không)</t>
        </is>
      </c>
      <c r="F64" s="3" t="inlineStr">
        <is>
          <t>---</t>
        </is>
      </c>
      <c r="G64" s="6" t="inlineStr">
        <is>
          <t>21, 43 (TRƯỢT ❌)</t>
        </is>
      </c>
      <c r="H64" s="7" t="inlineStr">
        <is>
          <t>TRÚNG N2 (Siêu Lọc 🎯)</t>
        </is>
      </c>
      <c r="I64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 (80 số)</t>
        </is>
      </c>
      <c r="J64" s="3" t="inlineStr">
        <is>
          <t>50, 51, 52, 53, 55, 56, 57, 58, 60, 61, 64, 66, 67, 69, 70, 71, 73, 74, 75, 78, 79, 80, 82, 83, 84, 87, 88, 89, 91, 92, 93, 94, 96, 97, 98, 99 (36 số)</t>
        </is>
      </c>
      <c r="K64" s="3" t="inlineStr">
        <is>
          <t>50, 51, 52, 53, 55, 56, 57, 58, 60, 61, 64, 66, 67, 69, 70, 71, 73, 74, 75, 78, 79, 80, 82, 83, 84, 87, 88, 89, 91, 92, 93, 94, 96, 97, 98, 99 (36 số)</t>
        </is>
      </c>
    </row>
    <row r="65">
      <c r="A65" s="2" t="n">
        <v>63</v>
      </c>
      <c r="B65" s="2" t="inlineStr">
        <is>
          <t>Chủ nhật ngày 08-03-2026</t>
        </is>
      </c>
      <c r="C65" s="3" t="inlineStr">
        <is>
          <t>80 (Không)</t>
        </is>
      </c>
      <c r="D65" s="3" t="inlineStr">
        <is>
          <t>42 (Trúng)</t>
        </is>
      </c>
      <c r="E65" s="3" t="inlineStr">
        <is>
          <t>68 (Không)</t>
        </is>
      </c>
      <c r="F65" s="3" t="inlineStr">
        <is>
          <t>---</t>
        </is>
      </c>
      <c r="G65" s="6" t="inlineStr">
        <is>
          <t>24, 27 (TRƯỢT ❌)</t>
        </is>
      </c>
      <c r="H65" s="7" t="inlineStr">
        <is>
          <t>TRÚNG N2 (Siêu Lọc 🎯)</t>
        </is>
      </c>
      <c r="I65" s="3" t="inlineStr">
        <is>
          <t>01, 04, 06, 09, 10, 13, 15, 18, 22, 24, 27, 29, 31, 33, 36, 38, 40, 42, 45, 47, 51, 54, 56, 59, 60, 63, 65, 68, 72, 74, 77, 79, 81, 83, 86, 88, 90, 92, 95, 97 (40 số)</t>
        </is>
      </c>
      <c r="J65" s="3" t="inlineStr">
        <is>
          <t>01, 04, 06, 09, 10, 13, 15, 18, 22, 24, 27, 29, 31, 33, 36, 38, 40, 42, 45, 47 (20 số)</t>
        </is>
      </c>
      <c r="K65" s="3" t="inlineStr">
        <is>
          <t>01, 04, 06, 09, 10, 13, 15, 18, 22, 24, 27, 29, 31, 33, 36, 38, 40, 42, 45, 47 (20 số)</t>
        </is>
      </c>
    </row>
    <row r="66">
      <c r="A66" s="2" t="n">
        <v>64</v>
      </c>
      <c r="B66" s="2" t="inlineStr">
        <is>
          <t>Thứ hai ngày 09-03-2026</t>
        </is>
      </c>
      <c r="C66" s="3" t="inlineStr">
        <is>
          <t>42 (Trúng)</t>
        </is>
      </c>
      <c r="D66" s="3" t="inlineStr">
        <is>
          <t>68 (Không)</t>
        </is>
      </c>
      <c r="E66" s="3" t="inlineStr">
        <is>
          <t>24 (Không)</t>
        </is>
      </c>
      <c r="F66" s="3" t="inlineStr">
        <is>
          <t>---</t>
        </is>
      </c>
      <c r="G66" s="6" t="inlineStr">
        <is>
          <t>20, 35 (TRƯỢT ❌)</t>
        </is>
      </c>
      <c r="H66" s="7" t="inlineStr">
        <is>
          <t>TRÚNG N1 🎯</t>
        </is>
      </c>
      <c r="I6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66" s="3" t="inlineStr">
        <is>
          <t>51, 52, 53, 56, 57, 58, 60, 61, 62, 65, 66, 67, 70, 71, 74, 75, 76, 79, 80, 83, 84, 85, 88, 89, 92, 93, 94, 97, 98, 99 (30 số)</t>
        </is>
      </c>
      <c r="K66" s="3" t="inlineStr">
        <is>
          <t>51, 52, 53, 56, 57, 58, 60, 61, 62, 65, 66, 67, 70, 71, 74, 75, 76, 79, 80, 83, 84, 85, 88, 89, 92, 93, 94, 97, 98, 99 (30 số)</t>
        </is>
      </c>
    </row>
    <row r="67">
      <c r="A67" s="2" t="n">
        <v>65</v>
      </c>
      <c r="B67" s="2" t="inlineStr">
        <is>
          <t>Thứ ba ngày 10-03-2026</t>
        </is>
      </c>
      <c r="C67" s="3" t="inlineStr">
        <is>
          <t>68 (Trúng)</t>
        </is>
      </c>
      <c r="D67" s="3" t="inlineStr">
        <is>
          <t>24 (Trúng)</t>
        </is>
      </c>
      <c r="E67" s="3" t="inlineStr">
        <is>
          <t>59 (Không)</t>
        </is>
      </c>
      <c r="F67" s="3" t="inlineStr">
        <is>
          <t>---</t>
        </is>
      </c>
      <c r="G67" s="6" t="inlineStr">
        <is>
          <t>37, 42 (TRƯỢT ❌)</t>
        </is>
      </c>
      <c r="H67" s="7" t="inlineStr">
        <is>
          <t>TRÚNG N1 🎯</t>
        </is>
      </c>
      <c r="I67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67" s="3" t="inlineStr">
        <is>
          <t>00, 01, 04, 05, 06, 09, 10, 13, 14, 15, 18, 19, 22, 23, 24, 27, 28, 29, 31, 32, 33, 36, 37, 38, 40, 41, 42, 45, 46, 47 (30 số)</t>
        </is>
      </c>
      <c r="K67" s="3" t="inlineStr">
        <is>
          <t>00, 01, 04, 05, 06, 09, 10, 13, 14, 15, 18, 19, 22, 23, 24, 27, 28, 29, 31, 32, 33, 36, 37, 38, 40, 41, 42, 45, 46, 47 (30 số)</t>
        </is>
      </c>
    </row>
    <row r="68">
      <c r="A68" s="2" t="n">
        <v>66</v>
      </c>
      <c r="B68" s="2" t="inlineStr">
        <is>
          <t>Thứ tư ngày 11-03-2026</t>
        </is>
      </c>
      <c r="C68" s="3" t="inlineStr">
        <is>
          <t>24 (Trúng)</t>
        </is>
      </c>
      <c r="D68" s="3" t="inlineStr">
        <is>
          <t>59 (Trúng)</t>
        </is>
      </c>
      <c r="E68" s="3" t="inlineStr">
        <is>
          <t>48 (Không)</t>
        </is>
      </c>
      <c r="F68" s="3" t="inlineStr">
        <is>
          <t>---</t>
        </is>
      </c>
      <c r="G68" s="6" t="inlineStr">
        <is>
          <t>09, 43 (TRƯỢT ❌)</t>
        </is>
      </c>
      <c r="H68" s="7" t="inlineStr">
        <is>
          <t>TRÚNG N1 🎯</t>
        </is>
      </c>
      <c r="I68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 (80 số)</t>
        </is>
      </c>
      <c r="J68" s="3" t="inlineStr">
        <is>
          <t>51, 52, 53, 54, 56, 57, 58, 59, 60, 61, 63, 66, 67, 68, 70, 71, 72, 74, 75, 77, 79, 80, 81, 83, 84, 86, 88, 89, 90, 92, 93, 94, 95, 97, 98, 99 (36 số)</t>
        </is>
      </c>
      <c r="K68" s="3" t="inlineStr">
        <is>
          <t>51, 52, 53, 54, 56, 57, 58, 59, 60, 61, 63, 66, 67, 68, 70, 71, 72, 74, 75, 77, 79, 80, 81, 83, 84, 86, 88, 89, 90, 92, 93, 94, 95, 97, 98, 99 (36 số)</t>
        </is>
      </c>
    </row>
    <row r="69">
      <c r="A69" s="2" t="n">
        <v>67</v>
      </c>
      <c r="B69" s="2" t="inlineStr">
        <is>
          <t>Thứ năm ngày 12-03-2026</t>
        </is>
      </c>
      <c r="C69" s="3" t="inlineStr">
        <is>
          <t>59 (Trúng)</t>
        </is>
      </c>
      <c r="D69" s="3" t="inlineStr">
        <is>
          <t>48 (Không)</t>
        </is>
      </c>
      <c r="E69" s="3" t="inlineStr">
        <is>
          <t>70 (Không)</t>
        </is>
      </c>
      <c r="F69" s="3" t="inlineStr">
        <is>
          <t>---</t>
        </is>
      </c>
      <c r="G69" s="7" t="inlineStr">
        <is>
          <t>08, 59 (TRÚNG 🎯)</t>
        </is>
      </c>
      <c r="H69" s="7" t="inlineStr">
        <is>
          <t>TRÚNG N1 🎯</t>
        </is>
      </c>
      <c r="I69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69" s="3" t="inlineStr">
        <is>
          <t>00, 03, 04, 05, 08, 09, 12, 13, 14, 17, 18, 19, 21, 22, 23, 26, 27, 28, 30, 31, 32, 35, 36, 37, 40, 41, 44, 45, 46, 49 (30 số)</t>
        </is>
      </c>
      <c r="K69" s="3" t="inlineStr">
        <is>
          <t>00, 03, 04, 05, 08, 09, 12, 13, 14, 17, 18, 19, 21, 22, 23, 26, 27, 28, 30, 31, 32, 35, 36, 37, 40, 41, 44, 45, 46, 49 (30 số)</t>
        </is>
      </c>
    </row>
    <row r="70">
      <c r="A70" s="2" t="n">
        <v>68</v>
      </c>
      <c r="B70" s="2" t="inlineStr">
        <is>
          <t>Thứ sáu ngày 13-03-2026</t>
        </is>
      </c>
      <c r="C70" s="3" t="inlineStr">
        <is>
          <t>48 (Không)</t>
        </is>
      </c>
      <c r="D70" s="3" t="inlineStr">
        <is>
          <t>70 (Không)</t>
        </is>
      </c>
      <c r="E70" s="3" t="inlineStr">
        <is>
          <t>52 (Không)</t>
        </is>
      </c>
      <c r="F70" s="3" t="inlineStr">
        <is>
          <t>---</t>
        </is>
      </c>
      <c r="G70" s="6" t="inlineStr">
        <is>
          <t>10, 59 (TRƯỢT ❌)</t>
        </is>
      </c>
      <c r="H70" s="6" t="inlineStr">
        <is>
          <t>TRƯỢT KHUNG ❌</t>
        </is>
      </c>
      <c r="I70" s="3" t="inlineStr">
        <is>
          <t>01, 04, 06, 09, 10, 13, 15, 18, 22, 24, 27, 29, 31, 33, 36, 38, 40, 42, 45, 47, 51, 54, 56, 59, 60, 63, 65, 68, 72, 74, 77, 79, 81, 83, 86, 88, 90, 92, 95, 97 (40 số)</t>
        </is>
      </c>
      <c r="J70" s="3" t="inlineStr">
        <is>
          <t>51, 54, 56, 59, 60, 63, 65, 68, 72, 74, 77, 79, 81, 83, 86, 88, 90, 92, 95, 97 (20 số)</t>
        </is>
      </c>
      <c r="K70" s="3" t="inlineStr">
        <is>
          <t>51, 54, 56, 59, 60, 63, 65, 68, 72, 74, 77, 79, 81, 83, 86, 88, 90, 92, 95, 97 (20 số)</t>
        </is>
      </c>
    </row>
    <row r="71">
      <c r="A71" s="2" t="n">
        <v>69</v>
      </c>
      <c r="B71" s="2" t="inlineStr">
        <is>
          <t>Thứ bảy ngày 14-03-2026</t>
        </is>
      </c>
      <c r="C71" s="3" t="inlineStr">
        <is>
          <t>70 (Trúng)</t>
        </is>
      </c>
      <c r="D71" s="3" t="inlineStr">
        <is>
          <t>52 (Không)</t>
        </is>
      </c>
      <c r="E71" s="3" t="inlineStr">
        <is>
          <t>69 (Không)</t>
        </is>
      </c>
      <c r="F71" s="3" t="inlineStr">
        <is>
          <t>---</t>
        </is>
      </c>
      <c r="G71" s="7" t="inlineStr">
        <is>
          <t>48, 52 (TRÚNG 🎯)</t>
        </is>
      </c>
      <c r="H71" s="7" t="inlineStr">
        <is>
          <t>TRÚNG N1 🎯</t>
        </is>
      </c>
      <c r="I7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71" s="3" t="inlineStr">
        <is>
          <t>00, 01, 02, 05, 06, 07, 10, 11, 14, 15, 16, 19, 20, 23, 24, 25, 28, 29, 32, 33, 34, 37, 38, 39, 41, 42, 43, 46, 47, 48 (30 số)</t>
        </is>
      </c>
      <c r="K71" s="3" t="inlineStr">
        <is>
          <t>00, 01, 02, 05, 06, 07, 10, 11, 14, 15, 16, 19, 20, 23, 24, 25, 28, 29, 32, 33, 34, 37, 38, 39, 41, 42, 43, 46, 47, 48 (30 số)</t>
        </is>
      </c>
    </row>
    <row r="72">
      <c r="A72" s="2" t="n">
        <v>70</v>
      </c>
      <c r="B72" s="2" t="inlineStr">
        <is>
          <t>Chủ nhật ngày 15-03-2026</t>
        </is>
      </c>
      <c r="C72" s="3" t="inlineStr">
        <is>
          <t>52 (Trúng)</t>
        </is>
      </c>
      <c r="D72" s="3" t="inlineStr">
        <is>
          <t>69 (Không)</t>
        </is>
      </c>
      <c r="E72" s="3" t="inlineStr">
        <is>
          <t>87 (Không)</t>
        </is>
      </c>
      <c r="F72" s="3" t="inlineStr">
        <is>
          <t>---</t>
        </is>
      </c>
      <c r="G72" s="6" t="inlineStr">
        <is>
          <t>38, 68 (TRƯỢT ❌)</t>
        </is>
      </c>
      <c r="H72" s="7" t="inlineStr">
        <is>
          <t>TRÚNG N1 🎯</t>
        </is>
      </c>
      <c r="I72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 (80 số)</t>
        </is>
      </c>
      <c r="J72" s="3" t="inlineStr">
        <is>
          <t>01, 02, 04, 07, 08, 09, 10, 11, 13, 16, 17, 18, 20, 21, 22, 24, 25, 26, 27, 29, 30, 31, 33, 34, 35, 36, 38, 39, 40, 42, 43, 44, 45, 47, 48, 49 (36 số)</t>
        </is>
      </c>
      <c r="K72" s="3" t="inlineStr">
        <is>
          <t>01, 02, 04, 07, 08, 09, 10, 11, 13, 16, 17, 18, 20, 21, 22, 24, 25, 26, 27, 29, 30, 31, 33, 34, 35, 36, 38, 39, 40, 42, 43, 44, 45, 47, 48, 49 (36 số)</t>
        </is>
      </c>
    </row>
    <row r="73">
      <c r="A73" s="2" t="n">
        <v>71</v>
      </c>
      <c r="B73" s="2" t="inlineStr">
        <is>
          <t>Thứ hai ngày 16-03-2026</t>
        </is>
      </c>
      <c r="C73" s="3" t="inlineStr">
        <is>
          <t>69 (Trúng)</t>
        </is>
      </c>
      <c r="D73" s="3" t="inlineStr">
        <is>
          <t>87 (Không)</t>
        </is>
      </c>
      <c r="E73" s="3" t="inlineStr">
        <is>
          <t>95 (Không)</t>
        </is>
      </c>
      <c r="F73" s="3" t="inlineStr">
        <is>
          <t>---</t>
        </is>
      </c>
      <c r="G73" s="6" t="inlineStr">
        <is>
          <t>28, 39 (TRƯỢT ❌)</t>
        </is>
      </c>
      <c r="H73" s="7" t="inlineStr">
        <is>
          <t>TRÚNG N1 🎯</t>
        </is>
      </c>
      <c r="I7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73" s="3" t="inlineStr">
        <is>
          <t>00, 01, 02, 05, 06, 07, 10, 11, 14, 15, 16, 19, 20, 23, 24, 25, 28, 29, 32, 33, 34, 37, 38, 39, 41, 42, 43, 46, 47, 48 (30 số)</t>
        </is>
      </c>
      <c r="K73" s="3" t="inlineStr">
        <is>
          <t>00, 01, 02, 05, 06, 07, 10, 11, 14, 15, 16, 19, 20, 23, 24, 25, 28, 29, 32, 33, 34, 37, 38, 39, 41, 42, 43, 46, 47, 48 (30 số)</t>
        </is>
      </c>
    </row>
    <row r="74">
      <c r="A74" s="2" t="n">
        <v>72</v>
      </c>
      <c r="B74" s="2" t="inlineStr">
        <is>
          <t>Thứ ba ngày 17-03-2026</t>
        </is>
      </c>
      <c r="C74" s="3" t="inlineStr">
        <is>
          <t>87 (Không)</t>
        </is>
      </c>
      <c r="D74" s="3" t="inlineStr">
        <is>
          <t>95 (Không)</t>
        </is>
      </c>
      <c r="E74" s="3" t="inlineStr">
        <is>
          <t>24 (Không)</t>
        </is>
      </c>
      <c r="F74" s="3" t="inlineStr">
        <is>
          <t>---</t>
        </is>
      </c>
      <c r="G74" s="6" t="inlineStr">
        <is>
          <t>22, 75 (TRƯỢT ❌)</t>
        </is>
      </c>
      <c r="H74" s="6" t="inlineStr">
        <is>
          <t>TRƯỢT KHUNG ❌</t>
        </is>
      </c>
      <c r="I74" s="3" t="inlineStr">
        <is>
          <t>02, 04, 07, 09, 11, 13, 16, 18, 20, 22, 25, 27, 31, 34, 36, 39, 40, 43, 45, 48, 52, 54, 57, 59, 61, 63, 66, 68, 70, 72, 75, 77, 81, 84, 86, 89, 90, 93, 95, 98 (40 số)</t>
        </is>
      </c>
      <c r="J74" s="3" t="inlineStr">
        <is>
          <t>02, 04, 07, 09, 11, 13, 16, 18, 20, 22, 25, 27, 31, 34, 36, 39, 40, 43, 45, 48 (20 số)</t>
        </is>
      </c>
      <c r="K74" s="3" t="inlineStr">
        <is>
          <t>02, 04, 07, 09, 11, 13, 16, 18, 20, 22, 25, 27, 31, 34, 36, 39, 40, 43, 45, 48 (20 số)</t>
        </is>
      </c>
    </row>
    <row r="75">
      <c r="A75" s="2" t="n">
        <v>73</v>
      </c>
      <c r="B75" s="2" t="inlineStr">
        <is>
          <t>Thứ tư ngày 18-03-2026</t>
        </is>
      </c>
      <c r="C75" s="3" t="inlineStr">
        <is>
          <t>95 (Không)</t>
        </is>
      </c>
      <c r="D75" s="3" t="inlineStr">
        <is>
          <t>24 (Trúng)</t>
        </is>
      </c>
      <c r="E75" s="3" t="inlineStr">
        <is>
          <t>94 (Không)</t>
        </is>
      </c>
      <c r="F75" s="3" t="inlineStr">
        <is>
          <t>---</t>
        </is>
      </c>
      <c r="G75" s="6" t="inlineStr">
        <is>
          <t>16, 29 (TRƯỢT ❌)</t>
        </is>
      </c>
      <c r="H75" s="7" t="inlineStr">
        <is>
          <t>TRÚNG N2 (Siêu Lọc 🎯)</t>
        </is>
      </c>
      <c r="I75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75" s="3" t="inlineStr">
        <is>
          <t>01, 02, 03, 06, 07, 08, 10, 11, 12, 15, 16, 17, 20, 21, 24, 25, 26, 29, 30, 33, 34, 35, 38, 39, 42, 43, 44, 47, 48, 49 (30 số)</t>
        </is>
      </c>
      <c r="K75" s="3" t="inlineStr">
        <is>
          <t>01, 02, 03, 06, 07, 08, 10, 11, 12, 15, 16, 17, 20, 21, 24, 25, 26, 29, 30, 33, 34, 35, 38, 39, 42, 43, 44, 47, 48, 49 (30 số)</t>
        </is>
      </c>
    </row>
    <row r="76">
      <c r="A76" s="2" t="n">
        <v>74</v>
      </c>
      <c r="B76" s="2" t="inlineStr">
        <is>
          <t>Thứ năm ngày 19-03-2026</t>
        </is>
      </c>
      <c r="C76" s="3" t="inlineStr">
        <is>
          <t>24 (Trúng)</t>
        </is>
      </c>
      <c r="D76" s="3" t="inlineStr">
        <is>
          <t>94 (Không)</t>
        </is>
      </c>
      <c r="E76" s="3" t="inlineStr">
        <is>
          <t>46 (Không)</t>
        </is>
      </c>
      <c r="F76" s="3" t="inlineStr">
        <is>
          <t>---</t>
        </is>
      </c>
      <c r="G76" s="6" t="inlineStr">
        <is>
          <t>06, 41 (TRƯỢT ❌)</t>
        </is>
      </c>
      <c r="H76" s="7" t="inlineStr">
        <is>
          <t>TRÚNG N1 🎯</t>
        </is>
      </c>
      <c r="I7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76" s="3" t="inlineStr">
        <is>
          <t>50, 51, 52, 55, 56, 57, 60, 61, 64, 65, 66, 69, 70, 73, 74, 75, 78, 79, 82, 83, 84, 87, 88, 89, 91, 92, 93, 96, 97, 98 (30 số)</t>
        </is>
      </c>
      <c r="K76" s="3" t="inlineStr">
        <is>
          <t>50, 51, 52, 55, 56, 57, 60, 61, 64, 65, 66, 69, 70, 73, 74, 75, 78, 79, 82, 83, 84, 87, 88, 89, 91, 92, 93, 96, 97, 98 (30 số)</t>
        </is>
      </c>
    </row>
    <row r="77">
      <c r="A77" s="2" t="n">
        <v>75</v>
      </c>
      <c r="B77" s="2" t="inlineStr">
        <is>
          <t>Thứ sáu ngày 20-03-2026</t>
        </is>
      </c>
      <c r="C77" s="3" t="inlineStr">
        <is>
          <t>94 (Trúng)</t>
        </is>
      </c>
      <c r="D77" s="3" t="inlineStr">
        <is>
          <t>46 (Trúng)</t>
        </is>
      </c>
      <c r="E77" s="3" t="inlineStr">
        <is>
          <t>14 (Trúng)</t>
        </is>
      </c>
      <c r="F77" s="3" t="inlineStr">
        <is>
          <t>---</t>
        </is>
      </c>
      <c r="G77" s="6" t="inlineStr">
        <is>
          <t>32, 44 (TRƯỢT ❌)</t>
        </is>
      </c>
      <c r="H77" s="7" t="inlineStr">
        <is>
          <t>TRÚNG N1 🎯</t>
        </is>
      </c>
      <c r="I77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77" s="3" t="inlineStr">
        <is>
          <t>00, 02, 03, 05, 07, 08, 11, 12, 14, 16, 17, 19, 20, 21, 23, 25, 26, 28, 30, 32, 34, 35, 37, 39, 41, 43, 44, 46, 48, 49 (30 số)</t>
        </is>
      </c>
      <c r="K77" s="3" t="inlineStr">
        <is>
          <t>00, 02, 03, 05, 07, 08, 11, 12, 14, 16, 17, 19, 20, 21, 23, 25, 26, 28, 30, 32, 34, 35, 37, 39, 41, 43, 44, 46, 48, 49 (30 số)</t>
        </is>
      </c>
    </row>
    <row r="78">
      <c r="A78" s="2" t="n">
        <v>76</v>
      </c>
      <c r="B78" s="2" t="inlineStr">
        <is>
          <t>Thứ bảy ngày 21-03-2026</t>
        </is>
      </c>
      <c r="C78" s="3" t="inlineStr">
        <is>
          <t>46 (Trúng)</t>
        </is>
      </c>
      <c r="D78" s="3" t="inlineStr">
        <is>
          <t>14 (Không)</t>
        </is>
      </c>
      <c r="E78" s="3" t="inlineStr">
        <is>
          <t>29 (Không)</t>
        </is>
      </c>
      <c r="F78" s="3" t="inlineStr">
        <is>
          <t>---</t>
        </is>
      </c>
      <c r="G78" s="6" t="inlineStr">
        <is>
          <t>05, 26 (TRƯỢT ❌)</t>
        </is>
      </c>
      <c r="H78" s="7" t="inlineStr">
        <is>
          <t>TRÚNG N1 🎯</t>
        </is>
      </c>
      <c r="I78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 (80 số)</t>
        </is>
      </c>
      <c r="J78" s="3" t="inlineStr">
        <is>
          <t>50, 51, 52, 53, 55, 56, 57, 58, 60, 61, 64, 66, 67, 69, 70, 71, 73, 74, 75, 78, 79, 80, 82, 83, 84, 87, 88, 89, 91, 92, 93, 94, 96, 97, 98, 99 (36 số)</t>
        </is>
      </c>
      <c r="K78" s="3" t="inlineStr">
        <is>
          <t>50, 51, 52, 53, 55, 56, 57, 58, 60, 61, 64, 66, 67, 69, 70, 71, 73, 74, 75, 78, 79, 80, 82, 83, 84, 87, 88, 89, 91, 92, 93, 94, 96, 97, 98, 99 (36 số)</t>
        </is>
      </c>
    </row>
    <row r="79">
      <c r="A79" s="2" t="n">
        <v>77</v>
      </c>
      <c r="B79" s="2" t="inlineStr">
        <is>
          <t>Chủ nhật ngày 22-03-2026</t>
        </is>
      </c>
      <c r="C79" s="3" t="inlineStr">
        <is>
          <t>14 (Không)</t>
        </is>
      </c>
      <c r="D79" s="3" t="inlineStr">
        <is>
          <t>29 (Không)</t>
        </is>
      </c>
      <c r="E79" s="3" t="inlineStr">
        <is>
          <t>88 (Trúng)</t>
        </is>
      </c>
      <c r="F79" s="3" t="inlineStr">
        <is>
          <t>---</t>
        </is>
      </c>
      <c r="G79" s="6" t="inlineStr">
        <is>
          <t>11, 24 (TRƯỢT ❌)</t>
        </is>
      </c>
      <c r="H79" s="7" t="inlineStr">
        <is>
          <t>TRÚNG N3 (Siêu Lọc 🎯)</t>
        </is>
      </c>
      <c r="I7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79" s="3" t="inlineStr">
        <is>
          <t>51, 52, 53, 56, 57, 58, 60, 61, 62, 65, 66, 67, 70, 71, 74, 75, 76, 79, 80, 83, 84, 85, 88, 89, 92, 93, 94, 97, 98, 99 (30 số)</t>
        </is>
      </c>
      <c r="K79" s="3" t="inlineStr">
        <is>
          <t>51, 52, 53, 56, 57, 58, 60, 61, 62, 65, 66, 67, 70, 71, 74, 75, 76, 79, 80, 83, 84, 85, 88, 89, 92, 93, 94, 97, 98, 99 (30 số)</t>
        </is>
      </c>
    </row>
    <row r="80">
      <c r="A80" s="2" t="n">
        <v>78</v>
      </c>
      <c r="B80" s="2" t="inlineStr">
        <is>
          <t>Thứ hai ngày 23-03-2026</t>
        </is>
      </c>
      <c r="C80" s="3" t="inlineStr">
        <is>
          <t>29 (Trúng)</t>
        </is>
      </c>
      <c r="D80" s="3" t="inlineStr">
        <is>
          <t>88 (Trúng)</t>
        </is>
      </c>
      <c r="E80" s="3" t="inlineStr">
        <is>
          <t>93 (Trúng)</t>
        </is>
      </c>
      <c r="F80" s="3" t="inlineStr">
        <is>
          <t>---</t>
        </is>
      </c>
      <c r="G80" s="6" t="inlineStr">
        <is>
          <t>14, 28 (TRƯỢT ❌)</t>
        </is>
      </c>
      <c r="H80" s="7" t="inlineStr">
        <is>
          <t>TRÚNG N1 🎯</t>
        </is>
      </c>
      <c r="I80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 (80 số)</t>
        </is>
      </c>
      <c r="J80" s="3" t="inlineStr">
        <is>
          <t>50, 51, 52, 53, 55, 56, 57, 58, 60, 61, 64, 66, 67, 69, 70, 71, 73, 74, 75, 78, 79, 80, 82, 83, 84, 87, 88, 89, 91, 92, 93, 94, 96, 97, 98, 99 (36 số)</t>
        </is>
      </c>
      <c r="K80" s="3" t="inlineStr">
        <is>
          <t>50, 51, 52, 53, 55, 56, 57, 58, 60, 61, 64, 66, 67, 69, 70, 71, 73, 74, 75, 78, 79, 80, 82, 83, 84, 87, 88, 89, 91, 92, 93, 94, 96, 97, 98, 99 (36 số)</t>
        </is>
      </c>
    </row>
    <row r="81">
      <c r="A81" s="2" t="n">
        <v>79</v>
      </c>
      <c r="B81" s="2" t="inlineStr">
        <is>
          <t>Thứ ba ngày 24-03-2026</t>
        </is>
      </c>
      <c r="C81" s="3" t="inlineStr">
        <is>
          <t>88 (Trúng)</t>
        </is>
      </c>
      <c r="D81" s="3" t="inlineStr">
        <is>
          <t>93 (Không)</t>
        </is>
      </c>
      <c r="E81" s="3" t="inlineStr">
        <is>
          <t>32 (Trúng)</t>
        </is>
      </c>
      <c r="F81" s="3" t="inlineStr">
        <is>
          <t>---</t>
        </is>
      </c>
      <c r="G81" s="6" t="inlineStr">
        <is>
          <t>07, 29 (TRƯỢT ❌)</t>
        </is>
      </c>
      <c r="H81" s="7" t="inlineStr">
        <is>
          <t>TRÚNG N1 🎯</t>
        </is>
      </c>
      <c r="I81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 (80 số)</t>
        </is>
      </c>
      <c r="J81" s="3" t="inlineStr">
        <is>
          <t>01, 02, 04, 07, 09, 10, 11, 13, 14, 16, 18, 19, 20, 22, 23, 24, 25, 27, 28, 29, 31, 32, 33, 34, 36, 37, 38, 39, 40, 41, 42, 43, 45, 46, 47, 48 (36 số)</t>
        </is>
      </c>
      <c r="K81" s="3" t="inlineStr">
        <is>
          <t>01, 02, 04, 07, 09, 10, 11, 13, 14, 16, 18, 19, 20, 22, 23, 24, 25, 27, 28, 29, 31, 32, 33, 34, 36, 37, 38, 39, 40, 41, 42, 43, 45, 46, 47, 48 (36 số)</t>
        </is>
      </c>
    </row>
    <row r="82">
      <c r="A82" s="2" t="n">
        <v>80</v>
      </c>
      <c r="B82" s="2" t="inlineStr">
        <is>
          <t>Thứ tư ngày 25-03-2026</t>
        </is>
      </c>
      <c r="C82" s="3" t="inlineStr">
        <is>
          <t>93 (Không)</t>
        </is>
      </c>
      <c r="D82" s="3" t="inlineStr">
        <is>
          <t>32 (Trúng)</t>
        </is>
      </c>
      <c r="E82" s="3" t="inlineStr">
        <is>
          <t>22 (Trúng)</t>
        </is>
      </c>
      <c r="F82" s="3" t="inlineStr">
        <is>
          <t>---</t>
        </is>
      </c>
      <c r="G82" s="6" t="inlineStr">
        <is>
          <t>00, 24 (TRƯỢT ❌)</t>
        </is>
      </c>
      <c r="H82" s="7" t="inlineStr">
        <is>
          <t>TRÚNG N2 (Siêu Lọc 🎯)</t>
        </is>
      </c>
      <c r="I82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82" s="3" t="inlineStr">
        <is>
          <t>00, 01, 04, 05, 06, 09, 10, 13, 14, 15, 18, 19, 22, 23, 24, 27, 28, 29, 31, 32, 33, 36, 37, 38, 40, 41, 42, 45, 46, 47 (30 số)</t>
        </is>
      </c>
      <c r="K82" s="3" t="inlineStr">
        <is>
          <t>00, 01, 04, 05, 06, 09, 10, 13, 14, 15, 18, 19, 22, 23, 24, 27, 28, 29, 31, 32, 33, 36, 37, 38, 40, 41, 42, 45, 46, 47 (30 số)</t>
        </is>
      </c>
    </row>
    <row r="83">
      <c r="A83" s="2" t="n">
        <v>81</v>
      </c>
      <c r="B83" s="2" t="inlineStr">
        <is>
          <t>Thứ năm ngày 26-03-2026</t>
        </is>
      </c>
      <c r="C83" s="3" t="inlineStr">
        <is>
          <t>32 (Trúng)</t>
        </is>
      </c>
      <c r="D83" s="3" t="inlineStr">
        <is>
          <t>22 (Không)</t>
        </is>
      </c>
      <c r="E83" s="3" t="inlineStr">
        <is>
          <t>88 (Không)</t>
        </is>
      </c>
      <c r="F83" s="3" t="inlineStr">
        <is>
          <t>---</t>
        </is>
      </c>
      <c r="G83" s="6" t="inlineStr">
        <is>
          <t>11, 49 (TRƯỢT ❌)</t>
        </is>
      </c>
      <c r="H83" s="7" t="inlineStr">
        <is>
          <t>TRÚNG N1 🎯</t>
        </is>
      </c>
      <c r="I83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 (80 số)</t>
        </is>
      </c>
      <c r="J83" s="3" t="inlineStr">
        <is>
          <t>50, 52, 53, 54, 55, 57, 58, 59, 61, 63, 64, 66, 67, 68, 69, 70, 71, 72, 73, 75, 77, 78, 80, 81, 82, 84, 86, 87, 89, 90, 91, 93, 94, 95, 96, 98 (36 số)</t>
        </is>
      </c>
      <c r="K83" s="3" t="inlineStr">
        <is>
          <t>50, 52, 53, 54, 55, 57, 58, 59, 61, 63, 64, 66, 67, 68, 69, 70, 71, 72, 73, 75, 77, 78, 80, 81, 82, 84, 86, 87, 89, 90, 91, 93, 94, 95, 96, 98 (36 số)</t>
        </is>
      </c>
    </row>
    <row r="84">
      <c r="A84" s="2" t="n">
        <v>82</v>
      </c>
      <c r="B84" s="2" t="inlineStr">
        <is>
          <t>Thứ sáu ngày 27-03-2026</t>
        </is>
      </c>
      <c r="C84" s="3" t="inlineStr">
        <is>
          <t>22 (Trúng)</t>
        </is>
      </c>
      <c r="D84" s="3" t="inlineStr">
        <is>
          <t>88 (Trúng)</t>
        </is>
      </c>
      <c r="E84" s="3" t="inlineStr">
        <is>
          <t>64 (Không)</t>
        </is>
      </c>
      <c r="F84" s="3" t="inlineStr">
        <is>
          <t>---</t>
        </is>
      </c>
      <c r="G84" s="6" t="inlineStr">
        <is>
          <t>04, 10 (TRƯỢT ❌)</t>
        </is>
      </c>
      <c r="H84" s="7" t="inlineStr">
        <is>
          <t>TRÚNG N1 🎯</t>
        </is>
      </c>
      <c r="I8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84" s="3" t="inlineStr">
        <is>
          <t>51, 52, 54, 56, 57, 59, 60, 61, 63, 65, 66, 68, 70, 72, 74, 75, 77, 79, 81, 83, 84, 86, 88, 89, 90, 92, 93, 95, 97, 98 (30 số)</t>
        </is>
      </c>
      <c r="K84" s="3" t="inlineStr">
        <is>
          <t>51, 52, 54, 56, 57, 59, 60, 61, 63, 65, 66, 68, 70, 72, 74, 75, 77, 79, 81, 83, 84, 86, 88, 89, 90, 92, 93, 95, 97, 98 (30 số)</t>
        </is>
      </c>
    </row>
    <row r="85">
      <c r="A85" s="2" t="n">
        <v>83</v>
      </c>
      <c r="B85" s="2" t="inlineStr">
        <is>
          <t>Thứ bảy ngày 28-03-2026</t>
        </is>
      </c>
      <c r="C85" s="3" t="inlineStr">
        <is>
          <t>88 (Không)</t>
        </is>
      </c>
      <c r="D85" s="3" t="inlineStr">
        <is>
          <t>64 (Không)</t>
        </is>
      </c>
      <c r="E85" s="3" t="inlineStr">
        <is>
          <t>91 (Không)</t>
        </is>
      </c>
      <c r="F85" s="3" t="inlineStr">
        <is>
          <t>---</t>
        </is>
      </c>
      <c r="G85" s="6" t="inlineStr">
        <is>
          <t>09, 18 (TRƯỢT ❌)</t>
        </is>
      </c>
      <c r="H85" s="6" t="inlineStr">
        <is>
          <t>TRƯỢT KHUNG ❌</t>
        </is>
      </c>
      <c r="I8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85" s="3" t="inlineStr">
        <is>
          <t>02, 03, 04, 07, 08, 09, 11, 12, 13, 16, 17, 18, 20, 21, 22, 25, 26, 27, 30, 31, 34, 35, 36, 39, 40, 43, 44, 45, 48, 49 (30 số)</t>
        </is>
      </c>
      <c r="K85" s="3" t="inlineStr">
        <is>
          <t>02, 03, 04, 07, 08, 09, 11, 12, 13, 16, 17, 18, 20, 21, 22, 25, 26, 27, 30, 31, 34, 35, 36, 39, 40, 43, 44, 45, 48, 49 (30 số)</t>
        </is>
      </c>
    </row>
    <row r="86">
      <c r="A86" s="2" t="n">
        <v>84</v>
      </c>
      <c r="B86" s="2" t="inlineStr">
        <is>
          <t>Chủ nhật ngày 29-03-2026</t>
        </is>
      </c>
      <c r="C86" s="3" t="inlineStr">
        <is>
          <t>64 (Không)</t>
        </is>
      </c>
      <c r="D86" s="3" t="inlineStr">
        <is>
          <t>91 (Không)</t>
        </is>
      </c>
      <c r="E86" s="3" t="inlineStr">
        <is>
          <t>66 (Không)</t>
        </is>
      </c>
      <c r="F86" s="3" t="inlineStr">
        <is>
          <t>---</t>
        </is>
      </c>
      <c r="G86" s="6" t="inlineStr">
        <is>
          <t>06, 13 (TRƯỢT ❌)</t>
        </is>
      </c>
      <c r="H86" s="6" t="inlineStr">
        <is>
          <t>TRƯỢT KHUNG ❌</t>
        </is>
      </c>
      <c r="I86" s="3" t="inlineStr">
        <is>
          <t>01, 04, 06, 09, 10, 13, 15, 18, 22, 24, 27, 29, 31, 33, 36, 38, 40, 42, 45, 47, 51, 54, 56, 59, 60, 63, 65, 68, 72, 74, 77, 79, 81, 83, 86, 88, 90, 92, 95, 97 (40 số)</t>
        </is>
      </c>
      <c r="J86" s="3" t="inlineStr">
        <is>
          <t>01, 04, 06, 09, 10, 13, 15, 18, 22, 24, 27, 29, 31, 33, 36, 38, 40, 42, 45, 47 (20 số)</t>
        </is>
      </c>
      <c r="K86" s="3" t="inlineStr">
        <is>
          <t>01, 04, 06, 09, 10, 13, 15, 18, 22, 24, 27, 29, 31, 33, 36, 38, 40, 42, 45, 47 (20 số)</t>
        </is>
      </c>
    </row>
    <row r="87">
      <c r="A87" s="2" t="n">
        <v>85</v>
      </c>
      <c r="B87" s="2" t="inlineStr">
        <is>
          <t>Thứ hai ngày 30-03-2026</t>
        </is>
      </c>
      <c r="C87" s="3" t="inlineStr">
        <is>
          <t>91 (Không)</t>
        </is>
      </c>
      <c r="D87" s="3" t="inlineStr">
        <is>
          <t>66 (Không)</t>
        </is>
      </c>
      <c r="E87" s="3" t="inlineStr">
        <is>
          <t>67 (Không)</t>
        </is>
      </c>
      <c r="F87" s="3" t="inlineStr">
        <is>
          <t>---</t>
        </is>
      </c>
      <c r="G87" s="6" t="inlineStr">
        <is>
          <t>07, 20 (TRƯỢT ❌)</t>
        </is>
      </c>
      <c r="H87" s="6" t="inlineStr">
        <is>
          <t>TRƯỢT KHUNG ❌</t>
        </is>
      </c>
      <c r="I87" s="3" t="inlineStr">
        <is>
          <t>02, 03, 07, 08, 11, 12, 16, 17, 20, 21, 25, 26, 30, 34, 35, 39, 43, 44, 48, 49, 52, 53, 57, 58, 61, 62, 66, 67, 70, 71, 75, 76, 80, 84, 85, 89, 93, 94, 98, 99 (40 số)</t>
        </is>
      </c>
      <c r="J87" s="3" t="inlineStr">
        <is>
          <t>02, 03, 07, 08, 11, 12, 16, 17, 20, 21, 25, 26, 30, 34, 35, 39, 43, 44, 48, 49 (20 số)</t>
        </is>
      </c>
      <c r="K87" s="3" t="inlineStr">
        <is>
          <t>02, 03, 07, 08, 11, 12, 16, 17, 20, 21, 25, 26, 30, 34, 35, 39, 43, 44, 48, 49 (20 số)</t>
        </is>
      </c>
    </row>
    <row r="88">
      <c r="A88" s="2" t="n">
        <v>86</v>
      </c>
      <c r="B88" s="2" t="inlineStr">
        <is>
          <t>Thứ ba ngày 31-03-2026</t>
        </is>
      </c>
      <c r="C88" s="3" t="inlineStr">
        <is>
          <t>66 (Trúng)</t>
        </is>
      </c>
      <c r="D88" s="3" t="inlineStr">
        <is>
          <t>67 (Không)</t>
        </is>
      </c>
      <c r="E88" s="3" t="inlineStr">
        <is>
          <t>44 (Không)</t>
        </is>
      </c>
      <c r="F88" s="3" t="inlineStr">
        <is>
          <t>---</t>
        </is>
      </c>
      <c r="G88" s="6" t="inlineStr">
        <is>
          <t>18, 23 (TRƯỢT ❌)</t>
        </is>
      </c>
      <c r="H88" s="7" t="inlineStr">
        <is>
          <t>TRÚNG N1 🎯</t>
        </is>
      </c>
      <c r="I8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88" s="3" t="inlineStr">
        <is>
          <t>00, 02, 04, 05, 07, 09, 11, 13, 14, 16, 18, 19, 20, 22, 23, 25, 27, 28, 31, 32, 34, 36, 37, 39, 40, 41, 43, 45, 46, 48 (30 số)</t>
        </is>
      </c>
      <c r="K88" s="3" t="inlineStr">
        <is>
          <t>00, 02, 04, 05, 07, 09, 11, 13, 14, 16, 18, 19, 20, 22, 23, 25, 27, 28, 31, 32, 34, 36, 37, 39, 40, 41, 43, 45, 46, 48 (30 số)</t>
        </is>
      </c>
    </row>
    <row r="89">
      <c r="A89" s="2" t="n">
        <v>87</v>
      </c>
      <c r="B89" s="2" t="inlineStr">
        <is>
          <t>Thứ tư ngày 01-04-2026</t>
        </is>
      </c>
      <c r="C89" s="3" t="inlineStr">
        <is>
          <t>67 (Không)</t>
        </is>
      </c>
      <c r="D89" s="3" t="inlineStr">
        <is>
          <t>44 (Không)</t>
        </is>
      </c>
      <c r="E89" s="3" t="inlineStr">
        <is>
          <t>37 (Trúng)</t>
        </is>
      </c>
      <c r="F89" s="3" t="inlineStr">
        <is>
          <t>---</t>
        </is>
      </c>
      <c r="G89" s="6" t="inlineStr">
        <is>
          <t>16, 20 (TRƯỢT ❌)</t>
        </is>
      </c>
      <c r="H89" s="7" t="inlineStr">
        <is>
          <t>TRÚNG N3 (Siêu Lọc 🎯)</t>
        </is>
      </c>
      <c r="I89" s="3" t="inlineStr">
        <is>
          <t>00, 02, 05, 07, 11, 14, 16, 19, 20, 23, 25, 28, 32, 34, 37, 39, 41, 43, 46, 48, 50, 52, 55, 57, 61, 64, 66, 69, 70, 73, 75, 78, 82, 84, 87, 89, 91, 93, 96, 98 (40 số)</t>
        </is>
      </c>
      <c r="J89" s="3" t="inlineStr">
        <is>
          <t>00, 02, 05, 07, 11, 14, 16, 19, 20, 23, 25, 28, 32, 34, 37, 39, 41, 43, 46, 48 (20 số)</t>
        </is>
      </c>
      <c r="K89" s="3" t="inlineStr">
        <is>
          <t>00, 02, 05, 07, 11, 14, 16, 19, 20, 23, 25, 28, 32, 34, 37, 39, 41, 43, 46, 48 (20 số)</t>
        </is>
      </c>
    </row>
    <row r="90">
      <c r="A90" s="2" t="n">
        <v>88</v>
      </c>
      <c r="B90" s="2" t="inlineStr">
        <is>
          <t>Thứ năm ngày 02-04-2026</t>
        </is>
      </c>
      <c r="C90" s="3" t="inlineStr">
        <is>
          <t>44 (Không)</t>
        </is>
      </c>
      <c r="D90" s="3" t="inlineStr">
        <is>
          <t>37 (Không)</t>
        </is>
      </c>
      <c r="E90" s="3" t="inlineStr">
        <is>
          <t>55 (Không)</t>
        </is>
      </c>
      <c r="F90" s="3" t="inlineStr">
        <is>
          <t>---</t>
        </is>
      </c>
      <c r="G90" s="6" t="inlineStr">
        <is>
          <t>39, 40 (TRƯỢT ❌)</t>
        </is>
      </c>
      <c r="H90" s="6" t="inlineStr">
        <is>
          <t>TRƯỢT KHUNG ❌</t>
        </is>
      </c>
      <c r="I90" s="3" t="inlineStr">
        <is>
          <t>02, 04, 07, 09, 11, 13, 16, 18, 20, 22, 25, 27, 31, 34, 36, 39, 40, 43, 45, 48, 52, 54, 57, 59, 61, 63, 66, 68, 70, 72, 75, 77, 81, 84, 86, 89, 90, 93, 95, 98 (40 số)</t>
        </is>
      </c>
      <c r="J90" s="3" t="inlineStr">
        <is>
          <t>52, 54, 57, 59, 61, 63, 66, 68, 70, 72, 75, 77, 81, 84, 86, 89, 90, 93, 95, 98 (20 số)</t>
        </is>
      </c>
      <c r="K90" s="3" t="inlineStr">
        <is>
          <t>52, 54, 57, 59, 61, 63, 66, 68, 70, 72, 75, 77, 81, 84, 86, 89, 90, 93, 95, 98 (20 số)</t>
        </is>
      </c>
    </row>
    <row r="91">
      <c r="A91" s="2" t="n">
        <v>89</v>
      </c>
      <c r="B91" s="2" t="inlineStr">
        <is>
          <t>Thứ sáu ngày 03-04-2026</t>
        </is>
      </c>
      <c r="C91" s="3" t="inlineStr">
        <is>
          <t>37 (Không)</t>
        </is>
      </c>
      <c r="D91" s="3" t="inlineStr">
        <is>
          <t>55 (Không)</t>
        </is>
      </c>
      <c r="E91" s="3" t="inlineStr">
        <is>
          <t>06 (Không)</t>
        </is>
      </c>
      <c r="F91" s="3" t="inlineStr">
        <is>
          <t>---</t>
        </is>
      </c>
      <c r="G91" s="6" t="inlineStr">
        <is>
          <t>15, 29 (TRƯỢT ❌)</t>
        </is>
      </c>
      <c r="H91" s="6" t="inlineStr">
        <is>
          <t>TRƯỢT KHUNG ❌</t>
        </is>
      </c>
      <c r="I91" s="3" t="inlineStr">
        <is>
          <t>01, 04, 06, 09, 10, 13, 15, 18, 22, 24, 27, 29, 31, 33, 36, 38, 40, 42, 45, 47, 51, 54, 56, 59, 60, 63, 65, 68, 72, 74, 77, 79, 81, 83, 86, 88, 90, 92, 95, 97 (40 số)</t>
        </is>
      </c>
      <c r="J91" s="3" t="inlineStr">
        <is>
          <t>51, 54, 56, 59, 60, 63, 65, 68, 72, 74, 77, 79, 81, 83, 86, 88, 90, 92, 95, 97 (20 số)</t>
        </is>
      </c>
      <c r="K91" s="3" t="inlineStr">
        <is>
          <t>51, 54, 56, 59, 60, 63, 65, 68, 72, 74, 77, 79, 81, 83, 86, 88, 90, 92, 95, 97 (20 số)</t>
        </is>
      </c>
    </row>
    <row r="92">
      <c r="A92" s="2" t="n">
        <v>90</v>
      </c>
      <c r="B92" s="2" t="inlineStr">
        <is>
          <t>Thứ bảy ngày 04-04-2026</t>
        </is>
      </c>
      <c r="C92" s="3" t="inlineStr">
        <is>
          <t>55 (Trúng)</t>
        </is>
      </c>
      <c r="D92" s="3" t="inlineStr">
        <is>
          <t>06 (Không)</t>
        </is>
      </c>
      <c r="E92" s="3" t="inlineStr">
        <is>
          <t>82 (Không)</t>
        </is>
      </c>
      <c r="F92" s="3" t="inlineStr">
        <is>
          <t>---</t>
        </is>
      </c>
      <c r="G92" s="6" t="inlineStr">
        <is>
          <t>37, 40 (TRƯỢT ❌)</t>
        </is>
      </c>
      <c r="H92" s="7" t="inlineStr">
        <is>
          <t>TRÚNG N1 🎯</t>
        </is>
      </c>
      <c r="I9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92" s="3" t="inlineStr">
        <is>
          <t>00, 02, 04, 05, 07, 09, 11, 13, 14, 16, 18, 19, 20, 22, 23, 25, 27, 28, 31, 32, 34, 36, 37, 39, 40, 41, 43, 45, 46, 48 (30 số)</t>
        </is>
      </c>
      <c r="K92" s="3" t="inlineStr">
        <is>
          <t>00, 02, 04, 05, 07, 09, 11, 13, 14, 16, 18, 19, 20, 22, 23, 25, 27, 28, 31, 32, 34, 36, 37, 39, 40, 41, 43, 45, 46, 48 (30 số)</t>
        </is>
      </c>
    </row>
    <row r="93">
      <c r="A93" s="2" t="n">
        <v>91</v>
      </c>
      <c r="B93" s="2" t="inlineStr">
        <is>
          <t>Chủ nhật ngày 05-04-2026</t>
        </is>
      </c>
      <c r="C93" s="3" t="inlineStr">
        <is>
          <t>06 (Không)</t>
        </is>
      </c>
      <c r="D93" s="3" t="inlineStr">
        <is>
          <t>82 (Trúng)</t>
        </is>
      </c>
      <c r="E93" s="3" t="inlineStr">
        <is>
          <t>50 (Trúng)</t>
        </is>
      </c>
      <c r="F93" s="3" t="inlineStr">
        <is>
          <t>---</t>
        </is>
      </c>
      <c r="G93" s="6" t="inlineStr">
        <is>
          <t>41, 55 (TRƯỢT ❌)</t>
        </is>
      </c>
      <c r="H93" s="7" t="inlineStr">
        <is>
          <t>TRÚNG N2 (Siêu Lọc 🎯)</t>
        </is>
      </c>
      <c r="I93" s="3" t="inlineStr">
        <is>
          <t>00, 02, 05, 07, 11, 14, 16, 19, 20, 23, 25, 28, 32, 34, 37, 39, 41, 43, 46, 48, 50, 52, 55, 57, 61, 64, 66, 69, 70, 73, 75, 78, 82, 84, 87, 89, 91, 93, 96, 98 (40 số)</t>
        </is>
      </c>
      <c r="J93" s="3" t="inlineStr">
        <is>
          <t>50, 52, 55, 57, 61, 64, 66, 69, 70, 73, 75, 78, 82, 84, 87, 89, 91, 93, 96, 98 (20 số)</t>
        </is>
      </c>
      <c r="K93" s="3" t="inlineStr">
        <is>
          <t>50, 52, 55, 57, 61, 64, 66, 69, 70, 73, 75, 78, 82, 84, 87, 89, 91, 93, 96, 98 (20 số)</t>
        </is>
      </c>
    </row>
    <row r="94">
      <c r="A94" s="2" t="n">
        <v>92</v>
      </c>
      <c r="B94" s="2" t="inlineStr">
        <is>
          <t>Thứ hai ngày 06-04-2026</t>
        </is>
      </c>
      <c r="C94" s="3" t="inlineStr">
        <is>
          <t>82 (Trúng)</t>
        </is>
      </c>
      <c r="D94" s="3" t="inlineStr">
        <is>
          <t>50 (Không)</t>
        </is>
      </c>
      <c r="E94" s="3" t="inlineStr">
        <is>
          <t>25 (Không)</t>
        </is>
      </c>
      <c r="F94" s="3" t="inlineStr">
        <is>
          <t>---</t>
        </is>
      </c>
      <c r="G94" s="6" t="inlineStr">
        <is>
          <t>06, 26 (TRƯỢT ❌)</t>
        </is>
      </c>
      <c r="H94" s="7" t="inlineStr">
        <is>
          <t>TRÚNG N1 🎯</t>
        </is>
      </c>
      <c r="I94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94" s="3" t="inlineStr">
        <is>
          <t>00, 01, 03, 05, 06, 08, 10, 12, 14, 15, 17, 19, 21, 23, 24, 26, 28, 29, 30, 32, 33, 35, 37, 38, 41, 42, 44, 46, 47, 49 (30 số)</t>
        </is>
      </c>
      <c r="K94" s="3" t="inlineStr">
        <is>
          <t>00, 01, 03, 05, 06, 08, 10, 12, 14, 15, 17, 19, 21, 23, 24, 26, 28, 29, 30, 32, 33, 35, 37, 38, 41, 42, 44, 46, 47, 49 (30 số)</t>
        </is>
      </c>
    </row>
    <row r="95">
      <c r="A95" s="2" t="n">
        <v>93</v>
      </c>
      <c r="B95" s="2" t="inlineStr">
        <is>
          <t>Thứ ba ngày 07-04-2026</t>
        </is>
      </c>
      <c r="C95" s="3" t="inlineStr">
        <is>
          <t>50 (Không)</t>
        </is>
      </c>
      <c r="D95" s="3" t="inlineStr">
        <is>
          <t>25 (Không)</t>
        </is>
      </c>
      <c r="E95" s="3" t="inlineStr">
        <is>
          <t>20 (Không)</t>
        </is>
      </c>
      <c r="F95" s="3" t="inlineStr">
        <is>
          <t>---</t>
        </is>
      </c>
      <c r="G95" s="6" t="inlineStr">
        <is>
          <t>10, 72 (TRƯỢT ❌)</t>
        </is>
      </c>
      <c r="H95" s="6" t="inlineStr">
        <is>
          <t>TRƯỢT KHUNG ❌</t>
        </is>
      </c>
      <c r="I95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95" s="3" t="inlineStr">
        <is>
          <t>01, 03, 04, 06, 08, 09, 10, 12, 13, 15, 17, 18, 21, 22, 24, 26, 27, 29, 30, 31, 33, 35, 36, 38, 40, 42, 44, 45, 47, 49 (30 số)</t>
        </is>
      </c>
      <c r="K95" s="3" t="inlineStr">
        <is>
          <t>01, 03, 04, 06, 08, 09, 10, 12, 13, 15, 17, 18, 21, 22, 24, 26, 27, 29, 30, 31, 33, 35, 36, 38, 40, 42, 44, 45, 47, 49 (30 số)</t>
        </is>
      </c>
    </row>
    <row r="96">
      <c r="A96" s="2" t="n">
        <v>94</v>
      </c>
      <c r="B96" s="2" t="inlineStr">
        <is>
          <t>Thứ tư ngày 08-04-2026</t>
        </is>
      </c>
      <c r="C96" s="3" t="inlineStr">
        <is>
          <t>25 (Không)</t>
        </is>
      </c>
      <c r="D96" s="3" t="inlineStr">
        <is>
          <t>20 (Không)</t>
        </is>
      </c>
      <c r="E96" s="3" t="inlineStr">
        <is>
          <t>04 (Không)</t>
        </is>
      </c>
      <c r="F96" s="3" t="inlineStr">
        <is>
          <t>---</t>
        </is>
      </c>
      <c r="G96" s="6" t="inlineStr">
        <is>
          <t>00, 26 (TRƯỢT ❌)</t>
        </is>
      </c>
      <c r="H96" s="6" t="inlineStr">
        <is>
          <t>TRƯỢT KHUNG ❌</t>
        </is>
      </c>
      <c r="I96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96" s="3" t="inlineStr">
        <is>
          <t>50, 51, 53, 55, 56, 58, 60, 62, 64, 65, 67, 69, 71, 73, 74, 76, 78, 79, 80, 82, 83, 85, 87, 88, 91, 92, 94, 96, 97, 99 (30 số)</t>
        </is>
      </c>
      <c r="K96" s="3" t="inlineStr">
        <is>
          <t>50, 51, 53, 55, 56, 58, 60, 62, 64, 65, 67, 69, 71, 73, 74, 76, 78, 79, 80, 82, 83, 85, 87, 88, 91, 92, 94, 96, 97, 99 (30 số)</t>
        </is>
      </c>
    </row>
    <row r="97">
      <c r="A97" s="2" t="n">
        <v>95</v>
      </c>
      <c r="B97" s="2" t="inlineStr">
        <is>
          <t>Thứ năm ngày 09-04-2026</t>
        </is>
      </c>
      <c r="C97" s="3" t="inlineStr">
        <is>
          <t>20 (Trúng)</t>
        </is>
      </c>
      <c r="D97" s="3" t="inlineStr">
        <is>
          <t>04 (Không)</t>
        </is>
      </c>
      <c r="E97" s="3" t="inlineStr">
        <is>
          <t>00 (Không)</t>
        </is>
      </c>
      <c r="F97" s="3" t="inlineStr">
        <is>
          <t>---</t>
        </is>
      </c>
      <c r="G97" s="6" t="inlineStr">
        <is>
          <t>25, 32 (TRƯỢT ❌)</t>
        </is>
      </c>
      <c r="H97" s="7" t="inlineStr">
        <is>
          <t>TRÚNG N1 🎯</t>
        </is>
      </c>
      <c r="I97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97" s="3" t="inlineStr">
        <is>
          <t>50, 52, 54, 55, 57, 59, 61, 63, 64, 66, 68, 69, 70, 72, 73, 75, 77, 78, 81, 82, 84, 86, 87, 89, 90, 91, 93, 95, 96, 98 (30 số)</t>
        </is>
      </c>
      <c r="K97" s="3" t="inlineStr">
        <is>
          <t>50, 52, 54, 55, 57, 59, 61, 63, 64, 66, 68, 69, 70, 72, 73, 75, 77, 78, 81, 82, 84, 86, 87, 89, 90, 91, 93, 95, 96, 98 (30 số)</t>
        </is>
      </c>
    </row>
    <row r="98">
      <c r="A98" s="2" t="n">
        <v>96</v>
      </c>
      <c r="B98" s="2" t="inlineStr">
        <is>
          <t>Thứ sáu ngày 10-04-2026</t>
        </is>
      </c>
      <c r="C98" s="3" t="inlineStr">
        <is>
          <t>04 (Không)</t>
        </is>
      </c>
      <c r="D98" s="3" t="inlineStr">
        <is>
          <t>00 (Không)</t>
        </is>
      </c>
      <c r="E98" s="3" t="inlineStr">
        <is>
          <t>38 (Không)</t>
        </is>
      </c>
      <c r="F98" s="3" t="inlineStr">
        <is>
          <t>---</t>
        </is>
      </c>
      <c r="G98" s="6" t="inlineStr">
        <is>
          <t>07, 20 (TRƯỢT ❌)</t>
        </is>
      </c>
      <c r="H98" s="6" t="inlineStr">
        <is>
          <t>TRƯỢT KHUNG ❌</t>
        </is>
      </c>
      <c r="I98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98" s="3" t="inlineStr">
        <is>
          <t>50, 51, 52, 55, 56, 57, 60, 61, 64, 65, 66, 69, 70, 73, 74, 75, 78, 79, 82, 83, 84, 87, 88, 89, 91, 92, 93, 96, 97, 98 (30 số)</t>
        </is>
      </c>
      <c r="K98" s="3" t="inlineStr">
        <is>
          <t>50, 51, 52, 55, 56, 57, 60, 61, 64, 65, 66, 69, 70, 73, 74, 75, 78, 79, 82, 83, 84, 87, 88, 89, 91, 92, 93, 96, 97, 98 (30 số)</t>
        </is>
      </c>
    </row>
    <row r="99">
      <c r="A99" s="2" t="n">
        <v>97</v>
      </c>
      <c r="B99" s="2" t="inlineStr">
        <is>
          <t>Thứ bảy ngày 11-04-2026</t>
        </is>
      </c>
      <c r="C99" s="3" t="inlineStr">
        <is>
          <t>00 (Không)</t>
        </is>
      </c>
      <c r="D99" s="3" t="inlineStr">
        <is>
          <t>38 (Không)</t>
        </is>
      </c>
      <c r="E99" s="3" t="inlineStr">
        <is>
          <t>63 (Không)</t>
        </is>
      </c>
      <c r="F99" s="3" t="inlineStr">
        <is>
          <t>---</t>
        </is>
      </c>
      <c r="G99" s="6" t="inlineStr">
        <is>
          <t>16, 57 (TRƯỢT ❌)</t>
        </is>
      </c>
      <c r="H99" s="6" t="inlineStr">
        <is>
          <t>TRƯỢT KHUNG ❌</t>
        </is>
      </c>
      <c r="I99" s="3" t="inlineStr">
        <is>
          <t>02, 03, 07, 08, 11, 12, 16, 17, 20, 21, 25, 26, 30, 34, 35, 39, 43, 44, 48, 49, 52, 53, 57, 58, 61, 62, 66, 67, 70, 71, 75, 76, 80, 84, 85, 89, 93, 94, 98, 99 (40 số)</t>
        </is>
      </c>
      <c r="J99" s="3" t="inlineStr">
        <is>
          <t>52, 53, 57, 58, 61, 62, 66, 67, 70, 71, 75, 76, 80, 84, 85, 89, 93, 94, 98, 99 (20 số)</t>
        </is>
      </c>
      <c r="K99" s="3" t="inlineStr">
        <is>
          <t>52, 53, 57, 58, 61, 62, 66, 67, 70, 71, 75, 76, 80, 84, 85, 89, 93, 94, 98, 99 (20 số)</t>
        </is>
      </c>
    </row>
    <row r="100">
      <c r="A100" s="2" t="n">
        <v>98</v>
      </c>
      <c r="B100" s="2" t="inlineStr">
        <is>
          <t>Chủ nhật ngày 12-04-2026</t>
        </is>
      </c>
      <c r="C100" s="3" t="inlineStr">
        <is>
          <t>38 (Không)</t>
        </is>
      </c>
      <c r="D100" s="3" t="inlineStr">
        <is>
          <t>63 (Trúng)</t>
        </is>
      </c>
      <c r="E100" s="3" t="inlineStr">
        <is>
          <t>14 (Không)</t>
        </is>
      </c>
      <c r="F100" s="3" t="inlineStr">
        <is>
          <t>---</t>
        </is>
      </c>
      <c r="G100" s="6" t="inlineStr">
        <is>
          <t>25, 68 (TRƯỢT ❌)</t>
        </is>
      </c>
      <c r="H100" s="7" t="inlineStr">
        <is>
          <t>TRÚNG N2 (Siêu Lọc 🎯)</t>
        </is>
      </c>
      <c r="I100" s="3" t="inlineStr">
        <is>
          <t>02, 04, 07, 09, 11, 13, 16, 18, 20, 22, 25, 27, 31, 34, 36, 39, 40, 43, 45, 48, 52, 54, 57, 59, 61, 63, 66, 68, 70, 72, 75, 77, 81, 84, 86, 89, 90, 93, 95, 98 (40 số)</t>
        </is>
      </c>
      <c r="J100" s="3" t="inlineStr">
        <is>
          <t>52, 54, 57, 59, 61, 63, 66, 68, 70, 72, 75, 77, 81, 84, 86, 89, 90, 93, 95, 98 (20 số)</t>
        </is>
      </c>
      <c r="K100" s="3" t="inlineStr">
        <is>
          <t>52, 54, 57, 59, 61, 63, 66, 68, 70, 72, 75, 77, 81, 84, 86, 89, 90, 93, 95, 98 (20 số)</t>
        </is>
      </c>
    </row>
    <row r="101">
      <c r="A101" s="2" t="n">
        <v>99</v>
      </c>
      <c r="B101" s="2" t="inlineStr">
        <is>
          <t>Thứ hai ngày 13-04-2026</t>
        </is>
      </c>
      <c r="C101" s="3" t="inlineStr">
        <is>
          <t>63 (Không)</t>
        </is>
      </c>
      <c r="D101" s="3" t="inlineStr">
        <is>
          <t>14 (Trúng)</t>
        </is>
      </c>
      <c r="E101" s="3" t="inlineStr">
        <is>
          <t>35 (Không)</t>
        </is>
      </c>
      <c r="F101" s="3" t="inlineStr">
        <is>
          <t>---</t>
        </is>
      </c>
      <c r="G101" s="6" t="inlineStr">
        <is>
          <t>02, 10 (TRƯỢT ❌)</t>
        </is>
      </c>
      <c r="H101" s="7" t="inlineStr">
        <is>
          <t>TRÚNG N2 (Siêu Lọc 🎯)</t>
        </is>
      </c>
      <c r="I10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101" s="3" t="inlineStr">
        <is>
          <t>00, 01, 02, 05, 06, 07, 10, 11, 14, 15, 16, 19, 20, 23, 24, 25, 28, 29, 32, 33, 34, 37, 38, 39, 41, 42, 43, 46, 47, 48 (30 số)</t>
        </is>
      </c>
      <c r="K101" s="3" t="inlineStr">
        <is>
          <t>00, 01, 02, 05, 06, 07, 10, 11, 14, 15, 16, 19, 20, 23, 24, 25, 28, 29, 32, 33, 34, 37, 38, 39, 41, 42, 43, 46, 47, 48 (30 số)</t>
        </is>
      </c>
    </row>
    <row r="102">
      <c r="A102" s="2" t="n">
        <v>100</v>
      </c>
      <c r="B102" s="2" t="inlineStr">
        <is>
          <t>Thứ ba ngày 14-04-2026</t>
        </is>
      </c>
      <c r="C102" s="3" t="inlineStr">
        <is>
          <t>14 (Không)</t>
        </is>
      </c>
      <c r="D102" s="3" t="inlineStr">
        <is>
          <t>35 (Không)</t>
        </is>
      </c>
      <c r="E102" s="3" t="inlineStr">
        <is>
          <t>55 (Không)</t>
        </is>
      </c>
      <c r="F102" s="3" t="inlineStr">
        <is>
          <t>---</t>
        </is>
      </c>
      <c r="G102" s="6" t="inlineStr">
        <is>
          <t>13, 22 (TRƯỢT ❌)</t>
        </is>
      </c>
      <c r="H102" s="6" t="inlineStr">
        <is>
          <t>TRƯỢT KHUNG ❌</t>
        </is>
      </c>
      <c r="I10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02" s="3" t="inlineStr">
        <is>
          <t>52, 53, 54, 57, 58, 59, 61, 62, 63, 66, 67, 68, 70, 71, 72, 75, 76, 77, 80, 81, 84, 85, 86, 89, 90, 93, 94, 95, 98, 99 (30 số)</t>
        </is>
      </c>
      <c r="K102" s="3" t="inlineStr">
        <is>
          <t>52, 53, 54, 57, 58, 59, 61, 62, 63, 66, 67, 68, 70, 71, 72, 75, 76, 77, 80, 81, 84, 85, 86, 89, 90, 93, 94, 95, 98, 99 (30 số)</t>
        </is>
      </c>
    </row>
    <row r="103">
      <c r="A103" s="2" t="n">
        <v>101</v>
      </c>
      <c r="B103" s="2" t="inlineStr">
        <is>
          <t>Thứ tư ngày 15-04-2026</t>
        </is>
      </c>
      <c r="C103" s="3" t="inlineStr">
        <is>
          <t>35 (Không)</t>
        </is>
      </c>
      <c r="D103" s="3" t="inlineStr">
        <is>
          <t>55 (Không)</t>
        </is>
      </c>
      <c r="E103" s="3" t="inlineStr">
        <is>
          <t>43 (Không)</t>
        </is>
      </c>
      <c r="F103" s="3" t="inlineStr">
        <is>
          <t>---</t>
        </is>
      </c>
      <c r="G103" s="6" t="inlineStr">
        <is>
          <t>59, 65 (TRƯỢT ❌)</t>
        </is>
      </c>
      <c r="H103" s="6" t="inlineStr">
        <is>
          <t>TRƯỢT KHUNG ❌</t>
        </is>
      </c>
      <c r="I103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03" s="3" t="inlineStr">
        <is>
          <t>51, 52, 54, 56, 57, 59, 60, 61, 63, 65, 66, 68, 70, 72, 74, 75, 77, 79, 81, 83, 84, 86, 88, 89, 90, 92, 93, 95, 97, 98 (30 số)</t>
        </is>
      </c>
      <c r="K103" s="3" t="inlineStr">
        <is>
          <t>51, 52, 54, 56, 57, 59, 60, 61, 63, 65, 66, 68, 70, 72, 74, 75, 77, 79, 81, 83, 84, 86, 88, 89, 90, 92, 93, 95, 97, 98 (30 số)</t>
        </is>
      </c>
    </row>
    <row r="104">
      <c r="A104" s="2" t="n">
        <v>102</v>
      </c>
      <c r="B104" s="2" t="inlineStr">
        <is>
          <t>Thứ năm ngày 16-04-2026</t>
        </is>
      </c>
      <c r="C104" s="3" t="inlineStr">
        <is>
          <t>55 (Trúng)</t>
        </is>
      </c>
      <c r="D104" s="3" t="inlineStr">
        <is>
          <t>43 (Không)</t>
        </is>
      </c>
      <c r="E104" s="3" t="inlineStr">
        <is>
          <t>25 (Không)</t>
        </is>
      </c>
      <c r="F104" s="3" t="inlineStr">
        <is>
          <t>---</t>
        </is>
      </c>
      <c r="G104" s="6" t="inlineStr">
        <is>
          <t>18, 33 (TRƯỢT ❌)</t>
        </is>
      </c>
      <c r="H104" s="7" t="inlineStr">
        <is>
          <t>TRÚNG N1 🎯</t>
        </is>
      </c>
      <c r="I10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104" s="3" t="inlineStr">
        <is>
          <t>00, 01, 04, 05, 06, 09, 10, 13, 14, 15, 18, 19, 22, 23, 24, 27, 28, 29, 31, 32, 33, 36, 37, 38, 40, 41, 42, 45, 46, 47 (30 số)</t>
        </is>
      </c>
      <c r="K104" s="3" t="inlineStr">
        <is>
          <t>00, 01, 04, 05, 06, 09, 10, 13, 14, 15, 18, 19, 22, 23, 24, 27, 28, 29, 31, 32, 33, 36, 37, 38, 40, 41, 42, 45, 46, 47 (30 số)</t>
        </is>
      </c>
    </row>
    <row r="105">
      <c r="A105" s="2" t="n">
        <v>103</v>
      </c>
      <c r="B105" s="2" t="inlineStr">
        <is>
          <t>Thứ sáu ngày 17-04-2026</t>
        </is>
      </c>
      <c r="C105" s="3" t="inlineStr">
        <is>
          <t>43 (Không)</t>
        </is>
      </c>
      <c r="D105" s="3" t="inlineStr">
        <is>
          <t>25 (Không)</t>
        </is>
      </c>
      <c r="E105" s="3" t="inlineStr">
        <is>
          <t>97 (Không)</t>
        </is>
      </c>
      <c r="F105" s="3" t="inlineStr">
        <is>
          <t>---</t>
        </is>
      </c>
      <c r="G105" s="6" t="inlineStr">
        <is>
          <t>13, 27 (TRƯỢT ❌)</t>
        </is>
      </c>
      <c r="H105" s="6" t="inlineStr">
        <is>
          <t>TRƯỢT KHUNG ❌</t>
        </is>
      </c>
      <c r="I105" s="3" t="inlineStr">
        <is>
          <t>03, 04, 08, 09, 12, 13, 17, 18, 21, 22, 26, 27, 30, 31, 35, 36, 40, 44, 45, 49, 53, 54, 58, 59, 62, 63, 67, 68, 71, 72, 76, 77, 80, 81, 85, 86, 90, 94, 95, 99 (40 số)</t>
        </is>
      </c>
      <c r="J105" s="3" t="inlineStr">
        <is>
          <t>53, 54, 58, 59, 62, 63, 67, 68, 71, 72, 76, 77, 80, 81, 85, 86, 90, 94, 95, 99 (20 số)</t>
        </is>
      </c>
      <c r="K105" s="3" t="inlineStr">
        <is>
          <t>53, 54, 58, 59, 62, 63, 67, 68, 71, 72, 76, 77, 80, 81, 85, 86, 90, 94, 95, 99 (20 số)</t>
        </is>
      </c>
    </row>
    <row r="106">
      <c r="A106" s="2" t="n">
        <v>104</v>
      </c>
      <c r="B106" s="2" t="inlineStr">
        <is>
          <t>Thứ bảy ngày 18-04-2026</t>
        </is>
      </c>
      <c r="C106" s="3" t="inlineStr">
        <is>
          <t>25 (Không)</t>
        </is>
      </c>
      <c r="D106" s="3" t="inlineStr">
        <is>
          <t>97 (Trúng)</t>
        </is>
      </c>
      <c r="E106" s="3" t="inlineStr">
        <is>
          <t>76 (Trúng)</t>
        </is>
      </c>
      <c r="F106" s="3" t="inlineStr">
        <is>
          <t>---</t>
        </is>
      </c>
      <c r="G106" s="6" t="inlineStr">
        <is>
          <t>53, 59 (TRƯỢT ❌)</t>
        </is>
      </c>
      <c r="H106" s="7" t="inlineStr">
        <is>
          <t>TRÚNG N2 (Siêu Lọc 🎯)</t>
        </is>
      </c>
      <c r="I10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106" s="3" t="inlineStr">
        <is>
          <t>51, 53, 54, 56, 58, 59, 60, 62, 63, 65, 67, 68, 71, 72, 74, 76, 77, 79, 80, 81, 83, 85, 86, 88, 90, 92, 94, 95, 97, 99 (30 số)</t>
        </is>
      </c>
      <c r="K106" s="3" t="inlineStr">
        <is>
          <t>51, 53, 54, 56, 58, 59, 60, 62, 63, 65, 67, 68, 71, 72, 74, 76, 77, 79, 80, 81, 83, 85, 86, 88, 90, 92, 94, 95, 97, 99 (30 số)</t>
        </is>
      </c>
    </row>
    <row r="107">
      <c r="A107" s="2" t="n">
        <v>105</v>
      </c>
      <c r="B107" s="2" t="inlineStr">
        <is>
          <t>Chủ nhật ngày 19-04-2026</t>
        </is>
      </c>
      <c r="C107" s="3" t="inlineStr">
        <is>
          <t>97 (Không)</t>
        </is>
      </c>
      <c r="D107" s="3" t="inlineStr">
        <is>
          <t>76 (Không)</t>
        </is>
      </c>
      <c r="E107" s="3" t="inlineStr">
        <is>
          <t>48 (Trúng)</t>
        </is>
      </c>
      <c r="F107" s="3" t="inlineStr">
        <is>
          <t>---</t>
        </is>
      </c>
      <c r="G107" s="6" t="inlineStr">
        <is>
          <t>08, 16 (TRƯỢT ❌)</t>
        </is>
      </c>
      <c r="H107" s="7" t="inlineStr">
        <is>
          <t>TRÚNG N3 (Siêu Lọc 🎯)</t>
        </is>
      </c>
      <c r="I107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107" s="3" t="inlineStr">
        <is>
          <t>00, 02, 03, 05, 07, 08, 11, 12, 14, 16, 17, 19, 20, 21, 23, 25, 26, 28, 30, 32, 34, 35, 37, 39, 41, 43, 44, 46, 48, 49 (30 số)</t>
        </is>
      </c>
      <c r="K107" s="3" t="inlineStr">
        <is>
          <t>00, 02, 03, 05, 07, 08, 11, 12, 14, 16, 17, 19, 20, 21, 23, 25, 26, 28, 30, 32, 34, 35, 37, 39, 41, 43, 44, 46, 48, 49 (30 số)</t>
        </is>
      </c>
    </row>
    <row r="108">
      <c r="A108" s="2" t="n">
        <v>106</v>
      </c>
      <c r="B108" s="2" t="inlineStr">
        <is>
          <t>Thứ hai ngày 20-04-2026</t>
        </is>
      </c>
      <c r="C108" s="3" t="inlineStr">
        <is>
          <t>76 (Không)</t>
        </is>
      </c>
      <c r="D108" s="3" t="inlineStr">
        <is>
          <t>48 (Trúng)</t>
        </is>
      </c>
      <c r="E108" s="3" t="inlineStr">
        <is>
          <t>39 (Trúng)</t>
        </is>
      </c>
      <c r="F108" s="3" t="inlineStr">
        <is>
          <t>---</t>
        </is>
      </c>
      <c r="G108" s="6" t="inlineStr">
        <is>
          <t>06, 34 (TRƯỢT ❌)</t>
        </is>
      </c>
      <c r="H108" s="7" t="inlineStr">
        <is>
          <t>TRÚNG N2 (Siêu Lọc 🎯)</t>
        </is>
      </c>
      <c r="I108" s="3" t="inlineStr">
        <is>
          <t>01, 02, 06, 07, 10, 11, 15, 16, 20, 24, 25, 29, 33, 34, 38, 39, 42, 43, 47, 48, 51, 52, 56, 57, 60, 61, 65, 66, 70, 74, 75, 79, 83, 84, 88, 89, 92, 93, 97, 98 (40 số)</t>
        </is>
      </c>
      <c r="J108" s="3" t="inlineStr">
        <is>
          <t>01, 02, 06, 07, 10, 11, 15, 16, 20, 24, 25, 29, 33, 34, 38, 39, 42, 43, 47, 48 (20 số)</t>
        </is>
      </c>
      <c r="K108" s="3" t="inlineStr">
        <is>
          <t>01, 02, 06, 07, 10, 11, 15, 16, 20, 24, 25, 29, 33, 34, 38, 39, 42, 43, 47, 48 (20 số)</t>
        </is>
      </c>
    </row>
    <row r="109">
      <c r="A109" s="2" t="n">
        <v>107</v>
      </c>
      <c r="B109" s="2" t="inlineStr">
        <is>
          <t>Thứ ba ngày 21-04-2026</t>
        </is>
      </c>
      <c r="C109" s="3" t="inlineStr">
        <is>
          <t>48 (Không)</t>
        </is>
      </c>
      <c r="D109" s="3" t="inlineStr">
        <is>
          <t>39 (Không)</t>
        </is>
      </c>
      <c r="E109" s="3" t="inlineStr">
        <is>
          <t>76 (Không)</t>
        </is>
      </c>
      <c r="F109" s="3" t="inlineStr">
        <is>
          <t>---</t>
        </is>
      </c>
      <c r="G109" s="6" t="inlineStr">
        <is>
          <t>09, 13 (TRƯỢT ❌)</t>
        </is>
      </c>
      <c r="H109" s="6" t="inlineStr">
        <is>
          <t>TRƯỢT KHUNG ❌</t>
        </is>
      </c>
      <c r="I109" s="3" t="inlineStr">
        <is>
          <t>04, 09, 13, 18, 22, 27, 31, 36, 40, 45, 54, 59, 63, 68, 72, 77, 81, 86, 90, 95 (20 số)</t>
        </is>
      </c>
      <c r="J109" s="3" t="inlineStr">
        <is>
          <t>54, 59, 63, 68, 72, 77, 81, 86, 90, 95 (10 số)</t>
        </is>
      </c>
      <c r="K109" s="3" t="inlineStr">
        <is>
          <t>54, 59, 63, 68, 72, 77, 81, 86, 90, 95 (10 số)</t>
        </is>
      </c>
    </row>
    <row r="110">
      <c r="A110" s="2" t="n">
        <v>108</v>
      </c>
      <c r="B110" s="2" t="inlineStr">
        <is>
          <t>Thứ tư ngày 22-04-2026</t>
        </is>
      </c>
      <c r="C110" s="3" t="inlineStr">
        <is>
          <t>39 (Trúng)</t>
        </is>
      </c>
      <c r="D110" s="3" t="inlineStr">
        <is>
          <t>76 (Không)</t>
        </is>
      </c>
      <c r="E110" s="3" t="inlineStr">
        <is>
          <t>17 (Không)</t>
        </is>
      </c>
      <c r="F110" s="3" t="inlineStr">
        <is>
          <t>---</t>
        </is>
      </c>
      <c r="G110" s="6" t="inlineStr">
        <is>
          <t>48, 52 (TRƯỢT ❌)</t>
        </is>
      </c>
      <c r="H110" s="7" t="inlineStr">
        <is>
          <t>TRÚNG N1 🎯</t>
        </is>
      </c>
      <c r="I110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 (80 số)</t>
        </is>
      </c>
      <c r="J110" s="3" t="inlineStr">
        <is>
          <t>50, 51, 52, 54, 55, 57, 59, 60, 61, 63, 64, 66, 68, 70, 72, 73, 74, 75, 77, 78, 79, 81, 82, 83, 84, 86, 87, 88, 89, 90, 91, 93, 95, 96, 97, 98 (36 số)</t>
        </is>
      </c>
      <c r="K110" s="3" t="inlineStr">
        <is>
          <t>50, 51, 52, 54, 55, 57, 59, 60, 61, 63, 64, 66, 68, 70, 72, 73, 74, 75, 77, 78, 79, 81, 82, 83, 84, 86, 87, 88, 89, 90, 91, 93, 95, 96, 97, 98 (36 số)</t>
        </is>
      </c>
    </row>
    <row r="111">
      <c r="A111" s="2" t="n">
        <v>109</v>
      </c>
      <c r="B111" s="2" t="inlineStr">
        <is>
          <t>Thứ năm ngày 23-04-2026</t>
        </is>
      </c>
      <c r="C111" s="3" t="inlineStr">
        <is>
          <t>76 (Trúng)</t>
        </is>
      </c>
      <c r="D111" s="3" t="inlineStr">
        <is>
          <t>17 (Trúng)</t>
        </is>
      </c>
      <c r="E111" s="3" t="inlineStr">
        <is>
          <t>28 (Không)</t>
        </is>
      </c>
      <c r="F111" s="3" t="inlineStr">
        <is>
          <t>---</t>
        </is>
      </c>
      <c r="G111" s="6" t="inlineStr">
        <is>
          <t>22, 39 (TRƯỢT ❌)</t>
        </is>
      </c>
      <c r="H111" s="7" t="inlineStr">
        <is>
          <t>TRÚNG N1 🎯</t>
        </is>
      </c>
      <c r="I111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11" s="3" t="inlineStr">
        <is>
          <t>02, 03, 04, 07, 08, 09, 11, 12, 13, 16, 17, 18, 20, 21, 22, 25, 26, 27, 30, 31, 34, 35, 36, 39, 40, 43, 44, 45, 48, 49 (30 số)</t>
        </is>
      </c>
      <c r="K111" s="3" t="inlineStr">
        <is>
          <t>02, 03, 04, 07, 08, 09, 11, 12, 13, 16, 17, 18, 20, 21, 22, 25, 26, 27, 30, 31, 34, 35, 36, 39, 40, 43, 44, 45, 48, 49 (30 số)</t>
        </is>
      </c>
    </row>
    <row r="112">
      <c r="A112" s="2" t="n">
        <v>110</v>
      </c>
      <c r="B112" s="2" t="inlineStr">
        <is>
          <t>Thứ sáu ngày 24-04-2026</t>
        </is>
      </c>
      <c r="C112" s="3" t="inlineStr">
        <is>
          <t>17 (Không)</t>
        </is>
      </c>
      <c r="D112" s="3" t="inlineStr">
        <is>
          <t>28 (Không)</t>
        </is>
      </c>
      <c r="E112" s="3" t="inlineStr">
        <is>
          <t>59 (Không)</t>
        </is>
      </c>
      <c r="F112" s="3" t="inlineStr">
        <is>
          <t>---</t>
        </is>
      </c>
      <c r="G112" s="6" t="inlineStr">
        <is>
          <t>05, 11 (TRƯỢT ❌)</t>
        </is>
      </c>
      <c r="H112" s="6" t="inlineStr">
        <is>
          <t>TRƯỢT KHUNG ❌</t>
        </is>
      </c>
      <c r="I112" s="3" t="inlineStr">
        <is>
          <t>00, 02, 05, 07, 11, 14, 16, 19, 20, 23, 25, 28, 32, 34, 37, 39, 41, 43, 46, 48, 50, 52, 55, 57, 61, 64, 66, 69, 70, 73, 75, 78, 82, 84, 87, 89, 91, 93, 96, 98 (40 số)</t>
        </is>
      </c>
      <c r="J112" s="3" t="inlineStr">
        <is>
          <t>50, 52, 55, 57, 61, 64, 66, 69, 70, 73, 75, 78, 82, 84, 87, 89, 91, 93, 96, 98 (20 số)</t>
        </is>
      </c>
      <c r="K112" s="3" t="inlineStr">
        <is>
          <t>50, 52, 55, 57, 61, 64, 66, 69, 70, 73, 75, 78, 82, 84, 87, 89, 91, 93, 96, 98 (20 số)</t>
        </is>
      </c>
    </row>
    <row r="113">
      <c r="A113" s="2" t="n">
        <v>111</v>
      </c>
      <c r="B113" s="2" t="inlineStr">
        <is>
          <t>Thứ bảy ngày 25-04-2026</t>
        </is>
      </c>
      <c r="C113" s="3" t="inlineStr">
        <is>
          <t>28 (Không)</t>
        </is>
      </c>
      <c r="D113" s="3" t="inlineStr">
        <is>
          <t>59 (Trúng)</t>
        </is>
      </c>
      <c r="E113" s="3" t="inlineStr">
        <is>
          <t>54 (Trúng)</t>
        </is>
      </c>
      <c r="F113" s="3" t="inlineStr">
        <is>
          <t>---</t>
        </is>
      </c>
      <c r="G113" s="6" t="inlineStr">
        <is>
          <t>17, 27 (TRƯỢT ❌)</t>
        </is>
      </c>
      <c r="H113" s="7" t="inlineStr">
        <is>
          <t>TRÚNG N2 (Siêu Lọc 🎯)</t>
        </is>
      </c>
      <c r="I11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13" s="3" t="inlineStr">
        <is>
          <t>52, 53, 54, 57, 58, 59, 61, 62, 63, 66, 67, 68, 70, 71, 72, 75, 76, 77, 80, 81, 84, 85, 86, 89, 90, 93, 94, 95, 98, 99 (30 số)</t>
        </is>
      </c>
      <c r="K113" s="3" t="inlineStr">
        <is>
          <t>52, 53, 54, 57, 58, 59, 61, 62, 63, 66, 67, 68, 70, 71, 72, 75, 76, 77, 80, 81, 84, 85, 86, 89, 90, 93, 94, 95, 98, 99 (30 số)</t>
        </is>
      </c>
    </row>
    <row r="114">
      <c r="A114" s="2" t="n">
        <v>112</v>
      </c>
      <c r="B114" s="2" t="inlineStr">
        <is>
          <t>Chủ nhật ngày 26-04-2026</t>
        </is>
      </c>
      <c r="C114" s="3" t="inlineStr">
        <is>
          <t>59 (Trúng)</t>
        </is>
      </c>
      <c r="D114" s="3" t="inlineStr">
        <is>
          <t>54 (Không)</t>
        </is>
      </c>
      <c r="E114" s="3" t="inlineStr">
        <is>
          <t>69 (Không)</t>
        </is>
      </c>
      <c r="F114" s="3" t="inlineStr">
        <is>
          <t>---</t>
        </is>
      </c>
      <c r="G114" s="6" t="inlineStr">
        <is>
          <t>05, 28 (TRƯỢT ❌)</t>
        </is>
      </c>
      <c r="H114" s="7" t="inlineStr">
        <is>
          <t>TRÚNG N1 🎯</t>
        </is>
      </c>
      <c r="I11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114" s="3" t="inlineStr">
        <is>
          <t>00, 03, 04, 05, 08, 09, 12, 13, 14, 17, 18, 19, 21, 22, 23, 26, 27, 28, 30, 31, 32, 35, 36, 37, 40, 41, 44, 45, 46, 49 (30 số)</t>
        </is>
      </c>
      <c r="K114" s="3" t="inlineStr">
        <is>
          <t>00, 03, 04, 05, 08, 09, 12, 13, 14, 17, 18, 19, 21, 22, 23, 26, 27, 28, 30, 31, 32, 35, 36, 37, 40, 41, 44, 45, 46, 49 (30 số)</t>
        </is>
      </c>
    </row>
    <row r="115">
      <c r="A115" s="2" t="n">
        <v>113</v>
      </c>
      <c r="B115" s="2" t="inlineStr">
        <is>
          <t>Thứ hai ngày 27-04-2026</t>
        </is>
      </c>
      <c r="C115" s="3" t="inlineStr">
        <is>
          <t>54 (Không)</t>
        </is>
      </c>
      <c r="D115" s="3" t="inlineStr">
        <is>
          <t>69 (Không)</t>
        </is>
      </c>
      <c r="E115" s="3" t="inlineStr">
        <is>
          <t>75 (Không)</t>
        </is>
      </c>
      <c r="F115" s="3" t="inlineStr">
        <is>
          <t>---</t>
        </is>
      </c>
      <c r="G115" s="6" t="inlineStr">
        <is>
          <t>28, 34 (TRƯỢT ❌)</t>
        </is>
      </c>
      <c r="H115" s="6" t="inlineStr">
        <is>
          <t>TRƯỢT KHUNG ❌</t>
        </is>
      </c>
      <c r="I11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115" s="3" t="inlineStr">
        <is>
          <t>00, 02, 03, 05, 07, 08, 11, 12, 14, 16, 17, 19, 20, 21, 23, 25, 26, 28, 30, 32, 34, 35, 37, 39, 41, 43, 44, 46, 48, 49 (30 số)</t>
        </is>
      </c>
      <c r="K115" s="3" t="inlineStr">
        <is>
          <t>00, 02, 03, 05, 07, 08, 11, 12, 14, 16, 17, 19, 20, 21, 23, 25, 26, 28, 30, 32, 34, 35, 37, 39, 41, 43, 44, 46, 48, 49 (30 số)</t>
        </is>
      </c>
    </row>
    <row r="116">
      <c r="A116" s="2" t="n">
        <v>114</v>
      </c>
      <c r="B116" s="2" t="inlineStr">
        <is>
          <t>Thứ ba ngày 28-04-2026</t>
        </is>
      </c>
      <c r="C116" s="3" t="inlineStr">
        <is>
          <t>69 (Trúng)</t>
        </is>
      </c>
      <c r="D116" s="3" t="inlineStr">
        <is>
          <t>75 (Không)</t>
        </is>
      </c>
      <c r="E116" s="3" t="inlineStr">
        <is>
          <t>37 (Trúng)</t>
        </is>
      </c>
      <c r="F116" s="3" t="inlineStr">
        <is>
          <t>---</t>
        </is>
      </c>
      <c r="G116" s="6" t="inlineStr">
        <is>
          <t>04, 30 (TRƯỢT ❌)</t>
        </is>
      </c>
      <c r="H116" s="7" t="inlineStr">
        <is>
          <t>TRÚNG N1 🎯</t>
        </is>
      </c>
      <c r="I116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116" s="3" t="inlineStr">
        <is>
          <t>00, 03, 04, 05, 08, 09, 12, 13, 14, 17, 18, 19, 21, 22, 23, 26, 27, 28, 30, 31, 32, 35, 36, 37, 40, 41, 44, 45, 46, 49 (30 số)</t>
        </is>
      </c>
      <c r="K116" s="3" t="inlineStr">
        <is>
          <t>00, 03, 04, 05, 08, 09, 12, 13, 14, 17, 18, 19, 21, 22, 23, 26, 27, 28, 30, 31, 32, 35, 36, 37, 40, 41, 44, 45, 46, 49 (30 số)</t>
        </is>
      </c>
    </row>
    <row r="117">
      <c r="A117" s="2" t="n">
        <v>115</v>
      </c>
      <c r="B117" s="2" t="inlineStr">
        <is>
          <t>Thứ tư ngày 29-04-2026</t>
        </is>
      </c>
      <c r="C117" s="3" t="inlineStr">
        <is>
          <t>75 (Không)</t>
        </is>
      </c>
      <c r="D117" s="3" t="inlineStr">
        <is>
          <t>37 (Trúng)</t>
        </is>
      </c>
      <c r="E117" s="3" t="inlineStr">
        <is>
          <t>32 (Trúng)</t>
        </is>
      </c>
      <c r="F117" s="3" t="inlineStr">
        <is>
          <t>---</t>
        </is>
      </c>
      <c r="G117" s="6" t="inlineStr">
        <is>
          <t>18, 46 (TRƯỢT ❌)</t>
        </is>
      </c>
      <c r="H117" s="7" t="inlineStr">
        <is>
          <t>TRÚNG N2 (Siêu Lọc 🎯)</t>
        </is>
      </c>
      <c r="I117" s="3" t="inlineStr">
        <is>
          <t>00, 04, 05, 09, 13, 14, 18, 19, 22, 23, 27, 28, 31, 32, 36, 37, 40, 41, 45, 46, 50, 54, 55, 59, 63, 64, 68, 69, 72, 73, 77, 78, 81, 82, 86, 87, 90, 91, 95, 96 (40 số)</t>
        </is>
      </c>
      <c r="J117" s="3" t="inlineStr">
        <is>
          <t>00, 04, 05, 09, 13, 14, 18, 19, 22, 23, 27, 28, 31, 32, 36, 37, 40, 41, 45, 46 (20 số)</t>
        </is>
      </c>
      <c r="K117" s="3" t="inlineStr">
        <is>
          <t>00, 04, 05, 09, 13, 14, 18, 19, 22, 23, 27, 28, 31, 32, 36, 37, 40, 41, 45, 46 (20 số)</t>
        </is>
      </c>
    </row>
    <row r="118">
      <c r="A118" s="2" t="n">
        <v>116</v>
      </c>
      <c r="B118" s="2" t="inlineStr">
        <is>
          <t>Thứ năm ngày 30-04-2026</t>
        </is>
      </c>
      <c r="C118" s="3" t="inlineStr">
        <is>
          <t>37 (Trúng)</t>
        </is>
      </c>
      <c r="D118" s="3" t="inlineStr">
        <is>
          <t>32 (Không)</t>
        </is>
      </c>
      <c r="E118" s="3" t="inlineStr">
        <is>
          <t>64 (Trúng)</t>
        </is>
      </c>
      <c r="F118" s="3" t="inlineStr">
        <is>
          <t>---</t>
        </is>
      </c>
      <c r="G118" s="6" t="inlineStr">
        <is>
          <t>19, 30 (TRƯỢT ❌)</t>
        </is>
      </c>
      <c r="H118" s="7" t="inlineStr">
        <is>
          <t>TRÚNG N1 🎯</t>
        </is>
      </c>
      <c r="I118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 (80 số)</t>
        </is>
      </c>
      <c r="J118" s="3" t="inlineStr">
        <is>
          <t>50, 51, 52, 53, 55, 56, 57, 58, 60, 61, 64, 66, 67, 69, 70, 71, 73, 74, 75, 78, 79, 80, 82, 83, 84, 87, 88, 89, 91, 92, 93, 94, 96, 97, 98, 99 (36 số)</t>
        </is>
      </c>
      <c r="K118" s="3" t="inlineStr">
        <is>
          <t>50, 51, 52, 53, 55, 56, 57, 58, 60, 61, 64, 66, 67, 69, 70, 71, 73, 74, 75, 78, 79, 80, 82, 83, 84, 87, 88, 89, 91, 92, 93, 94, 96, 97, 98, 99 (36 số)</t>
        </is>
      </c>
    </row>
    <row r="119">
      <c r="A119" s="2" t="n">
        <v>117</v>
      </c>
      <c r="B119" s="2" t="inlineStr">
        <is>
          <t>Thứ sáu ngày 01-05-2026</t>
        </is>
      </c>
      <c r="C119" s="3" t="inlineStr">
        <is>
          <t>32 (Trúng)</t>
        </is>
      </c>
      <c r="D119" s="3" t="inlineStr">
        <is>
          <t>64 (Trúng)</t>
        </is>
      </c>
      <c r="E119" s="3" t="inlineStr">
        <is>
          <t>51 (Trúng)</t>
        </is>
      </c>
      <c r="F119" s="3" t="inlineStr">
        <is>
          <t>---</t>
        </is>
      </c>
      <c r="G119" s="6" t="inlineStr">
        <is>
          <t>37, 39 (TRƯỢT ❌)</t>
        </is>
      </c>
      <c r="H119" s="7" t="inlineStr">
        <is>
          <t>TRÚNG N1 🎯</t>
        </is>
      </c>
      <c r="I11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119" s="3" t="inlineStr">
        <is>
          <t>50, 51, 52, 55, 56, 57, 60, 61, 64, 65, 66, 69, 70, 73, 74, 75, 78, 79, 82, 83, 84, 87, 88, 89, 91, 92, 93, 96, 97, 98 (30 số)</t>
        </is>
      </c>
      <c r="K119" s="3" t="inlineStr">
        <is>
          <t>50, 51, 52, 55, 56, 57, 60, 61, 64, 65, 66, 69, 70, 73, 74, 75, 78, 79, 82, 83, 84, 87, 88, 89, 91, 92, 93, 96, 97, 98 (30 số)</t>
        </is>
      </c>
    </row>
    <row r="120">
      <c r="A120" s="2" t="n">
        <v>118</v>
      </c>
      <c r="B120" s="2" t="inlineStr">
        <is>
          <t>Thứ bảy ngày 02-05-2026</t>
        </is>
      </c>
      <c r="C120" s="3" t="inlineStr">
        <is>
          <t>64 (Trúng)</t>
        </is>
      </c>
      <c r="D120" s="3" t="inlineStr">
        <is>
          <t>51 (Không)</t>
        </is>
      </c>
      <c r="E120" s="3" t="inlineStr">
        <is>
          <t>12 (Trúng)</t>
        </is>
      </c>
      <c r="F120" s="3" t="inlineStr">
        <is>
          <t>---</t>
        </is>
      </c>
      <c r="G120" s="6" t="inlineStr">
        <is>
          <t>14, 32 (TRƯỢT ❌)</t>
        </is>
      </c>
      <c r="H120" s="7" t="inlineStr">
        <is>
          <t>TRÚNG N1 🎯</t>
        </is>
      </c>
      <c r="I120" s="3" t="inlineStr">
        <is>
          <t>00, 03, 05, 08, 12, 14, 17, 19, 21, 23, 26, 28, 30, 32, 35, 37, 41, 44, 46, 49, 50, 53, 55, 58, 62, 64, 67, 69, 71, 73, 76, 78, 80, 82, 85, 87, 91, 94, 96, 99 (40 số)</t>
        </is>
      </c>
      <c r="J120" s="3" t="inlineStr">
        <is>
          <t>00, 03, 05, 08, 12, 14, 17, 19, 21, 23, 26, 28, 30, 32, 35, 37, 41, 44, 46, 49 (20 số)</t>
        </is>
      </c>
      <c r="K120" s="3" t="inlineStr">
        <is>
          <t>00, 03, 05, 08, 12, 14, 17, 19, 21, 23, 26, 28, 30, 32, 35, 37, 41, 44, 46, 49 (20 số)</t>
        </is>
      </c>
    </row>
    <row r="121">
      <c r="A121" s="2" t="n">
        <v>119</v>
      </c>
      <c r="B121" s="2" t="inlineStr">
        <is>
          <t>Chủ nhật ngày 03-05-2026</t>
        </is>
      </c>
      <c r="C121" s="3" t="inlineStr">
        <is>
          <t>51 (Trúng)</t>
        </is>
      </c>
      <c r="D121" s="3" t="inlineStr">
        <is>
          <t>12 (Không)</t>
        </is>
      </c>
      <c r="E121" s="3" t="inlineStr">
        <is>
          <t>41 (Không)</t>
        </is>
      </c>
      <c r="F121" s="3" t="inlineStr">
        <is>
          <t>---</t>
        </is>
      </c>
      <c r="G121" s="6" t="inlineStr">
        <is>
          <t>24, 59 (TRƯỢT ❌)</t>
        </is>
      </c>
      <c r="H121" s="7" t="inlineStr">
        <is>
          <t>TRÚNG N1 🎯</t>
        </is>
      </c>
      <c r="I121" s="3" t="inlineStr">
        <is>
          <t>01, 04, 06, 09, 10, 13, 15, 18, 22, 24, 27, 29, 31, 33, 36, 38, 40, 42, 45, 47, 51, 54, 56, 59, 60, 63, 65, 68, 72, 74, 77, 79, 81, 83, 86, 88, 90, 92, 95, 97 (40 số)</t>
        </is>
      </c>
      <c r="J121" s="3" t="inlineStr">
        <is>
          <t>01, 04, 06, 09, 10, 13, 15, 18, 22, 24, 27, 29, 31, 33, 36, 38, 40, 42, 45, 47 (20 số)</t>
        </is>
      </c>
      <c r="K121" s="3" t="inlineStr">
        <is>
          <t>01, 04, 06, 09, 10, 13, 15, 18, 22, 24, 27, 29, 31, 33, 36, 38, 40, 42, 45, 47 (20 số)</t>
        </is>
      </c>
    </row>
    <row r="122">
      <c r="A122" s="2" t="n">
        <v>120</v>
      </c>
      <c r="B122" s="2" t="inlineStr">
        <is>
          <t>Thứ hai ngày 04-05-2026</t>
        </is>
      </c>
      <c r="C122" s="3" t="inlineStr">
        <is>
          <t>12 (Trúng)</t>
        </is>
      </c>
      <c r="D122" s="3" t="inlineStr">
        <is>
          <t>41 (Không)</t>
        </is>
      </c>
      <c r="E122" s="3" t="inlineStr">
        <is>
          <t>40 (Không)</t>
        </is>
      </c>
      <c r="F122" s="3" t="inlineStr">
        <is>
          <t>---</t>
        </is>
      </c>
      <c r="G122" s="6" t="inlineStr">
        <is>
          <t>15, 51 (TRƯỢT ❌)</t>
        </is>
      </c>
      <c r="H122" s="7" t="inlineStr">
        <is>
          <t>TRÚNG N1 🎯</t>
        </is>
      </c>
      <c r="I122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 (80 số)</t>
        </is>
      </c>
      <c r="J122" s="3" t="inlineStr">
        <is>
          <t>50, 51, 53, 54, 55, 56, 58, 59, 60, 63, 64, 67, 68, 69, 71, 72, 73, 74, 77, 78, 79, 80, 81, 82, 83, 86, 87, 88, 90, 91, 92, 94, 95, 96, 97, 99 (36 số)</t>
        </is>
      </c>
      <c r="K122" s="3" t="inlineStr">
        <is>
          <t>50, 51, 53, 54, 55, 56, 58, 59, 60, 63, 64, 67, 68, 69, 71, 72, 73, 74, 77, 78, 79, 80, 81, 82, 83, 86, 87, 88, 90, 91, 92, 94, 95, 96, 97, 99 (36 số)</t>
        </is>
      </c>
    </row>
    <row r="123">
      <c r="A123" s="2" t="n">
        <v>121</v>
      </c>
      <c r="B123" s="2" t="inlineStr">
        <is>
          <t>Thứ ba ngày 05-05-2026</t>
        </is>
      </c>
      <c r="C123" s="3" t="inlineStr">
        <is>
          <t>41 (Trúng)</t>
        </is>
      </c>
      <c r="D123" s="3" t="inlineStr">
        <is>
          <t>40 (Không)</t>
        </is>
      </c>
      <c r="E123" s="3" t="inlineStr">
        <is>
          <t>47 (Không)</t>
        </is>
      </c>
      <c r="F123" s="3" t="inlineStr">
        <is>
          <t>---</t>
        </is>
      </c>
      <c r="G123" s="6" t="inlineStr">
        <is>
          <t>12, 31 (TRƯỢT ❌)</t>
        </is>
      </c>
      <c r="H123" s="7" t="inlineStr">
        <is>
          <t>TRÚNG N1 🎯</t>
        </is>
      </c>
      <c r="I123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123" s="3" t="inlineStr">
        <is>
          <t>50, 53, 54, 55, 58, 59, 62, 63, 64, 67, 68, 69, 71, 72, 73, 76, 77, 78, 80, 81, 82, 85, 86, 87, 90, 91, 94, 95, 96, 99 (30 số)</t>
        </is>
      </c>
      <c r="K123" s="3" t="inlineStr">
        <is>
          <t>50, 53, 54, 55, 58, 59, 62, 63, 64, 67, 68, 69, 71, 72, 73, 76, 77, 78, 80, 81, 82, 85, 86, 87, 90, 91, 94, 95, 96, 99 (30 số)</t>
        </is>
      </c>
    </row>
    <row r="124">
      <c r="A124" s="2" t="n">
        <v>122</v>
      </c>
      <c r="B124" s="2" t="inlineStr">
        <is>
          <t>Thứ tư ngày 06-05-2026</t>
        </is>
      </c>
      <c r="C124" s="3" t="inlineStr">
        <is>
          <t>40 (Trúng)</t>
        </is>
      </c>
      <c r="D124" s="3" t="inlineStr">
        <is>
          <t>47 (Không)</t>
        </is>
      </c>
      <c r="E124" s="3" t="inlineStr">
        <is>
          <t>92 (Không)</t>
        </is>
      </c>
      <c r="F124" s="3" t="inlineStr">
        <is>
          <t>---</t>
        </is>
      </c>
      <c r="G124" s="6" t="inlineStr">
        <is>
          <t>06, 25 (TRƯỢT ❌)</t>
        </is>
      </c>
      <c r="H124" s="7" t="inlineStr">
        <is>
          <t>TRÚNG N1 🎯</t>
        </is>
      </c>
      <c r="I124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 (80 số)</t>
        </is>
      </c>
      <c r="J124" s="3" t="inlineStr">
        <is>
          <t>50, 51, 52, 54, 55, 57, 59, 60, 61, 63, 64, 66, 68, 70, 72, 73, 74, 75, 77, 78, 79, 81, 82, 83, 84, 86, 87, 88, 89, 90, 91, 93, 95, 96, 97, 98 (36 số)</t>
        </is>
      </c>
      <c r="K124" s="3" t="inlineStr">
        <is>
          <t>50, 51, 52, 54, 55, 57, 59, 60, 61, 63, 64, 66, 68, 70, 72, 73, 74, 75, 77, 78, 79, 81, 82, 83, 84, 86, 87, 88, 89, 90, 91, 93, 95, 96, 97, 98 (36 số)</t>
        </is>
      </c>
    </row>
    <row r="125">
      <c r="A125" s="2" t="n">
        <v>123</v>
      </c>
      <c r="B125" s="2" t="inlineStr">
        <is>
          <t>Thứ năm ngày 07-05-2026</t>
        </is>
      </c>
      <c r="C125" s="3" t="inlineStr">
        <is>
          <t>47 (Trúng)</t>
        </is>
      </c>
      <c r="D125" s="3" t="inlineStr">
        <is>
          <t>92 (Trúng)</t>
        </is>
      </c>
      <c r="E125" s="3" t="inlineStr">
        <is>
          <t>23 (Không)</t>
        </is>
      </c>
      <c r="F125" s="3" t="inlineStr">
        <is>
          <t>---</t>
        </is>
      </c>
      <c r="G125" s="6" t="inlineStr">
        <is>
          <t>15, 40 (TRƯỢT ❌)</t>
        </is>
      </c>
      <c r="H125" s="7" t="inlineStr">
        <is>
          <t>TRÚNG N1 🎯</t>
        </is>
      </c>
      <c r="I12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25" s="3" t="inlineStr">
        <is>
          <t>51, 52, 54, 56, 57, 59, 60, 61, 63, 65, 66, 68, 70, 72, 74, 75, 77, 79, 81, 83, 84, 86, 88, 89, 90, 92, 93, 95, 97, 98 (30 số)</t>
        </is>
      </c>
      <c r="K125" s="3" t="inlineStr">
        <is>
          <t>51, 52, 54, 56, 57, 59, 60, 61, 63, 65, 66, 68, 70, 72, 74, 75, 77, 79, 81, 83, 84, 86, 88, 89, 90, 92, 93, 95, 97, 98 (30 số)</t>
        </is>
      </c>
    </row>
    <row r="126">
      <c r="A126" s="2" t="n">
        <v>124</v>
      </c>
      <c r="B126" s="2" t="inlineStr">
        <is>
          <t>Thứ sáu ngày 08-05-2026</t>
        </is>
      </c>
      <c r="C126" s="3" t="inlineStr">
        <is>
          <t>92 (Trúng)</t>
        </is>
      </c>
      <c r="D126" s="3" t="inlineStr">
        <is>
          <t>23 (Không)</t>
        </is>
      </c>
      <c r="E126" s="3" t="inlineStr">
        <is>
          <t>17 (Trúng)</t>
        </is>
      </c>
      <c r="F126" s="3" t="inlineStr">
        <is>
          <t>---</t>
        </is>
      </c>
      <c r="G126" s="6" t="inlineStr">
        <is>
          <t>25, 42 (TRƯỢT ❌)</t>
        </is>
      </c>
      <c r="H126" s="7" t="inlineStr">
        <is>
          <t>TRÚNG N1 🎯</t>
        </is>
      </c>
      <c r="I12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26" s="3" t="inlineStr">
        <is>
          <t>01, 02, 03, 06, 07, 08, 10, 11, 12, 15, 16, 17, 20, 21, 24, 25, 26, 29, 30, 33, 34, 35, 38, 39, 42, 43, 44, 47, 48, 49 (30 số)</t>
        </is>
      </c>
      <c r="K126" s="3" t="inlineStr">
        <is>
          <t>01, 02, 03, 06, 07, 08, 10, 11, 12, 15, 16, 17, 20, 21, 24, 25, 26, 29, 30, 33, 34, 35, 38, 39, 42, 43, 44, 47, 48, 49 (30 số)</t>
        </is>
      </c>
    </row>
    <row r="127">
      <c r="A127" s="2" t="n">
        <v>125</v>
      </c>
      <c r="B127" s="2" t="inlineStr">
        <is>
          <t>Thứ bảy ngày 09-05-2026</t>
        </is>
      </c>
      <c r="C127" s="3" t="inlineStr">
        <is>
          <t>23 (Trúng)</t>
        </is>
      </c>
      <c r="D127" s="3" t="inlineStr">
        <is>
          <t>17 (Không)</t>
        </is>
      </c>
      <c r="E127" s="3" t="inlineStr">
        <is>
          <t>33 (Không)</t>
        </is>
      </c>
      <c r="F127" s="3" t="inlineStr">
        <is>
          <t>---</t>
        </is>
      </c>
      <c r="G127" s="6" t="inlineStr">
        <is>
          <t>05, 45 (TRƯỢT ❌)</t>
        </is>
      </c>
      <c r="H127" s="7" t="inlineStr">
        <is>
          <t>TRÚNG N1 🎯</t>
        </is>
      </c>
      <c r="I127" s="3" t="inlineStr">
        <is>
          <t>00, 04, 05, 09, 13, 14, 18, 19, 22, 23, 27, 28, 31, 32, 36, 37, 40, 41, 45, 46, 50, 54, 55, 59, 63, 64, 68, 69, 72, 73, 77, 78, 81, 82, 86, 87, 90, 91, 95, 96 (40 số)</t>
        </is>
      </c>
      <c r="J127" s="3" t="inlineStr">
        <is>
          <t>50, 54, 55, 59, 63, 64, 68, 69, 72, 73, 77, 78, 81, 82, 86, 87, 90, 91, 95, 96 (20 số)</t>
        </is>
      </c>
      <c r="K127" s="3" t="inlineStr">
        <is>
          <t>50, 54, 55, 59, 63, 64, 68, 69, 72, 73, 77, 78, 81, 82, 86, 87, 90, 91, 95, 96 (20 số)</t>
        </is>
      </c>
    </row>
    <row r="128">
      <c r="A128" s="2" t="n">
        <v>126</v>
      </c>
      <c r="B128" s="2" t="inlineStr">
        <is>
          <t>Chủ nhật ngày 10-05-2026</t>
        </is>
      </c>
      <c r="C128" s="3" t="inlineStr">
        <is>
          <t>17 (Trúng)</t>
        </is>
      </c>
      <c r="D128" s="3" t="inlineStr">
        <is>
          <t>33 (Không)</t>
        </is>
      </c>
      <c r="E128" s="3" t="inlineStr">
        <is>
          <t>38 (Không)</t>
        </is>
      </c>
      <c r="F128" s="3" t="inlineStr">
        <is>
          <t>---</t>
        </is>
      </c>
      <c r="G128" s="7" t="inlineStr">
        <is>
          <t>15, 17 (TRÚNG 🎯)</t>
        </is>
      </c>
      <c r="H128" s="7" t="inlineStr">
        <is>
          <t>TRÚNG N1 🎯</t>
        </is>
      </c>
      <c r="I12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28" s="3" t="inlineStr">
        <is>
          <t>51, 52, 53, 56, 57, 58, 60, 61, 62, 65, 66, 67, 70, 71, 74, 75, 76, 79, 80, 83, 84, 85, 88, 89, 92, 93, 94, 97, 98, 99 (30 số)</t>
        </is>
      </c>
      <c r="K128" s="3" t="inlineStr">
        <is>
          <t>51, 52, 53, 56, 57, 58, 60, 61, 62, 65, 66, 67, 70, 71, 74, 75, 76, 79, 80, 83, 84, 85, 88, 89, 92, 93, 94, 97, 98, 99 (30 số)</t>
        </is>
      </c>
    </row>
    <row r="129">
      <c r="A129" s="2" t="n">
        <v>127</v>
      </c>
      <c r="B129" s="2" t="inlineStr">
        <is>
          <t>Thứ hai ngày 11-05-2026</t>
        </is>
      </c>
      <c r="C129" s="3" t="inlineStr">
        <is>
          <t>33 (Trúng)</t>
        </is>
      </c>
      <c r="D129" s="3" t="inlineStr">
        <is>
          <t>38 (Không)</t>
        </is>
      </c>
      <c r="E129" s="3" t="inlineStr">
        <is>
          <t>69 (Không)</t>
        </is>
      </c>
      <c r="F129" s="3" t="inlineStr">
        <is>
          <t>---</t>
        </is>
      </c>
      <c r="G129" s="6" t="inlineStr">
        <is>
          <t>17, 18 (TRƯỢT ❌)</t>
        </is>
      </c>
      <c r="H129" s="7" t="inlineStr">
        <is>
          <t>TRÚNG N1 🎯</t>
        </is>
      </c>
      <c r="I12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129" s="3" t="inlineStr">
        <is>
          <t>51, 53, 54, 56, 58, 59, 60, 62, 63, 65, 67, 68, 71, 72, 74, 76, 77, 79, 80, 81, 83, 85, 86, 88, 90, 92, 94, 95, 97, 99 (30 số)</t>
        </is>
      </c>
      <c r="K129" s="3" t="inlineStr">
        <is>
          <t>51, 53, 54, 56, 58, 59, 60, 62, 63, 65, 67, 68, 71, 72, 74, 76, 77, 79, 80, 81, 83, 85, 86, 88, 90, 92, 94, 95, 97, 99 (30 số)</t>
        </is>
      </c>
    </row>
    <row r="130">
      <c r="A130" s="2" t="n">
        <v>128</v>
      </c>
      <c r="B130" s="2" t="inlineStr">
        <is>
          <t>Thứ ba ngày 12-05-2026</t>
        </is>
      </c>
      <c r="C130" s="3" t="inlineStr">
        <is>
          <t>38 (Không)</t>
        </is>
      </c>
      <c r="D130" s="3" t="inlineStr">
        <is>
          <t>69 (Trúng)</t>
        </is>
      </c>
      <c r="E130" s="3" t="inlineStr">
        <is>
          <t>94 (Trúng)</t>
        </is>
      </c>
      <c r="F130" s="3" t="inlineStr">
        <is>
          <t>---</t>
        </is>
      </c>
      <c r="G130" s="6" t="inlineStr">
        <is>
          <t>27, 31 (TRƯỢT ❌)</t>
        </is>
      </c>
      <c r="H130" s="7" t="inlineStr">
        <is>
          <t>TRÚNG N2 (Siêu Lọc 🎯)</t>
        </is>
      </c>
      <c r="I130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130" s="3" t="inlineStr">
        <is>
          <t>50, 53, 54, 55, 58, 59, 62, 63, 64, 67, 68, 69, 71, 72, 73, 76, 77, 78, 80, 81, 82, 85, 86, 87, 90, 91, 94, 95, 96, 99 (30 số)</t>
        </is>
      </c>
      <c r="K130" s="3" t="inlineStr">
        <is>
          <t>50, 53, 54, 55, 58, 59, 62, 63, 64, 67, 68, 69, 71, 72, 73, 76, 77, 78, 80, 81, 82, 85, 86, 87, 90, 91, 94, 95, 96, 99 (30 số)</t>
        </is>
      </c>
    </row>
    <row r="131">
      <c r="A131" s="2" t="n">
        <v>129</v>
      </c>
      <c r="B131" s="2" t="inlineStr">
        <is>
          <t>Thứ tư ngày 13-05-2026</t>
        </is>
      </c>
      <c r="C131" s="3" t="inlineStr">
        <is>
          <t>69 (Không)</t>
        </is>
      </c>
      <c r="D131" s="3" t="inlineStr">
        <is>
          <t>94 (Không)</t>
        </is>
      </c>
      <c r="E131" s="3" t="inlineStr">
        <is>
          <t>04 (Trúng)</t>
        </is>
      </c>
      <c r="F131" s="3" t="inlineStr">
        <is>
          <t>---</t>
        </is>
      </c>
      <c r="G131" s="6" t="inlineStr">
        <is>
          <t>33, 38 (TRƯỢT ❌)</t>
        </is>
      </c>
      <c r="H131" s="7" t="inlineStr">
        <is>
          <t>TRÚNG N3 (Siêu Lọc 🎯)</t>
        </is>
      </c>
      <c r="I13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131" s="3" t="inlineStr">
        <is>
          <t>01, 03, 04, 06, 08, 09, 10, 12, 13, 15, 17, 18, 21, 22, 24, 26, 27, 29, 30, 31, 33, 35, 36, 38, 40, 42, 44, 45, 47, 49 (30 số)</t>
        </is>
      </c>
      <c r="K131" s="3" t="inlineStr">
        <is>
          <t>01, 03, 04, 06, 08, 09, 10, 12, 13, 15, 17, 18, 21, 22, 24, 26, 27, 29, 30, 31, 33, 35, 36, 38, 40, 42, 44, 45, 47, 49 (30 số)</t>
        </is>
      </c>
    </row>
    <row r="132">
      <c r="A132" s="2" t="n">
        <v>130</v>
      </c>
      <c r="B132" s="2" t="inlineStr">
        <is>
          <t>Thứ năm ngày 14-05-2026</t>
        </is>
      </c>
      <c r="C132" s="3" t="inlineStr">
        <is>
          <t>94 (Trúng)</t>
        </is>
      </c>
      <c r="D132" s="3" t="inlineStr">
        <is>
          <t>04 (Trúng)</t>
        </is>
      </c>
      <c r="E132" s="3" t="inlineStr">
        <is>
          <t>84 (Không)</t>
        </is>
      </c>
      <c r="F132" s="3" t="inlineStr">
        <is>
          <t>---</t>
        </is>
      </c>
      <c r="G132" s="7" t="inlineStr">
        <is>
          <t>04, 43 (TRÚNG 🎯)</t>
        </is>
      </c>
      <c r="H132" s="7" t="inlineStr">
        <is>
          <t>TRÚNG N1 🎯</t>
        </is>
      </c>
      <c r="I13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32" s="3" t="inlineStr">
        <is>
          <t>02, 03, 04, 07, 08, 09, 11, 12, 13, 16, 17, 18, 20, 21, 22, 25, 26, 27, 30, 31, 34, 35, 36, 39, 40, 43, 44, 45, 48, 49 (30 số)</t>
        </is>
      </c>
      <c r="K132" s="3" t="inlineStr">
        <is>
          <t>02, 03, 04, 07, 08, 09, 11, 12, 13, 16, 17, 18, 20, 21, 22, 25, 26, 27, 30, 31, 34, 35, 36, 39, 40, 43, 44, 45, 48, 49 (30 số)</t>
        </is>
      </c>
    </row>
    <row r="133">
      <c r="A133" s="2" t="n">
        <v>131</v>
      </c>
      <c r="B133" s="2" t="inlineStr">
        <is>
          <t>Thứ sáu ngày 15-05-2026</t>
        </is>
      </c>
      <c r="C133" s="3" t="inlineStr">
        <is>
          <t>04 (Trúng)</t>
        </is>
      </c>
      <c r="D133" s="3" t="inlineStr">
        <is>
          <t>84 (Không)</t>
        </is>
      </c>
      <c r="E133" s="3" t="inlineStr">
        <is>
          <t>61 (Không)</t>
        </is>
      </c>
      <c r="F133" s="3" t="inlineStr">
        <is>
          <t>---</t>
        </is>
      </c>
      <c r="G133" s="6" t="inlineStr">
        <is>
          <t>09, 33 (TRƯỢT ❌)</t>
        </is>
      </c>
      <c r="H133" s="7" t="inlineStr">
        <is>
          <t>TRÚNG N1 🎯</t>
        </is>
      </c>
      <c r="I13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133" s="3" t="inlineStr">
        <is>
          <t>51, 53, 54, 56, 58, 59, 60, 62, 63, 65, 67, 68, 71, 72, 74, 76, 77, 79, 80, 81, 83, 85, 86, 88, 90, 92, 94, 95, 97, 99 (30 số)</t>
        </is>
      </c>
      <c r="K133" s="3" t="inlineStr">
        <is>
          <t>51, 53, 54, 56, 58, 59, 60, 62, 63, 65, 67, 68, 71, 72, 74, 76, 77, 79, 80, 81, 83, 85, 86, 88, 90, 92, 94, 95, 97, 99 (30 số)</t>
        </is>
      </c>
    </row>
    <row r="134">
      <c r="A134" s="2" t="n">
        <v>132</v>
      </c>
      <c r="B134" s="2" t="inlineStr">
        <is>
          <t>Thứ bảy ngày 16-05-2026</t>
        </is>
      </c>
      <c r="C134" s="3" t="inlineStr">
        <is>
          <t>84 (Trúng)</t>
        </is>
      </c>
      <c r="D134" s="3" t="inlineStr">
        <is>
          <t>61 (Không)</t>
        </is>
      </c>
      <c r="E134" s="3" t="inlineStr">
        <is>
          <t>54 (Không)</t>
        </is>
      </c>
      <c r="F134" s="3" t="inlineStr">
        <is>
          <t>---</t>
        </is>
      </c>
      <c r="G134" s="6" t="inlineStr">
        <is>
          <t>04, 60 (TRƯỢT ❌)</t>
        </is>
      </c>
      <c r="H134" s="7" t="inlineStr">
        <is>
          <t>TRÚNG N1 🎯</t>
        </is>
      </c>
      <c r="I13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34" s="3" t="inlineStr">
        <is>
          <t>01, 02, 04, 06, 07, 09, 10, 11, 13, 15, 16, 18, 20, 22, 24, 25, 27, 29, 31, 33, 34, 36, 38, 39, 40, 42, 43, 45, 47, 48 (30 số)</t>
        </is>
      </c>
      <c r="K134" s="3" t="inlineStr">
        <is>
          <t>01, 02, 04, 06, 07, 09, 10, 11, 13, 15, 16, 18, 20, 22, 24, 25, 27, 29, 31, 33, 34, 36, 38, 39, 40, 42, 43, 45, 47, 48 (30 số)</t>
        </is>
      </c>
    </row>
    <row r="135">
      <c r="A135" s="2" t="n">
        <v>133</v>
      </c>
      <c r="B135" s="2" t="inlineStr">
        <is>
          <t>Chủ nhật ngày 17-05-2026</t>
        </is>
      </c>
      <c r="C135" s="3" t="inlineStr">
        <is>
          <t>61 (Trúng)</t>
        </is>
      </c>
      <c r="D135" s="3" t="inlineStr">
        <is>
          <t>54 (Không)</t>
        </is>
      </c>
      <c r="E135" s="3" t="inlineStr">
        <is>
          <t>68 (Không)</t>
        </is>
      </c>
      <c r="F135" s="3" t="inlineStr">
        <is>
          <t>---</t>
        </is>
      </c>
      <c r="G135" s="6" t="inlineStr">
        <is>
          <t>09, 22 (TRƯỢT ❌)</t>
        </is>
      </c>
      <c r="H135" s="7" t="inlineStr">
        <is>
          <t>TRÚNG N1 🎯</t>
        </is>
      </c>
      <c r="I13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35" s="3" t="inlineStr">
        <is>
          <t>01, 02, 04, 06, 07, 09, 10, 11, 13, 15, 16, 18, 20, 22, 24, 25, 27, 29, 31, 33, 34, 36, 38, 39, 40, 42, 43, 45, 47, 48 (30 số)</t>
        </is>
      </c>
      <c r="K135" s="3" t="inlineStr">
        <is>
          <t>01, 02, 04, 06, 07, 09, 10, 11, 13, 15, 16, 18, 20, 22, 24, 25, 27, 29, 31, 33, 34, 36, 38, 39, 40, 42, 43, 45, 47, 48 (30 số)</t>
        </is>
      </c>
    </row>
    <row r="136">
      <c r="A136" s="2" t="n">
        <v>134</v>
      </c>
      <c r="B136" s="2" t="inlineStr">
        <is>
          <t>Thứ hai ngày 18-05-2026</t>
        </is>
      </c>
      <c r="C136" s="3" t="inlineStr">
        <is>
          <t>54 (Không)</t>
        </is>
      </c>
      <c r="D136" s="3" t="inlineStr">
        <is>
          <t>68 (Không)</t>
        </is>
      </c>
      <c r="E136" s="3" t="inlineStr">
        <is>
          <t>85 (Không)</t>
        </is>
      </c>
      <c r="F136" s="3" t="inlineStr">
        <is>
          <t>---</t>
        </is>
      </c>
      <c r="G136" s="6" t="inlineStr">
        <is>
          <t>11, 49 (TRƯỢT ❌)</t>
        </is>
      </c>
      <c r="H136" s="6" t="inlineStr">
        <is>
          <t>TRƯỢT KHUNG ❌</t>
        </is>
      </c>
      <c r="I136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136" s="3" t="inlineStr">
        <is>
          <t>00, 02, 03, 05, 07, 08, 11, 12, 14, 16, 17, 19, 20, 21, 23, 25, 26, 28, 30, 32, 34, 35, 37, 39, 41, 43, 44, 46, 48, 49 (30 số)</t>
        </is>
      </c>
      <c r="K136" s="3" t="inlineStr">
        <is>
          <t>00, 02, 03, 05, 07, 08, 11, 12, 14, 16, 17, 19, 20, 21, 23, 25, 26, 28, 30, 32, 34, 35, 37, 39, 41, 43, 44, 46, 48, 49 (30 số)</t>
        </is>
      </c>
    </row>
    <row r="137">
      <c r="A137" s="2" t="n">
        <v>135</v>
      </c>
      <c r="B137" s="2" t="inlineStr">
        <is>
          <t>Thứ ba ngày 19-05-2026</t>
        </is>
      </c>
      <c r="C137" s="3" t="inlineStr">
        <is>
          <t>68 (Trúng)</t>
        </is>
      </c>
      <c r="D137" s="3" t="inlineStr">
        <is>
          <t>85 (Không)</t>
        </is>
      </c>
      <c r="E137" s="3" t="inlineStr">
        <is>
          <t>39 (Không)</t>
        </is>
      </c>
      <c r="F137" s="3" t="inlineStr">
        <is>
          <t>---</t>
        </is>
      </c>
      <c r="G137" s="6" t="inlineStr">
        <is>
          <t>17, 18 (TRƯỢT ❌)</t>
        </is>
      </c>
      <c r="H137" s="7" t="inlineStr">
        <is>
          <t>TRÚNG N1 🎯</t>
        </is>
      </c>
      <c r="I137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137" s="3" t="inlineStr">
        <is>
          <t>00, 03, 04, 05, 08, 09, 12, 13, 14, 17, 18, 19, 21, 22, 23, 26, 27, 28, 30, 31, 32, 35, 36, 37, 40, 41, 44, 45, 46, 49 (30 số)</t>
        </is>
      </c>
      <c r="K137" s="3" t="inlineStr">
        <is>
          <t>00, 03, 04, 05, 08, 09, 12, 13, 14, 17, 18, 19, 21, 22, 23, 26, 27, 28, 30, 31, 32, 35, 36, 37, 40, 41, 44, 45, 46, 49 (30 số)</t>
        </is>
      </c>
    </row>
    <row r="138">
      <c r="A138" s="2" t="n">
        <v>136</v>
      </c>
      <c r="B138" s="2" t="inlineStr">
        <is>
          <t>Thứ tư ngày 20-05-2026</t>
        </is>
      </c>
      <c r="C138" s="3" t="inlineStr">
        <is>
          <t>85 (Trúng)</t>
        </is>
      </c>
      <c r="D138" s="3" t="inlineStr">
        <is>
          <t>39 (Trúng)</t>
        </is>
      </c>
      <c r="E138" s="3" t="inlineStr">
        <is>
          <t>21 (Trúng)</t>
        </is>
      </c>
      <c r="F138" s="3" t="inlineStr">
        <is>
          <t>---</t>
        </is>
      </c>
      <c r="G138" s="6" t="inlineStr">
        <is>
          <t>10, 11 (TRƯỢT ❌)</t>
        </is>
      </c>
      <c r="H138" s="7" t="inlineStr">
        <is>
          <t>TRÚNG N1 🎯</t>
        </is>
      </c>
      <c r="I13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38" s="3" t="inlineStr">
        <is>
          <t>01, 02, 03, 06, 07, 08, 10, 11, 12, 15, 16, 17, 20, 21, 24, 25, 26, 29, 30, 33, 34, 35, 38, 39, 42, 43, 44, 47, 48, 49 (30 số)</t>
        </is>
      </c>
      <c r="K138" s="3" t="inlineStr">
        <is>
          <t>01, 02, 03, 06, 07, 08, 10, 11, 12, 15, 16, 17, 20, 21, 24, 25, 26, 29, 30, 33, 34, 35, 38, 39, 42, 43, 44, 47, 48, 49 (30 số)</t>
        </is>
      </c>
    </row>
    <row r="139">
      <c r="A139" s="2" t="n">
        <v>137</v>
      </c>
      <c r="B139" s="2" t="inlineStr">
        <is>
          <t>Thứ năm ngày 21-05-2026</t>
        </is>
      </c>
      <c r="C139" s="3" t="inlineStr">
        <is>
          <t>39 (Không)</t>
        </is>
      </c>
      <c r="D139" s="3" t="inlineStr">
        <is>
          <t>21 (Không)</t>
        </is>
      </c>
      <c r="E139" s="3" t="inlineStr">
        <is>
          <t>04 (Không)</t>
        </is>
      </c>
      <c r="F139" s="3" t="inlineStr">
        <is>
          <t>---</t>
        </is>
      </c>
      <c r="G139" s="6" t="inlineStr">
        <is>
          <t>38, 54 (TRƯỢT ❌)</t>
        </is>
      </c>
      <c r="H139" s="6" t="inlineStr">
        <is>
          <t>TRƯỢT KHUNG ❌</t>
        </is>
      </c>
      <c r="I139" s="3" t="inlineStr">
        <is>
          <t>01, 04, 06, 09, 10, 13, 15, 18, 22, 24, 27, 29, 31, 33, 36, 38, 40, 42, 45, 47, 51, 54, 56, 59, 60, 63, 65, 68, 72, 74, 77, 79, 81, 83, 86, 88, 90, 92, 95, 97 (40 số)</t>
        </is>
      </c>
      <c r="J139" s="3" t="inlineStr">
        <is>
          <t>51, 54, 56, 59, 60, 63, 65, 68, 72, 74, 77, 79, 81, 83, 86, 88, 90, 92, 95, 97 (20 số)</t>
        </is>
      </c>
      <c r="K139" s="3" t="inlineStr">
        <is>
          <t>51, 54, 56, 59, 60, 63, 65, 68, 72, 74, 77, 79, 81, 83, 86, 88, 90, 92, 95, 97 (20 số)</t>
        </is>
      </c>
    </row>
    <row r="140">
      <c r="A140" s="2" t="n">
        <v>138</v>
      </c>
      <c r="B140" s="2" t="inlineStr">
        <is>
          <t>Thứ sáu ngày 22-05-2026</t>
        </is>
      </c>
      <c r="C140" s="3" t="inlineStr">
        <is>
          <t>21 (Trúng)</t>
        </is>
      </c>
      <c r="D140" s="3" t="inlineStr">
        <is>
          <t>04 (Không)</t>
        </is>
      </c>
      <c r="E140" s="3" t="inlineStr">
        <is>
          <t>81 (Trúng)</t>
        </is>
      </c>
      <c r="F140" s="3" t="inlineStr">
        <is>
          <t>---</t>
        </is>
      </c>
      <c r="G140" s="6" t="inlineStr">
        <is>
          <t>12, 39 (TRƯỢT ❌)</t>
        </is>
      </c>
      <c r="H140" s="7" t="inlineStr">
        <is>
          <t>TRÚNG N1 🎯</t>
        </is>
      </c>
      <c r="I140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 (80 số)</t>
        </is>
      </c>
      <c r="J140" s="3" t="inlineStr">
        <is>
          <t>50, 52, 53, 54, 55, 57, 58, 59, 61, 63, 64, 66, 67, 68, 69, 70, 71, 72, 73, 75, 77, 78, 80, 81, 82, 84, 86, 87, 89, 90, 91, 93, 94, 95, 96, 98 (36 số)</t>
        </is>
      </c>
      <c r="K140" s="3" t="inlineStr">
        <is>
          <t>50, 52, 53, 54, 55, 57, 58, 59, 61, 63, 64, 66, 67, 68, 69, 70, 71, 72, 73, 75, 77, 78, 80, 81, 82, 84, 86, 87, 89, 90, 91, 93, 94, 95, 96, 98 (36 số)</t>
        </is>
      </c>
    </row>
    <row r="141">
      <c r="A141" s="2" t="n">
        <v>139</v>
      </c>
      <c r="B141" s="2" t="inlineStr">
        <is>
          <t>Thứ bảy ngày 23-05-2026</t>
        </is>
      </c>
      <c r="C141" s="3" t="inlineStr">
        <is>
          <t>04 (Trúng)</t>
        </is>
      </c>
      <c r="D141" s="3" t="inlineStr">
        <is>
          <t>81 (Trúng)</t>
        </is>
      </c>
      <c r="E141" s="3" t="inlineStr">
        <is>
          <t>11 (Không)</t>
        </is>
      </c>
      <c r="F141" s="3" t="inlineStr">
        <is>
          <t>---</t>
        </is>
      </c>
      <c r="G141" s="6" t="inlineStr">
        <is>
          <t>21, 26 (TRƯỢT ❌)</t>
        </is>
      </c>
      <c r="H141" s="7" t="inlineStr">
        <is>
          <t>TRÚNG N1 🎯</t>
        </is>
      </c>
      <c r="I141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41" s="3" t="inlineStr">
        <is>
          <t>52, 53, 54, 57, 58, 59, 61, 62, 63, 66, 67, 68, 70, 71, 72, 75, 76, 77, 80, 81, 84, 85, 86, 89, 90, 93, 94, 95, 98, 99 (30 số)</t>
        </is>
      </c>
      <c r="K141" s="3" t="inlineStr">
        <is>
          <t>52, 53, 54, 57, 58, 59, 61, 62, 63, 66, 67, 68, 70, 71, 72, 75, 76, 77, 80, 81, 84, 85, 86, 89, 90, 93, 94, 95, 98, 99 (30 số)</t>
        </is>
      </c>
    </row>
    <row r="142">
      <c r="A142" s="2" t="n">
        <v>140</v>
      </c>
      <c r="B142" s="2" t="inlineStr">
        <is>
          <t>Chủ nhật ngày 24-05-2026</t>
        </is>
      </c>
      <c r="C142" s="3" t="inlineStr">
        <is>
          <t>81 (Không)</t>
        </is>
      </c>
      <c r="D142" s="3" t="inlineStr">
        <is>
          <t>11 (Không)</t>
        </is>
      </c>
      <c r="E142" s="3" t="inlineStr">
        <is>
          <t>13 (Không)</t>
        </is>
      </c>
      <c r="F142" s="3" t="inlineStr">
        <is>
          <t>---</t>
        </is>
      </c>
      <c r="G142" s="6" t="inlineStr">
        <is>
          <t>06, 29 (TRƯỢT ❌)</t>
        </is>
      </c>
      <c r="H142" s="6" t="inlineStr">
        <is>
          <t>TRƯỢT KHUNG ❌</t>
        </is>
      </c>
      <c r="I142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142" s="3" t="inlineStr">
        <is>
          <t>00, 01, 03, 05, 06, 08, 10, 12, 14, 15, 17, 19, 21, 23, 24, 26, 28, 29, 30, 32, 33, 35, 37, 38, 41, 42, 44, 46, 47, 49 (30 số)</t>
        </is>
      </c>
      <c r="K142" s="3" t="inlineStr">
        <is>
          <t>00, 01, 03, 05, 06, 08, 10, 12, 14, 15, 17, 19, 21, 23, 24, 26, 28, 29, 30, 32, 33, 35, 37, 38, 41, 42, 44, 46, 47, 49 (30 số)</t>
        </is>
      </c>
    </row>
    <row r="143">
      <c r="A143" s="2" t="n">
        <v>141</v>
      </c>
      <c r="B143" s="2" t="inlineStr">
        <is>
          <t>Thứ hai ngày 25-05-2026</t>
        </is>
      </c>
      <c r="C143" s="3" t="inlineStr">
        <is>
          <t>11 (Trúng)</t>
        </is>
      </c>
      <c r="D143" s="3" t="inlineStr">
        <is>
          <t>13 (Không)</t>
        </is>
      </c>
      <c r="E143" s="3" t="inlineStr">
        <is>
          <t>50 (Trúng)</t>
        </is>
      </c>
      <c r="F143" s="3" t="inlineStr">
        <is>
          <t>---</t>
        </is>
      </c>
      <c r="G143" s="6" t="inlineStr">
        <is>
          <t>43, 81 (TRƯỢT ❌)</t>
        </is>
      </c>
      <c r="H143" s="7" t="inlineStr">
        <is>
          <t>TRÚNG N1 🎯</t>
        </is>
      </c>
      <c r="I143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 (80 số)</t>
        </is>
      </c>
      <c r="J143" s="3" t="inlineStr">
        <is>
          <t>50, 51, 52, 54, 55, 57, 59, 60, 61, 63, 64, 66, 68, 70, 72, 73, 74, 75, 77, 78, 79, 81, 82, 83, 84, 86, 87, 88, 89, 90, 91, 93, 95, 96, 97, 98 (36 số)</t>
        </is>
      </c>
      <c r="K143" s="3" t="inlineStr">
        <is>
          <t>50, 51, 52, 54, 55, 57, 59, 60, 61, 63, 64, 66, 68, 70, 72, 73, 74, 75, 77, 78, 79, 81, 82, 83, 84, 86, 87, 88, 89, 90, 91, 93, 95, 96, 97, 98 (36 số)</t>
        </is>
      </c>
    </row>
    <row r="144">
      <c r="A144" s="2" t="n">
        <v>142</v>
      </c>
      <c r="B144" s="2" t="inlineStr">
        <is>
          <t>Thứ ba ngày 26-05-2026</t>
        </is>
      </c>
      <c r="C144" s="3" t="inlineStr">
        <is>
          <t>13 (Trúng)</t>
        </is>
      </c>
      <c r="D144" s="3" t="inlineStr">
        <is>
          <t>50 (Trúng)</t>
        </is>
      </c>
      <c r="E144" s="3" t="inlineStr">
        <is>
          <t>54 (Trúng)</t>
        </is>
      </c>
      <c r="F144" s="3" t="inlineStr">
        <is>
          <t>---</t>
        </is>
      </c>
      <c r="G144" s="6" t="inlineStr">
        <is>
          <t>11, 28 (TRƯỢT ❌)</t>
        </is>
      </c>
      <c r="H144" s="7" t="inlineStr">
        <is>
          <t>TRÚNG N1 🎯</t>
        </is>
      </c>
      <c r="I144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 (80 số)</t>
        </is>
      </c>
      <c r="J144" s="3" t="inlineStr">
        <is>
          <t>50, 51, 52, 54, 55, 57, 59, 60, 61, 63, 64, 66, 68, 70, 72, 73, 74, 75, 77, 78, 79, 81, 82, 83, 84, 86, 87, 88, 89, 90, 91, 93, 95, 96, 97, 98 (36 số)</t>
        </is>
      </c>
      <c r="K144" s="3" t="inlineStr">
        <is>
          <t>50, 51, 52, 54, 55, 57, 59, 60, 61, 63, 64, 66, 68, 70, 72, 73, 74, 75, 77, 78, 79, 81, 82, 83, 84, 86, 87, 88, 89, 90, 91, 93, 95, 96, 97, 98 (36 số)</t>
        </is>
      </c>
    </row>
    <row r="145">
      <c r="A145" s="2" t="n">
        <v>143</v>
      </c>
      <c r="B145" s="2" t="inlineStr">
        <is>
          <t>Thứ tư ngày 27-05-2026</t>
        </is>
      </c>
      <c r="C145" s="3" t="inlineStr">
        <is>
          <t>50 (Không)</t>
        </is>
      </c>
      <c r="D145" s="3" t="inlineStr">
        <is>
          <t>54 (Không)</t>
        </is>
      </c>
      <c r="E145" s="3" t="inlineStr">
        <is>
          <t>43 (Trúng)</t>
        </is>
      </c>
      <c r="F145" s="3" t="inlineStr">
        <is>
          <t>---</t>
        </is>
      </c>
      <c r="G145" s="6" t="inlineStr">
        <is>
          <t>13, 15 (TRƯỢT ❌)</t>
        </is>
      </c>
      <c r="H145" s="7" t="inlineStr">
        <is>
          <t>TRÚNG N3 (Siêu Lọc 🎯)</t>
        </is>
      </c>
      <c r="I14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45" s="3" t="inlineStr">
        <is>
          <t>01, 02, 04, 06, 07, 09, 10, 11, 13, 15, 16, 18, 20, 22, 24, 25, 27, 29, 31, 33, 34, 36, 38, 39, 40, 42, 43, 45, 47, 48 (30 số)</t>
        </is>
      </c>
      <c r="K145" s="3" t="inlineStr">
        <is>
          <t>01, 02, 04, 06, 07, 09, 10, 11, 13, 15, 16, 18, 20, 22, 24, 25, 27, 29, 31, 33, 34, 36, 38, 39, 40, 42, 43, 45, 47, 48 (30 số)</t>
        </is>
      </c>
    </row>
    <row r="146">
      <c r="A146" s="2" t="n">
        <v>144</v>
      </c>
      <c r="B146" s="2" t="inlineStr">
        <is>
          <t>Thứ năm ngày 28-05-2026</t>
        </is>
      </c>
      <c r="C146" s="3" t="inlineStr">
        <is>
          <t>54 (Không)</t>
        </is>
      </c>
      <c r="D146" s="3" t="inlineStr">
        <is>
          <t>43 (Trúng)</t>
        </is>
      </c>
      <c r="E146" s="3" t="inlineStr">
        <is>
          <t>42 (Trúng)</t>
        </is>
      </c>
      <c r="F146" s="3" t="inlineStr">
        <is>
          <t>---</t>
        </is>
      </c>
      <c r="G146" s="6" t="inlineStr">
        <is>
          <t>00, 16 (TRƯỢT ❌)</t>
        </is>
      </c>
      <c r="H146" s="7" t="inlineStr">
        <is>
          <t>TRÚNG N2 (Siêu Lọc 🎯)</t>
        </is>
      </c>
      <c r="I146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 (80 số)</t>
        </is>
      </c>
      <c r="J146" s="3" t="inlineStr">
        <is>
          <t>00, 01, 02, 03, 07, 08, 10, 11, 14, 16, 17, 19, 20, 21, 23, 24, 25, 26, 28, 29, 30, 32, 33, 34, 35, 37, 38, 39, 41, 42, 43, 44, 46, 47, 48, 49 (36 số)</t>
        </is>
      </c>
      <c r="K146" s="3" t="inlineStr">
        <is>
          <t>00, 01, 02, 03, 07, 08, 10, 11, 14, 16, 17, 19, 20, 21, 23, 24, 25, 26, 28, 29, 30, 32, 33, 34, 35, 37, 38, 39, 41, 42, 43, 44, 46, 47, 48, 49 (36 số)</t>
        </is>
      </c>
    </row>
    <row r="147">
      <c r="A147" s="2" t="n">
        <v>145</v>
      </c>
      <c r="B147" s="2" t="inlineStr">
        <is>
          <t>Thứ sáu ngày 29-05-2026</t>
        </is>
      </c>
      <c r="C147" s="3" t="inlineStr">
        <is>
          <t>43 (Trúng)</t>
        </is>
      </c>
      <c r="D147" s="3" t="inlineStr">
        <is>
          <t>42 (Không)</t>
        </is>
      </c>
      <c r="E147" s="3" t="inlineStr">
        <is>
          <t>53 (Trúng)</t>
        </is>
      </c>
      <c r="F147" s="3" t="inlineStr">
        <is>
          <t>---</t>
        </is>
      </c>
      <c r="G147" s="6" t="inlineStr">
        <is>
          <t>16, 17 (TRƯỢT ❌)</t>
        </is>
      </c>
      <c r="H147" s="7" t="inlineStr">
        <is>
          <t>TRÚNG N1 🎯</t>
        </is>
      </c>
      <c r="I14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47" s="3" t="inlineStr">
        <is>
          <t>51, 52, 53, 56, 57, 58, 60, 61, 62, 65, 66, 67, 70, 71, 74, 75, 76, 79, 80, 83, 84, 85, 88, 89, 92, 93, 94, 97, 98, 99 (30 số)</t>
        </is>
      </c>
      <c r="K147" s="3" t="inlineStr">
        <is>
          <t>51, 52, 53, 56, 57, 58, 60, 61, 62, 65, 66, 67, 70, 71, 74, 75, 76, 79, 80, 83, 84, 85, 88, 89, 92, 93, 94, 97, 98, 99 (30 số)</t>
        </is>
      </c>
    </row>
    <row r="148">
      <c r="A148" s="2" t="n">
        <v>146</v>
      </c>
      <c r="B148" s="2" t="inlineStr">
        <is>
          <t>Thứ bảy ngày 30-05-2026</t>
        </is>
      </c>
      <c r="C148" s="3" t="inlineStr">
        <is>
          <t>42 (Trúng)</t>
        </is>
      </c>
      <c r="D148" s="3" t="inlineStr">
        <is>
          <t>53 (Trúng)</t>
        </is>
      </c>
      <c r="E148" s="3" t="inlineStr">
        <is>
          <t>23 (Không)</t>
        </is>
      </c>
      <c r="F148" s="3" t="inlineStr">
        <is>
          <t>---</t>
        </is>
      </c>
      <c r="G148" s="6" t="inlineStr">
        <is>
          <t>44, 51 (TRƯỢT ❌)</t>
        </is>
      </c>
      <c r="H148" s="7" t="inlineStr">
        <is>
          <t>TRÚNG N1 🎯</t>
        </is>
      </c>
      <c r="I148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148" s="3" t="inlineStr">
        <is>
          <t>50, 51, 53, 55, 56, 58, 60, 62, 64, 65, 67, 69, 71, 73, 74, 76, 78, 79, 80, 82, 83, 85, 87, 88, 91, 92, 94, 96, 97, 99 (30 số)</t>
        </is>
      </c>
      <c r="K148" s="3" t="inlineStr">
        <is>
          <t>50, 51, 53, 55, 56, 58, 60, 62, 64, 65, 67, 69, 71, 73, 74, 76, 78, 79, 80, 82, 83, 85, 87, 88, 91, 92, 94, 96, 97, 99 (30 số)</t>
        </is>
      </c>
    </row>
    <row r="149">
      <c r="A149" s="2" t="n">
        <v>147</v>
      </c>
      <c r="B149" s="2" t="inlineStr">
        <is>
          <t>Chủ nhật ngày 31-05-2026</t>
        </is>
      </c>
      <c r="C149" s="3" t="inlineStr">
        <is>
          <t>53 (Không)</t>
        </is>
      </c>
      <c r="D149" s="3" t="inlineStr">
        <is>
          <t>23 (Trúng)</t>
        </is>
      </c>
      <c r="E149" s="3" t="inlineStr">
        <is>
          <t>36 (Trúng)</t>
        </is>
      </c>
      <c r="F149" s="3" t="inlineStr">
        <is>
          <t>---</t>
        </is>
      </c>
      <c r="G149" s="6" t="inlineStr">
        <is>
          <t>39, 73 (TRƯỢT ❌)</t>
        </is>
      </c>
      <c r="H149" s="7" t="inlineStr">
        <is>
          <t>TRÚNG N2 (Siêu Lọc 🎯)</t>
        </is>
      </c>
      <c r="I14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49" s="3" t="inlineStr">
        <is>
          <t>00, 02, 04, 05, 07, 09, 11, 13, 14, 16, 18, 19, 20, 22, 23, 25, 27, 28, 31, 32, 34, 36, 37, 39, 40, 41, 43, 45, 46, 48 (30 số)</t>
        </is>
      </c>
      <c r="K149" s="3" t="inlineStr">
        <is>
          <t>00, 02, 04, 05, 07, 09, 11, 13, 14, 16, 18, 19, 20, 22, 23, 25, 27, 28, 31, 32, 34, 36, 37, 39, 40, 41, 43, 45, 46, 48 (30 số)</t>
        </is>
      </c>
    </row>
    <row r="150">
      <c r="A150" s="2" t="n">
        <v>148</v>
      </c>
      <c r="B150" s="2" t="inlineStr">
        <is>
          <t>Thứ hai ngày 01-06-2026</t>
        </is>
      </c>
      <c r="C150" s="3" t="inlineStr">
        <is>
          <t>23 (Không)</t>
        </is>
      </c>
      <c r="D150" s="3" t="inlineStr">
        <is>
          <t>36 (Không)</t>
        </is>
      </c>
      <c r="E150" s="3" t="inlineStr">
        <is>
          <t>83 (Trúng)</t>
        </is>
      </c>
      <c r="F150" s="3" t="inlineStr">
        <is>
          <t>---</t>
        </is>
      </c>
      <c r="G150" s="6" t="inlineStr">
        <is>
          <t>10, 20 (TRƯỢT ❌)</t>
        </is>
      </c>
      <c r="H150" s="7" t="inlineStr">
        <is>
          <t>TRÚNG N3 (Siêu Lọc 🎯)</t>
        </is>
      </c>
      <c r="I15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50" s="3" t="inlineStr">
        <is>
          <t>51, 52, 53, 56, 57, 58, 60, 61, 62, 65, 66, 67, 70, 71, 74, 75, 76, 79, 80, 83, 84, 85, 88, 89, 92, 93, 94, 97, 98, 99 (30 số)</t>
        </is>
      </c>
      <c r="K150" s="3" t="inlineStr">
        <is>
          <t>51, 52, 53, 56, 57, 58, 60, 61, 62, 65, 66, 67, 70, 71, 74, 75, 76, 79, 80, 83, 84, 85, 88, 89, 92, 93, 94, 97, 98, 99 (30 số)</t>
        </is>
      </c>
    </row>
    <row r="151">
      <c r="A151" s="2" t="n">
        <v>149</v>
      </c>
      <c r="B151" s="2" t="inlineStr">
        <is>
          <t>Thứ ba ngày 02-06-2026</t>
        </is>
      </c>
      <c r="C151" s="3" t="inlineStr">
        <is>
          <t>36 (Trúng)</t>
        </is>
      </c>
      <c r="D151" s="3" t="inlineStr">
        <is>
          <t>83 (Trúng)</t>
        </is>
      </c>
      <c r="E151" s="3" t="inlineStr">
        <is>
          <t>78 (Trúng)</t>
        </is>
      </c>
      <c r="F151" s="3" t="inlineStr">
        <is>
          <t>---</t>
        </is>
      </c>
      <c r="G151" s="6" t="inlineStr">
        <is>
          <t>23, 32 (TRƯỢT ❌)</t>
        </is>
      </c>
      <c r="H151" s="7" t="inlineStr">
        <is>
          <t>TRÚNG N1 🎯</t>
        </is>
      </c>
      <c r="I15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151" s="3" t="inlineStr">
        <is>
          <t>50, 51, 54, 55, 56, 59, 60, 63, 64, 65, 68, 69, 72, 73, 74, 77, 78, 79, 81, 82, 83, 86, 87, 88, 90, 91, 92, 95, 96, 97 (30 số)</t>
        </is>
      </c>
      <c r="K151" s="3" t="inlineStr">
        <is>
          <t>50, 51, 54, 55, 56, 59, 60, 63, 64, 65, 68, 69, 72, 73, 74, 77, 78, 79, 81, 82, 83, 86, 87, 88, 90, 91, 92, 95, 96, 97 (30 số)</t>
        </is>
      </c>
    </row>
    <row r="152">
      <c r="A152" s="2" t="n">
        <v>150</v>
      </c>
      <c r="B152" s="2" t="inlineStr">
        <is>
          <t>Thứ tư ngày 03-06-2026</t>
        </is>
      </c>
      <c r="C152" s="3" t="inlineStr">
        <is>
          <t>83 (Không)</t>
        </is>
      </c>
      <c r="D152" s="3" t="inlineStr">
        <is>
          <t>78 (Không)</t>
        </is>
      </c>
      <c r="E152" s="3" t="inlineStr">
        <is>
          <t>65 (Không)</t>
        </is>
      </c>
      <c r="F152" s="3" t="inlineStr">
        <is>
          <t>---</t>
        </is>
      </c>
      <c r="G152" s="6" t="inlineStr">
        <is>
          <t>34, 36 (TRƯỢT ❌)</t>
        </is>
      </c>
      <c r="H152" s="6" t="inlineStr">
        <is>
          <t>TRƯỢT KHUNG ❌</t>
        </is>
      </c>
      <c r="I152" s="3" t="inlineStr">
        <is>
          <t>02, 04, 07, 09, 11, 13, 16, 18, 20, 22, 25, 27, 31, 34, 36, 39, 40, 43, 45, 48, 52, 54, 57, 59, 61, 63, 66, 68, 70, 72, 75, 77, 81, 84, 86, 89, 90, 93, 95, 98 (40 số)</t>
        </is>
      </c>
      <c r="J152" s="3" t="inlineStr">
        <is>
          <t>02, 04, 07, 09, 11, 13, 16, 18, 20, 22, 25, 27, 31, 34, 36, 39, 40, 43, 45, 48 (20 số)</t>
        </is>
      </c>
      <c r="K152" s="3" t="inlineStr">
        <is>
          <t>02, 04, 07, 09, 11, 13, 16, 18, 20, 22, 25, 27, 31, 34, 36, 39, 40, 43, 45, 48 (20 số)</t>
        </is>
      </c>
    </row>
    <row r="153">
      <c r="A153" s="2" t="n">
        <v>151</v>
      </c>
      <c r="B153" s="2" t="inlineStr">
        <is>
          <t>Thứ năm ngày 04-06-2026</t>
        </is>
      </c>
      <c r="C153" s="3" t="inlineStr">
        <is>
          <t>78 (Không)</t>
        </is>
      </c>
      <c r="D153" s="3" t="inlineStr">
        <is>
          <t>65 (Không)</t>
        </is>
      </c>
      <c r="E153" s="3" t="inlineStr">
        <is>
          <t>93 (Không)</t>
        </is>
      </c>
      <c r="F153" s="3" t="inlineStr">
        <is>
          <t>---</t>
        </is>
      </c>
      <c r="G153" s="6" t="inlineStr">
        <is>
          <t>16, 33 (TRƯỢT ❌)</t>
        </is>
      </c>
      <c r="H153" s="6" t="inlineStr">
        <is>
          <t>TRƯỢT KHUNG ❌</t>
        </is>
      </c>
      <c r="I153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53" s="3" t="inlineStr">
        <is>
          <t>01, 02, 03, 06, 07, 08, 10, 11, 12, 15, 16, 17, 20, 21, 24, 25, 26, 29, 30, 33, 34, 35, 38, 39, 42, 43, 44, 47, 48, 49 (30 số)</t>
        </is>
      </c>
      <c r="K153" s="3" t="inlineStr">
        <is>
          <t>01, 02, 03, 06, 07, 08, 10, 11, 12, 15, 16, 17, 20, 21, 24, 25, 26, 29, 30, 33, 34, 35, 38, 39, 42, 43, 44, 47, 48, 49 (30 số)</t>
        </is>
      </c>
    </row>
    <row r="154">
      <c r="A154" s="2" t="n">
        <v>152</v>
      </c>
      <c r="B154" s="2" t="inlineStr">
        <is>
          <t>Thứ sáu ngày 05-06-2026</t>
        </is>
      </c>
      <c r="C154" s="3" t="inlineStr">
        <is>
          <t>65 (Không)</t>
        </is>
      </c>
      <c r="D154" s="3" t="inlineStr">
        <is>
          <t>93 (Không)</t>
        </is>
      </c>
      <c r="E154" s="3" t="inlineStr">
        <is>
          <t>05 (Trúng)</t>
        </is>
      </c>
      <c r="F154" s="3" t="inlineStr">
        <is>
          <t>---</t>
        </is>
      </c>
      <c r="G154" s="6" t="inlineStr">
        <is>
          <t>46, 49 (TRƯỢT ❌)</t>
        </is>
      </c>
      <c r="H154" s="7" t="inlineStr">
        <is>
          <t>TRÚNG N3 (Siêu Lọc 🎯)</t>
        </is>
      </c>
      <c r="I15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154" s="3" t="inlineStr">
        <is>
          <t>00, 02, 03, 05, 07, 08, 11, 12, 14, 16, 17, 19, 20, 21, 23, 25, 26, 28, 30, 32, 34, 35, 37, 39, 41, 43, 44, 46, 48, 49 (30 số)</t>
        </is>
      </c>
      <c r="K154" s="3" t="inlineStr">
        <is>
          <t>00, 02, 03, 05, 07, 08, 11, 12, 14, 16, 17, 19, 20, 21, 23, 25, 26, 28, 30, 32, 34, 35, 37, 39, 41, 43, 44, 46, 48, 49 (30 số)</t>
        </is>
      </c>
    </row>
    <row r="155">
      <c r="A155" s="2" t="n">
        <v>153</v>
      </c>
      <c r="B155" s="2" t="inlineStr">
        <is>
          <t>Thứ bảy ngày 06-06-2026</t>
        </is>
      </c>
      <c r="C155" s="3" t="inlineStr">
        <is>
          <t>93 (Trúng)</t>
        </is>
      </c>
      <c r="D155" s="3" t="inlineStr">
        <is>
          <t>05 (Trúng)</t>
        </is>
      </c>
      <c r="E155" s="3" t="inlineStr">
        <is>
          <t>51 (Không)</t>
        </is>
      </c>
      <c r="F155" s="3" t="inlineStr">
        <is>
          <t>---</t>
        </is>
      </c>
      <c r="G155" s="6" t="inlineStr">
        <is>
          <t>32, 52 (TRƯỢT ❌)</t>
        </is>
      </c>
      <c r="H155" s="7" t="inlineStr">
        <is>
          <t>TRÚNG N1 🎯</t>
        </is>
      </c>
      <c r="I15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155" s="3" t="inlineStr">
        <is>
          <t>00, 02, 03, 05, 07, 08, 11, 12, 14, 16, 17, 19, 20, 21, 23, 25, 26, 28, 30, 32, 34, 35, 37, 39, 41, 43, 44, 46, 48, 49 (30 số)</t>
        </is>
      </c>
      <c r="K155" s="3" t="inlineStr">
        <is>
          <t>00, 02, 03, 05, 07, 08, 11, 12, 14, 16, 17, 19, 20, 21, 23, 25, 26, 28, 30, 32, 34, 35, 37, 39, 41, 43, 44, 46, 48, 49 (30 số)</t>
        </is>
      </c>
    </row>
    <row r="156">
      <c r="A156" s="2" t="n">
        <v>154</v>
      </c>
      <c r="B156" s="2" t="inlineStr">
        <is>
          <t>Chủ nhật ngày 07-06-2026</t>
        </is>
      </c>
      <c r="C156" s="3" t="inlineStr">
        <is>
          <t>05 (Trúng)</t>
        </is>
      </c>
      <c r="D156" s="3" t="inlineStr">
        <is>
          <t>51 (Trúng)</t>
        </is>
      </c>
      <c r="E156" s="3" t="inlineStr">
        <is>
          <t>08 (Không)</t>
        </is>
      </c>
      <c r="F156" s="3" t="inlineStr">
        <is>
          <t>---</t>
        </is>
      </c>
      <c r="G156" s="6" t="inlineStr">
        <is>
          <t>09, 11 (TRƯỢT ❌)</t>
        </is>
      </c>
      <c r="H156" s="7" t="inlineStr">
        <is>
          <t>TRÚNG N1 🎯</t>
        </is>
      </c>
      <c r="I156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 (80 số)</t>
        </is>
      </c>
      <c r="J156" s="3" t="inlineStr">
        <is>
          <t>50, 51, 52, 54, 55, 57, 59, 60, 61, 63, 64, 66, 68, 70, 72, 73, 74, 75, 77, 78, 79, 81, 82, 83, 84, 86, 87, 88, 89, 90, 91, 93, 95, 96, 97, 98 (36 số)</t>
        </is>
      </c>
      <c r="K156" s="3" t="inlineStr">
        <is>
          <t>50, 51, 52, 54, 55, 57, 59, 60, 61, 63, 64, 66, 68, 70, 72, 73, 74, 75, 77, 78, 79, 81, 82, 83, 84, 86, 87, 88, 89, 90, 91, 93, 95, 96, 97, 98 (36 số)</t>
        </is>
      </c>
    </row>
    <row r="157">
      <c r="A157" s="2" t="n">
        <v>155</v>
      </c>
      <c r="B157" s="2" t="inlineStr">
        <is>
          <t>Thứ hai ngày 08-06-2026</t>
        </is>
      </c>
      <c r="C157" s="3" t="inlineStr">
        <is>
          <t>51 (Không)</t>
        </is>
      </c>
      <c r="D157" s="3" t="inlineStr">
        <is>
          <t>08 (Trúng)</t>
        </is>
      </c>
      <c r="E157" s="3" t="inlineStr">
        <is>
          <t>83 (Không)</t>
        </is>
      </c>
      <c r="F157" s="3" t="inlineStr">
        <is>
          <t>---</t>
        </is>
      </c>
      <c r="G157" s="6" t="inlineStr">
        <is>
          <t>07, 21 (TRƯỢT ❌)</t>
        </is>
      </c>
      <c r="H157" s="7" t="inlineStr">
        <is>
          <t>TRÚNG N2 (Siêu Lọc 🎯)</t>
        </is>
      </c>
      <c r="I15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57" s="3" t="inlineStr">
        <is>
          <t>02, 03, 04, 07, 08, 09, 11, 12, 13, 16, 17, 18, 20, 21, 22, 25, 26, 27, 30, 31, 34, 35, 36, 39, 40, 43, 44, 45, 48, 49 (30 số)</t>
        </is>
      </c>
      <c r="K157" s="3" t="inlineStr">
        <is>
          <t>02, 03, 04, 07, 08, 09, 11, 12, 13, 16, 17, 18, 20, 21, 22, 25, 26, 27, 30, 31, 34, 35, 36, 39, 40, 43, 44, 45, 48, 49 (30 số)</t>
        </is>
      </c>
    </row>
    <row r="158">
      <c r="A158" s="2" t="n">
        <v>156</v>
      </c>
      <c r="B158" s="2" t="inlineStr">
        <is>
          <t>Thứ ba ngày 09-06-2026</t>
        </is>
      </c>
      <c r="C158" s="3" t="inlineStr">
        <is>
          <t>08 (Trúng)</t>
        </is>
      </c>
      <c r="D158" s="3" t="inlineStr">
        <is>
          <t>83 (Trúng)</t>
        </is>
      </c>
      <c r="E158" s="3" t="inlineStr">
        <is>
          <t>89 (Không)</t>
        </is>
      </c>
      <c r="F158" s="3" t="inlineStr">
        <is>
          <t>---</t>
        </is>
      </c>
      <c r="G158" s="6" t="inlineStr">
        <is>
          <t>10, 47 (TRƯỢT ❌)</t>
        </is>
      </c>
      <c r="H158" s="7" t="inlineStr">
        <is>
          <t>TRÚNG N1 🎯</t>
        </is>
      </c>
      <c r="I15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158" s="3" t="inlineStr">
        <is>
          <t>51, 53, 54, 56, 58, 59, 60, 62, 63, 65, 67, 68, 71, 72, 74, 76, 77, 79, 80, 81, 83, 85, 86, 88, 90, 92, 94, 95, 97, 99 (30 số)</t>
        </is>
      </c>
      <c r="K158" s="3" t="inlineStr">
        <is>
          <t>51, 53, 54, 56, 58, 59, 60, 62, 63, 65, 67, 68, 71, 72, 74, 76, 77, 79, 80, 81, 83, 85, 86, 88, 90, 92, 94, 95, 97, 99 (30 số)</t>
        </is>
      </c>
    </row>
    <row r="159">
      <c r="A159" s="2" t="n">
        <v>157</v>
      </c>
      <c r="B159" s="2" t="inlineStr">
        <is>
          <t>Thứ tư ngày 10-06-2026</t>
        </is>
      </c>
      <c r="C159" s="3" t="inlineStr">
        <is>
          <t>83 (Không)</t>
        </is>
      </c>
      <c r="D159" s="3" t="inlineStr">
        <is>
          <t>89 (Không)</t>
        </is>
      </c>
      <c r="E159" s="3" t="inlineStr">
        <is>
          <t>14 (Trúng)</t>
        </is>
      </c>
      <c r="F159" s="3" t="inlineStr">
        <is>
          <t>---</t>
        </is>
      </c>
      <c r="G159" s="6" t="inlineStr">
        <is>
          <t>05, 07 (TRƯỢT ❌)</t>
        </is>
      </c>
      <c r="H159" s="7" t="inlineStr">
        <is>
          <t>TRÚNG N3 (Siêu Lọc 🎯)</t>
        </is>
      </c>
      <c r="I15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59" s="3" t="inlineStr">
        <is>
          <t>00, 02, 04, 05, 07, 09, 11, 13, 14, 16, 18, 19, 20, 22, 23, 25, 27, 28, 31, 32, 34, 36, 37, 39, 40, 41, 43, 45, 46, 48 (30 số)</t>
        </is>
      </c>
      <c r="K159" s="3" t="inlineStr">
        <is>
          <t>00, 02, 04, 05, 07, 09, 11, 13, 14, 16, 18, 19, 20, 22, 23, 25, 27, 28, 31, 32, 34, 36, 37, 39, 40, 41, 43, 45, 46, 48 (30 số)</t>
        </is>
      </c>
    </row>
    <row r="160">
      <c r="A160" s="2" t="n">
        <v>158</v>
      </c>
      <c r="B160" s="2" t="inlineStr">
        <is>
          <t>Thứ năm ngày 11-06-2026</t>
        </is>
      </c>
      <c r="C160" s="3" t="inlineStr">
        <is>
          <t>89 (Trúng)</t>
        </is>
      </c>
      <c r="D160" s="3" t="inlineStr">
        <is>
          <t>14 (Không)</t>
        </is>
      </c>
      <c r="E160" s="3" t="inlineStr">
        <is>
          <t>00 (Không)</t>
        </is>
      </c>
      <c r="F160" s="3" t="inlineStr">
        <is>
          <t>---</t>
        </is>
      </c>
      <c r="G160" s="6" t="inlineStr">
        <is>
          <t>20, 54 (TRƯỢT ❌)</t>
        </is>
      </c>
      <c r="H160" s="7" t="inlineStr">
        <is>
          <t>TRÚNG N1 🎯</t>
        </is>
      </c>
      <c r="I160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60" s="3" t="inlineStr">
        <is>
          <t>01, 02, 04, 06, 07, 09, 10, 11, 13, 15, 16, 18, 20, 22, 24, 25, 27, 29, 31, 33, 34, 36, 38, 39, 40, 42, 43, 45, 47, 48 (30 số)</t>
        </is>
      </c>
      <c r="K160" s="3" t="inlineStr">
        <is>
          <t>01, 02, 04, 06, 07, 09, 10, 11, 13, 15, 16, 18, 20, 22, 24, 25, 27, 29, 31, 33, 34, 36, 38, 39, 40, 42, 43, 45, 47, 48 (30 số)</t>
        </is>
      </c>
    </row>
    <row r="161">
      <c r="A161" s="2" t="n">
        <v>159</v>
      </c>
      <c r="B161" s="2" t="inlineStr">
        <is>
          <t>Thứ sáu ngày 12-06-2026</t>
        </is>
      </c>
      <c r="C161" s="3" t="inlineStr">
        <is>
          <t>14 (Không)</t>
        </is>
      </c>
      <c r="D161" s="3" t="inlineStr">
        <is>
          <t>00 (Không)</t>
        </is>
      </c>
      <c r="E161" s="3" t="inlineStr">
        <is>
          <t>80 (Trúng)</t>
        </is>
      </c>
      <c r="F161" s="3" t="inlineStr">
        <is>
          <t>---</t>
        </is>
      </c>
      <c r="G161" s="6" t="inlineStr">
        <is>
          <t>26, 47 (TRƯỢT ❌)</t>
        </is>
      </c>
      <c r="H161" s="7" t="inlineStr">
        <is>
          <t>TRÚNG N3 (Siêu Lọc 🎯)</t>
        </is>
      </c>
      <c r="I161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61" s="3" t="inlineStr">
        <is>
          <t>51, 52, 53, 56, 57, 58, 60, 61, 62, 65, 66, 67, 70, 71, 74, 75, 76, 79, 80, 83, 84, 85, 88, 89, 92, 93, 94, 97, 98, 99 (30 số)</t>
        </is>
      </c>
      <c r="K161" s="3" t="inlineStr">
        <is>
          <t>51, 52, 53, 56, 57, 58, 60, 61, 62, 65, 66, 67, 70, 71, 74, 75, 76, 79, 80, 83, 84, 85, 88, 89, 92, 93, 94, 97, 98, 99 (30 số)</t>
        </is>
      </c>
    </row>
    <row r="162">
      <c r="A162" s="2" t="n">
        <v>160</v>
      </c>
      <c r="B162" s="2" t="inlineStr">
        <is>
          <t>Thứ bảy ngày 13-06-2026</t>
        </is>
      </c>
      <c r="C162" s="3" t="inlineStr">
        <is>
          <t>00 (Không)</t>
        </is>
      </c>
      <c r="D162" s="3" t="inlineStr">
        <is>
          <t>80 (Trúng)</t>
        </is>
      </c>
      <c r="E162" s="3" t="inlineStr">
        <is>
          <t>84 (Trúng)</t>
        </is>
      </c>
      <c r="F162" s="3" t="inlineStr">
        <is>
          <t>---</t>
        </is>
      </c>
      <c r="G162" s="6" t="inlineStr">
        <is>
          <t>01, 44 (TRƯỢT ❌)</t>
        </is>
      </c>
      <c r="H162" s="7" t="inlineStr">
        <is>
          <t>TRÚNG N2 (Siêu Lọc 🎯)</t>
        </is>
      </c>
      <c r="I162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 (80 số)</t>
        </is>
      </c>
      <c r="J162" s="3" t="inlineStr">
        <is>
          <t>51, 52, 53, 54, 56, 57, 58, 59, 60, 61, 63, 66, 67, 68, 70, 71, 72, 74, 75, 77, 79, 80, 81, 83, 84, 86, 88, 89, 90, 92, 93, 94, 95, 97, 98, 99 (36 số)</t>
        </is>
      </c>
      <c r="K162" s="3" t="inlineStr">
        <is>
          <t>51, 52, 53, 54, 56, 57, 58, 59, 60, 61, 63, 66, 67, 68, 70, 71, 72, 74, 75, 77, 79, 80, 81, 83, 84, 86, 88, 89, 90, 92, 93, 94, 95, 97, 98, 99 (36 số)</t>
        </is>
      </c>
    </row>
    <row r="163">
      <c r="A163" s="2" t="n">
        <v>161</v>
      </c>
      <c r="B163" s="2" t="inlineStr">
        <is>
          <t>Chủ nhật ngày 14-06-2026</t>
        </is>
      </c>
      <c r="C163" s="3" t="inlineStr">
        <is>
          <t>80 (Trúng)</t>
        </is>
      </c>
      <c r="D163" s="3" t="inlineStr">
        <is>
          <t>84 (Không)</t>
        </is>
      </c>
      <c r="E163" s="3" t="inlineStr">
        <is>
          <t>03 (Trúng)</t>
        </is>
      </c>
      <c r="F163" s="3" t="inlineStr">
        <is>
          <t>---</t>
        </is>
      </c>
      <c r="G163" s="6" t="inlineStr">
        <is>
          <t>00, 38 (TRƯỢT ❌)</t>
        </is>
      </c>
      <c r="H163" s="7" t="inlineStr">
        <is>
          <t>TRÚNG N1 🎯</t>
        </is>
      </c>
      <c r="I163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 (80 số)</t>
        </is>
      </c>
      <c r="J163" s="3" t="inlineStr">
        <is>
          <t>00, 01, 02, 03, 07, 08, 10, 11, 14, 16, 17, 19, 20, 21, 23, 24, 25, 26, 28, 29, 30, 32, 33, 34, 35, 37, 38, 39, 41, 42, 43, 44, 46, 47, 48, 49 (36 số)</t>
        </is>
      </c>
      <c r="K163" s="3" t="inlineStr">
        <is>
          <t>00, 01, 02, 03, 07, 08, 10, 11, 14, 16, 17, 19, 20, 21, 23, 24, 25, 26, 28, 29, 30, 32, 33, 34, 35, 37, 38, 39, 41, 42, 43, 44, 46, 47, 48, 49 (36 số)</t>
        </is>
      </c>
    </row>
    <row r="164">
      <c r="A164" s="2" t="n">
        <v>162</v>
      </c>
      <c r="B164" s="2" t="inlineStr">
        <is>
          <t>Thứ hai ngày 15-06-2026</t>
        </is>
      </c>
      <c r="C164" s="3" t="inlineStr">
        <is>
          <t>84 (Không)</t>
        </is>
      </c>
      <c r="D164" s="3" t="inlineStr">
        <is>
          <t>03 (Trúng)</t>
        </is>
      </c>
      <c r="E164" s="3" t="inlineStr">
        <is>
          <t>32 (Trúng)</t>
        </is>
      </c>
      <c r="F164" s="3" t="inlineStr">
        <is>
          <t>---</t>
        </is>
      </c>
      <c r="G164" s="6" t="inlineStr">
        <is>
          <t>00, 27 (TRƯỢT ❌)</t>
        </is>
      </c>
      <c r="H164" s="7" t="inlineStr">
        <is>
          <t>TRÚNG N2 (Siêu Lọc 🎯)</t>
        </is>
      </c>
      <c r="I16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164" s="3" t="inlineStr">
        <is>
          <t>00, 03, 04, 05, 08, 09, 12, 13, 14, 17, 18, 19, 21, 22, 23, 26, 27, 28, 30, 31, 32, 35, 36, 37, 40, 41, 44, 45, 46, 49 (30 số)</t>
        </is>
      </c>
      <c r="K164" s="3" t="inlineStr">
        <is>
          <t>00, 03, 04, 05, 08, 09, 12, 13, 14, 17, 18, 19, 21, 22, 23, 26, 27, 28, 30, 31, 32, 35, 36, 37, 40, 41, 44, 45, 46, 49 (30 số)</t>
        </is>
      </c>
    </row>
    <row r="165">
      <c r="A165" s="2" t="n">
        <v>163</v>
      </c>
      <c r="B165" s="2" t="inlineStr">
        <is>
          <t>Thứ ba ngày 16-06-2026</t>
        </is>
      </c>
      <c r="C165" s="3" t="inlineStr">
        <is>
          <t>03 (Không)</t>
        </is>
      </c>
      <c r="D165" s="3" t="inlineStr">
        <is>
          <t>32 (Không)</t>
        </is>
      </c>
      <c r="E165" s="3" t="inlineStr">
        <is>
          <t>55 (Trúng)</t>
        </is>
      </c>
      <c r="F165" s="3" t="inlineStr">
        <is>
          <t>---</t>
        </is>
      </c>
      <c r="G165" s="7" t="inlineStr">
        <is>
          <t>11, 55 (TRÚNG 🎯)</t>
        </is>
      </c>
      <c r="H165" s="7" t="inlineStr">
        <is>
          <t>TRÚNG N3 (Siêu Lọc 🎯)</t>
        </is>
      </c>
      <c r="I16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65" s="3" t="inlineStr">
        <is>
          <t>50, 52, 54, 55, 57, 59, 61, 63, 64, 66, 68, 69, 70, 72, 73, 75, 77, 78, 81, 82, 84, 86, 87, 89, 90, 91, 93, 95, 96, 98 (30 số)</t>
        </is>
      </c>
      <c r="K165" s="3" t="inlineStr">
        <is>
          <t>50, 52, 54, 55, 57, 59, 61, 63, 64, 66, 68, 69, 70, 72, 73, 75, 77, 78, 81, 82, 84, 86, 87, 89, 90, 91, 93, 95, 96, 98 (30 số)</t>
        </is>
      </c>
    </row>
    <row r="166">
      <c r="A166" s="2" t="n">
        <v>164</v>
      </c>
      <c r="B166" s="2" t="inlineStr">
        <is>
          <t>Thứ tư ngày 17-06-2026</t>
        </is>
      </c>
      <c r="C166" s="3" t="inlineStr">
        <is>
          <t>32 (Không)</t>
        </is>
      </c>
      <c r="D166" s="3" t="inlineStr">
        <is>
          <t>55 (Không)</t>
        </is>
      </c>
      <c r="E166" s="3" t="inlineStr">
        <is>
          <t>60 (Trúng)</t>
        </is>
      </c>
      <c r="F166" s="3" t="inlineStr">
        <is>
          <t>---</t>
        </is>
      </c>
      <c r="G166" s="6" t="inlineStr">
        <is>
          <t>03, 16 (TRƯỢT ❌)</t>
        </is>
      </c>
      <c r="H166" s="7" t="inlineStr">
        <is>
          <t>TRÚNG N3 (Siêu Lọc 🎯)</t>
        </is>
      </c>
      <c r="I16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66" s="3" t="inlineStr">
        <is>
          <t>51, 52, 53, 56, 57, 58, 60, 61, 62, 65, 66, 67, 70, 71, 74, 75, 76, 79, 80, 83, 84, 85, 88, 89, 92, 93, 94, 97, 98, 99 (30 số)</t>
        </is>
      </c>
      <c r="K166" s="3" t="inlineStr">
        <is>
          <t>51, 52, 53, 56, 57, 58, 60, 61, 62, 65, 66, 67, 70, 71, 74, 75, 76, 79, 80, 83, 84, 85, 88, 89, 92, 93, 94, 97, 98, 99 (30 số)</t>
        </is>
      </c>
    </row>
    <row r="167">
      <c r="A167" s="2" t="n">
        <v>165</v>
      </c>
      <c r="B167" s="2" t="inlineStr">
        <is>
          <t>Thứ năm ngày 18-06-2026</t>
        </is>
      </c>
      <c r="C167" s="3" t="inlineStr">
        <is>
          <t>55 (Trúng)</t>
        </is>
      </c>
      <c r="D167" s="3" t="inlineStr">
        <is>
          <t>60 (Không)</t>
        </is>
      </c>
      <c r="E167" s="3" t="inlineStr">
        <is>
          <t>83 (Không)</t>
        </is>
      </c>
      <c r="F167" s="3" t="inlineStr">
        <is>
          <t>---</t>
        </is>
      </c>
      <c r="G167" s="6" t="inlineStr">
        <is>
          <t>05, 08 (TRƯỢT ❌)</t>
        </is>
      </c>
      <c r="H167" s="7" t="inlineStr">
        <is>
          <t>TRÚNG N1 🎯</t>
        </is>
      </c>
      <c r="I167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 (80 số)</t>
        </is>
      </c>
      <c r="J167" s="3" t="inlineStr">
        <is>
          <t>00, 01, 03, 04, 08, 09, 10, 13, 14, 17, 18, 19, 21, 22, 23, 24, 26, 27, 28, 29, 30, 31, 32, 33, 35, 36, 37, 38, 40, 41, 42, 44, 45, 46, 47, 49 (36 số)</t>
        </is>
      </c>
      <c r="K167" s="3" t="inlineStr">
        <is>
          <t>00, 01, 03, 04, 08, 09, 10, 13, 14, 17, 18, 19, 21, 22, 23, 24, 26, 27, 28, 29, 30, 31, 32, 33, 35, 36, 37, 38, 40, 41, 42, 44, 45, 46, 47, 49 (36 số)</t>
        </is>
      </c>
    </row>
    <row r="168">
      <c r="A168" s="2" t="n">
        <v>166</v>
      </c>
      <c r="B168" s="2" t="inlineStr">
        <is>
          <t>Thứ sáu ngày 19-06-2026</t>
        </is>
      </c>
      <c r="C168" s="3" t="inlineStr">
        <is>
          <t>60 (Không)</t>
        </is>
      </c>
      <c r="D168" s="3" t="inlineStr">
        <is>
          <t>83 (Không)</t>
        </is>
      </c>
      <c r="E168" s="3" t="inlineStr">
        <is>
          <t>36 (Không)</t>
        </is>
      </c>
      <c r="F168" s="3" t="inlineStr">
        <is>
          <t>---</t>
        </is>
      </c>
      <c r="G168" s="6" t="inlineStr">
        <is>
          <t>35, 44 (TRƯỢT ❌)</t>
        </is>
      </c>
      <c r="H168" s="6" t="inlineStr">
        <is>
          <t>TRƯỢT KHUNG ❌</t>
        </is>
      </c>
      <c r="I168" s="3" t="inlineStr">
        <is>
          <t>00, 03, 05, 08, 12, 14, 17, 19, 21, 23, 26, 28, 30, 32, 35, 37, 41, 44, 46, 49, 50, 53, 55, 58, 62, 64, 67, 69, 71, 73, 76, 78, 80, 82, 85, 87, 91, 94, 96, 99 (40 số)</t>
        </is>
      </c>
      <c r="J168" s="3" t="inlineStr">
        <is>
          <t>00, 03, 05, 08, 12, 14, 17, 19, 21, 23, 26, 28, 30, 32, 35, 37, 41, 44, 46, 49 (20 số)</t>
        </is>
      </c>
      <c r="K168" s="3" t="inlineStr">
        <is>
          <t>00, 03, 05, 08, 12, 14, 17, 19, 21, 23, 26, 28, 30, 32, 35, 37, 41, 44, 46, 49 (20 số)</t>
        </is>
      </c>
    </row>
    <row r="169">
      <c r="A169" s="2" t="n">
        <v>167</v>
      </c>
      <c r="B169" s="2" t="inlineStr">
        <is>
          <t>Thứ bảy ngày 20-06-2026</t>
        </is>
      </c>
      <c r="C169" s="3" t="inlineStr">
        <is>
          <t>83 (Không)</t>
        </is>
      </c>
      <c r="D169" s="3" t="inlineStr">
        <is>
          <t>36 (Trúng)</t>
        </is>
      </c>
      <c r="E169" s="3" t="inlineStr">
        <is>
          <t>37 (Trúng)</t>
        </is>
      </c>
      <c r="F169" s="3" t="inlineStr">
        <is>
          <t>---</t>
        </is>
      </c>
      <c r="G169" s="6" t="inlineStr">
        <is>
          <t>68, 76 (TRƯỢT ❌)</t>
        </is>
      </c>
      <c r="H169" s="7" t="inlineStr">
        <is>
          <t>TRÚNG N2 (Siêu Lọc 🎯)</t>
        </is>
      </c>
      <c r="I169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169" s="3" t="inlineStr">
        <is>
          <t>00, 03, 04, 05, 08, 09, 12, 13, 14, 17, 18, 19, 21, 22, 23, 26, 27, 28, 30, 31, 32, 35, 36, 37, 40, 41, 44, 45, 46, 49 (30 số)</t>
        </is>
      </c>
      <c r="K169" s="3" t="inlineStr">
        <is>
          <t>00, 03, 04, 05, 08, 09, 12, 13, 14, 17, 18, 19, 21, 22, 23, 26, 27, 28, 30, 31, 32, 35, 36, 37, 40, 41, 44, 45, 46, 49 (30 số)</t>
        </is>
      </c>
    </row>
    <row r="170">
      <c r="A170" s="2" t="n">
        <v>168</v>
      </c>
      <c r="B170" s="2" t="inlineStr">
        <is>
          <t>Chủ nhật ngày 21-06-2026</t>
        </is>
      </c>
      <c r="C170" s="3" t="inlineStr">
        <is>
          <t>36 (Trúng)</t>
        </is>
      </c>
      <c r="D170" s="3" t="inlineStr">
        <is>
          <t>37 (Không)</t>
        </is>
      </c>
      <c r="E170" s="3" t="inlineStr">
        <is>
          <t>51 (Trúng)</t>
        </is>
      </c>
      <c r="F170" s="3" t="inlineStr">
        <is>
          <t>---</t>
        </is>
      </c>
      <c r="G170" s="6" t="inlineStr">
        <is>
          <t>07, 13 (TRƯỢT ❌)</t>
        </is>
      </c>
      <c r="H170" s="7" t="inlineStr">
        <is>
          <t>TRÚNG N1 🎯</t>
        </is>
      </c>
      <c r="I170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 (80 số)</t>
        </is>
      </c>
      <c r="J170" s="3" t="inlineStr">
        <is>
          <t>51, 52, 53, 54, 56, 57, 58, 59, 60, 61, 63, 66, 67, 68, 70, 71, 72, 74, 75, 77, 79, 80, 81, 83, 84, 86, 88, 89, 90, 92, 93, 94, 95, 97, 98, 99 (36 số)</t>
        </is>
      </c>
      <c r="K170" s="3" t="inlineStr">
        <is>
          <t>51, 52, 53, 54, 56, 57, 58, 59, 60, 61, 63, 66, 67, 68, 70, 71, 72, 74, 75, 77, 79, 80, 81, 83, 84, 86, 88, 89, 90, 92, 93, 94, 95, 97, 98, 99 (36 số)</t>
        </is>
      </c>
    </row>
    <row r="171">
      <c r="A171" s="2" t="n">
        <v>169</v>
      </c>
      <c r="B171" s="2" t="inlineStr">
        <is>
          <t>Thứ hai ngày 22-06-2026</t>
        </is>
      </c>
      <c r="C171" s="3" t="inlineStr">
        <is>
          <t>37 (Trúng)</t>
        </is>
      </c>
      <c r="D171" s="3" t="inlineStr">
        <is>
          <t>51 (Trúng)</t>
        </is>
      </c>
      <c r="E171" s="3" t="inlineStr">
        <is>
          <t>16 (Không)</t>
        </is>
      </c>
      <c r="F171" s="3" t="inlineStr">
        <is>
          <t>---</t>
        </is>
      </c>
      <c r="G171" s="6" t="inlineStr">
        <is>
          <t>23, 36 (TRƯỢT ❌)</t>
        </is>
      </c>
      <c r="H171" s="7" t="inlineStr">
        <is>
          <t>TRÚNG N1 🎯</t>
        </is>
      </c>
      <c r="I17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171" s="3" t="inlineStr">
        <is>
          <t>50, 51, 54, 55, 56, 59, 60, 63, 64, 65, 68, 69, 72, 73, 74, 77, 78, 79, 81, 82, 83, 86, 87, 88, 90, 91, 92, 95, 96, 97 (30 số)</t>
        </is>
      </c>
      <c r="K171" s="3" t="inlineStr">
        <is>
          <t>50, 51, 54, 55, 56, 59, 60, 63, 64, 65, 68, 69, 72, 73, 74, 77, 78, 79, 81, 82, 83, 86, 87, 88, 90, 91, 92, 95, 96, 97 (30 số)</t>
        </is>
      </c>
    </row>
    <row r="172">
      <c r="A172" s="2" t="n">
        <v>170</v>
      </c>
      <c r="B172" s="2" t="inlineStr">
        <is>
          <t>Thứ ba ngày 23-06-2026</t>
        </is>
      </c>
      <c r="C172" s="3" t="inlineStr">
        <is>
          <t>51 (Trúng)</t>
        </is>
      </c>
      <c r="D172" s="3" t="inlineStr">
        <is>
          <t>16 (Trúng)</t>
        </is>
      </c>
      <c r="E172" s="3" t="inlineStr">
        <is>
          <t>04 (Không)</t>
        </is>
      </c>
      <c r="F172" s="3" t="inlineStr">
        <is>
          <t>---</t>
        </is>
      </c>
      <c r="G172" s="6" t="inlineStr">
        <is>
          <t>38, 62 (TRƯỢT ❌)</t>
        </is>
      </c>
      <c r="H172" s="7" t="inlineStr">
        <is>
          <t>TRÚNG N1 🎯</t>
        </is>
      </c>
      <c r="I172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72" s="3" t="inlineStr">
        <is>
          <t>01, 02, 03, 06, 07, 08, 10, 11, 12, 15, 16, 17, 20, 21, 24, 25, 26, 29, 30, 33, 34, 35, 38, 39, 42, 43, 44, 47, 48, 49 (30 số)</t>
        </is>
      </c>
      <c r="K172" s="3" t="inlineStr">
        <is>
          <t>01, 02, 03, 06, 07, 08, 10, 11, 12, 15, 16, 17, 20, 21, 24, 25, 26, 29, 30, 33, 34, 35, 38, 39, 42, 43, 44, 47, 48, 49 (30 số)</t>
        </is>
      </c>
    </row>
    <row r="173">
      <c r="A173" s="2" t="n">
        <v>171</v>
      </c>
      <c r="B173" s="2" t="inlineStr">
        <is>
          <t>Thứ tư ngày 24-06-2026</t>
        </is>
      </c>
      <c r="C173" s="3" t="inlineStr">
        <is>
          <t>16 (Trúng)</t>
        </is>
      </c>
      <c r="D173" s="3" t="inlineStr">
        <is>
          <t>04 (Không)</t>
        </is>
      </c>
      <c r="E173" s="3" t="inlineStr">
        <is>
          <t>53 (Trúng)</t>
        </is>
      </c>
      <c r="F173" s="3" t="inlineStr">
        <is>
          <t>---</t>
        </is>
      </c>
      <c r="G173" s="6" t="inlineStr">
        <is>
          <t>21, 54 (TRƯỢT ❌)</t>
        </is>
      </c>
      <c r="H173" s="7" t="inlineStr">
        <is>
          <t>TRÚNG N1 🎯</t>
        </is>
      </c>
      <c r="I17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73" s="3" t="inlineStr">
        <is>
          <t>52, 53, 54, 57, 58, 59, 61, 62, 63, 66, 67, 68, 70, 71, 72, 75, 76, 77, 80, 81, 84, 85, 86, 89, 90, 93, 94, 95, 98, 99 (30 số)</t>
        </is>
      </c>
      <c r="K173" s="3" t="inlineStr">
        <is>
          <t>52, 53, 54, 57, 58, 59, 61, 62, 63, 66, 67, 68, 70, 71, 72, 75, 76, 77, 80, 81, 84, 85, 86, 89, 90, 93, 94, 95, 98, 99 (30 số)</t>
        </is>
      </c>
    </row>
    <row r="174">
      <c r="A174" s="2" t="n">
        <v>172</v>
      </c>
      <c r="B174" s="2" t="inlineStr">
        <is>
          <t>Thứ năm ngày 25-06-2026</t>
        </is>
      </c>
      <c r="C174" s="3" t="inlineStr">
        <is>
          <t>04 (Trúng)</t>
        </is>
      </c>
      <c r="D174" s="3" t="inlineStr">
        <is>
          <t>53 (Trúng)</t>
        </is>
      </c>
      <c r="E174" s="3" t="inlineStr">
        <is>
          <t>52 (Không)</t>
        </is>
      </c>
      <c r="F174" s="3" t="inlineStr">
        <is>
          <t>---</t>
        </is>
      </c>
      <c r="G174" s="6" t="inlineStr">
        <is>
          <t>03, 36 (TRƯỢT ❌)</t>
        </is>
      </c>
      <c r="H174" s="7" t="inlineStr">
        <is>
          <t>TRÚNG N1 🎯</t>
        </is>
      </c>
      <c r="I174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 (80 số)</t>
        </is>
      </c>
      <c r="J174" s="3" t="inlineStr">
        <is>
          <t>50, 51, 53, 54, 55, 56, 58, 59, 60, 63, 64, 67, 68, 69, 71, 72, 73, 74, 77, 78, 79, 80, 81, 82, 83, 86, 87, 88, 90, 91, 92, 94, 95, 96, 97, 99 (36 số)</t>
        </is>
      </c>
      <c r="K174" s="3" t="inlineStr">
        <is>
          <t>50, 51, 53, 54, 55, 56, 58, 59, 60, 63, 64, 67, 68, 69, 71, 72, 73, 74, 77, 78, 79, 80, 81, 82, 83, 86, 87, 88, 90, 91, 92, 94, 95, 96, 97, 99 (36 số)</t>
        </is>
      </c>
    </row>
    <row r="175">
      <c r="A175" s="2" t="n">
        <v>173</v>
      </c>
      <c r="B175" s="2" t="inlineStr">
        <is>
          <t>Thứ sáu ngày 26-06-2026</t>
        </is>
      </c>
      <c r="C175" s="3" t="inlineStr">
        <is>
          <t>53 (Không)</t>
        </is>
      </c>
      <c r="D175" s="3" t="inlineStr">
        <is>
          <t>52 (Không)</t>
        </is>
      </c>
      <c r="E175" s="3" t="inlineStr">
        <is>
          <t>42 (Không)</t>
        </is>
      </c>
      <c r="F175" s="3" t="inlineStr">
        <is>
          <t>---</t>
        </is>
      </c>
      <c r="G175" s="6" t="inlineStr">
        <is>
          <t>07, 32 (TRƯỢT ❌)</t>
        </is>
      </c>
      <c r="H175" s="6" t="inlineStr">
        <is>
          <t>TRƯỢT KHUNG ❌</t>
        </is>
      </c>
      <c r="I175" s="3" t="inlineStr">
        <is>
          <t>00, 02, 05, 07, 11, 14, 16, 19, 20, 23, 25, 28, 32, 34, 37, 39, 41, 43, 46, 48, 50, 52, 55, 57, 61, 64, 66, 69, 70, 73, 75, 78, 82, 84, 87, 89, 91, 93, 96, 98 (40 số)</t>
        </is>
      </c>
      <c r="J175" s="3" t="inlineStr">
        <is>
          <t>00, 02, 05, 07, 11, 14, 16, 19, 20, 23, 25, 28, 32, 34, 37, 39, 41, 43, 46, 48 (20 số)</t>
        </is>
      </c>
      <c r="K175" s="3" t="inlineStr">
        <is>
          <t>00, 02, 05, 07, 11, 14, 16, 19, 20, 23, 25, 28, 32, 34, 37, 39, 41, 43, 46, 48 (20 số)</t>
        </is>
      </c>
    </row>
    <row r="176">
      <c r="A176" s="2" t="n">
        <v>174</v>
      </c>
      <c r="B176" s="2" t="inlineStr">
        <is>
          <t>Thứ bảy ngày 27-06-2026</t>
        </is>
      </c>
      <c r="C176" s="3" t="inlineStr">
        <is>
          <t>52 (Trúng)</t>
        </is>
      </c>
      <c r="D176" s="3" t="inlineStr">
        <is>
          <t>42 (Không)</t>
        </is>
      </c>
      <c r="E176" s="3" t="inlineStr">
        <is>
          <t>68 (Không)</t>
        </is>
      </c>
      <c r="F176" s="3" t="inlineStr">
        <is>
          <t>---</t>
        </is>
      </c>
      <c r="G176" s="7" t="inlineStr">
        <is>
          <t>48, 68 (TRÚNG 🎯)</t>
        </is>
      </c>
      <c r="H176" s="7" t="inlineStr">
        <is>
          <t>TRÚNG N1 🎯</t>
        </is>
      </c>
      <c r="I17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76" s="3" t="inlineStr">
        <is>
          <t>00, 02, 04, 05, 07, 09, 11, 13, 14, 16, 18, 19, 20, 22, 23, 25, 27, 28, 31, 32, 34, 36, 37, 39, 40, 41, 43, 45, 46, 48 (30 số)</t>
        </is>
      </c>
      <c r="K176" s="3" t="inlineStr">
        <is>
          <t>00, 02, 04, 05, 07, 09, 11, 13, 14, 16, 18, 19, 20, 22, 23, 25, 27, 28, 31, 32, 34, 36, 37, 39, 40, 41, 43, 45, 46, 48 (30 số)</t>
        </is>
      </c>
    </row>
    <row r="177">
      <c r="A177" s="2" t="n">
        <v>175</v>
      </c>
      <c r="B177" s="2" t="inlineStr">
        <is>
          <t>Chủ nhật ngày 28-06-2026</t>
        </is>
      </c>
      <c r="C177" s="3" t="inlineStr">
        <is>
          <t>42 (Không)</t>
        </is>
      </c>
      <c r="D177" s="3" t="inlineStr">
        <is>
          <t>68 (Trúng)</t>
        </is>
      </c>
      <c r="E177" s="3" t="inlineStr">
        <is>
          <t>54 (Trúng)</t>
        </is>
      </c>
      <c r="F177" s="3" t="inlineStr">
        <is>
          <t>---</t>
        </is>
      </c>
      <c r="G177" s="6" t="inlineStr">
        <is>
          <t>36, 41 (TRƯỢT ❌)</t>
        </is>
      </c>
      <c r="H177" s="7" t="inlineStr">
        <is>
          <t>TRÚNG N2 (Siêu Lọc 🎯)</t>
        </is>
      </c>
      <c r="I177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177" s="3" t="inlineStr">
        <is>
          <t>50, 53, 54, 55, 58, 59, 62, 63, 64, 67, 68, 69, 71, 72, 73, 76, 77, 78, 80, 81, 82, 85, 86, 87, 90, 91, 94, 95, 96, 99 (30 số)</t>
        </is>
      </c>
      <c r="K177" s="3" t="inlineStr">
        <is>
          <t>50, 53, 54, 55, 58, 59, 62, 63, 64, 67, 68, 69, 71, 72, 73, 76, 77, 78, 80, 81, 82, 85, 86, 87, 90, 91, 94, 95, 96, 99 (30 số)</t>
        </is>
      </c>
    </row>
    <row r="178">
      <c r="A178" s="2" t="n">
        <v>176</v>
      </c>
      <c r="B178" s="2" t="inlineStr">
        <is>
          <t>Thứ hai ngày 29-06-2026</t>
        </is>
      </c>
      <c r="C178" s="3" t="inlineStr">
        <is>
          <t>68 (Không)</t>
        </is>
      </c>
      <c r="D178" s="3" t="inlineStr">
        <is>
          <t>54 (Không)</t>
        </is>
      </c>
      <c r="E178" s="3" t="inlineStr">
        <is>
          <t>39 (Trúng)</t>
        </is>
      </c>
      <c r="F178" s="3" t="inlineStr">
        <is>
          <t>---</t>
        </is>
      </c>
      <c r="G178" s="6" t="inlineStr">
        <is>
          <t>08, 70 (TRƯỢT ❌)</t>
        </is>
      </c>
      <c r="H178" s="7" t="inlineStr">
        <is>
          <t>TRÚNG N3 (Siêu Lọc 🎯)</t>
        </is>
      </c>
      <c r="I178" s="3" t="inlineStr">
        <is>
          <t>02, 03, 07, 08, 11, 12, 16, 17, 20, 21, 25, 26, 30, 34, 35, 39, 43, 44, 48, 49, 52, 53, 57, 58, 61, 62, 66, 67, 70, 71, 75, 76, 80, 84, 85, 89, 93, 94, 98, 99 (40 số)</t>
        </is>
      </c>
      <c r="J178" s="3" t="inlineStr">
        <is>
          <t>02, 03, 07, 08, 11, 12, 16, 17, 20, 21, 25, 26, 30, 34, 35, 39, 43, 44, 48, 49 (20 số)</t>
        </is>
      </c>
      <c r="K178" s="3" t="inlineStr">
        <is>
          <t>02, 03, 07, 08, 11, 12, 16, 17, 20, 21, 25, 26, 30, 34, 35, 39, 43, 44, 48, 49 (20 số)</t>
        </is>
      </c>
    </row>
    <row r="179">
      <c r="A179" s="2" t="n">
        <v>177</v>
      </c>
      <c r="B179" s="2" t="inlineStr">
        <is>
          <t>Thứ ba ngày 30-06-2026</t>
        </is>
      </c>
      <c r="C179" s="3" t="inlineStr">
        <is>
          <t>54 (Trúng)</t>
        </is>
      </c>
      <c r="D179" s="3" t="inlineStr">
        <is>
          <t>39 (Không)</t>
        </is>
      </c>
      <c r="E179" s="3" t="inlineStr">
        <is>
          <t>65 (Không)</t>
        </is>
      </c>
      <c r="F179" s="3" t="inlineStr">
        <is>
          <t>---</t>
        </is>
      </c>
      <c r="G179" s="6" t="inlineStr">
        <is>
          <t>12, 33 (TRƯỢT ❌)</t>
        </is>
      </c>
      <c r="H179" s="7" t="inlineStr">
        <is>
          <t>TRÚNG N1 🎯</t>
        </is>
      </c>
      <c r="I17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179" s="3" t="inlineStr">
        <is>
          <t>01, 03, 04, 06, 08, 09, 10, 12, 13, 15, 17, 18, 21, 22, 24, 26, 27, 29, 30, 31, 33, 35, 36, 38, 40, 42, 44, 45, 47, 49 (30 số)</t>
        </is>
      </c>
      <c r="K179" s="3" t="inlineStr">
        <is>
          <t>01, 03, 04, 06, 08, 09, 10, 12, 13, 15, 17, 18, 21, 22, 24, 26, 27, 29, 30, 31, 33, 35, 36, 38, 40, 42, 44, 45, 47, 49 (30 số)</t>
        </is>
      </c>
    </row>
    <row r="180">
      <c r="A180" s="2" t="n">
        <v>178</v>
      </c>
      <c r="B180" s="2" t="inlineStr">
        <is>
          <t>Thứ tư ngày 01-07-2026</t>
        </is>
      </c>
      <c r="C180" s="3" t="inlineStr">
        <is>
          <t>39 (Trúng)</t>
        </is>
      </c>
      <c r="D180" s="3" t="inlineStr">
        <is>
          <t>65 (Không)</t>
        </is>
      </c>
      <c r="E180" s="3" t="inlineStr">
        <is>
          <t>87 (Trúng)</t>
        </is>
      </c>
      <c r="F180" s="3" t="inlineStr">
        <is>
          <t>---</t>
        </is>
      </c>
      <c r="G180" s="6" t="inlineStr">
        <is>
          <t>07, 35 (TRƯỢT ❌)</t>
        </is>
      </c>
      <c r="H180" s="7" t="inlineStr">
        <is>
          <t>TRÚNG N1 🎯</t>
        </is>
      </c>
      <c r="I18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180" s="3" t="inlineStr">
        <is>
          <t>50, 52, 53, 55, 57, 58, 61, 62, 64, 66, 67, 69, 70, 71, 73, 75, 76, 78, 80, 82, 84, 85, 87, 89, 91, 93, 94, 96, 98, 99 (30 số)</t>
        </is>
      </c>
      <c r="K180" s="3" t="inlineStr">
        <is>
          <t>50, 52, 53, 55, 57, 58, 61, 62, 64, 66, 67, 69, 70, 71, 73, 75, 76, 78, 80, 82, 84, 85, 87, 89, 91, 93, 94, 96, 98, 99 (30 số)</t>
        </is>
      </c>
    </row>
    <row r="181">
      <c r="A181" s="2" t="n">
        <v>179</v>
      </c>
      <c r="B181" s="2" t="inlineStr">
        <is>
          <t>Thứ năm ngày 02-07-2026</t>
        </is>
      </c>
      <c r="C181" s="3" t="inlineStr">
        <is>
          <t>65 (Trúng)</t>
        </is>
      </c>
      <c r="D181" s="3" t="inlineStr">
        <is>
          <t>87 (Không)</t>
        </is>
      </c>
      <c r="E181" s="3" t="inlineStr">
        <is>
          <t>71 (Không)</t>
        </is>
      </c>
      <c r="F181" s="3" t="inlineStr">
        <is>
          <t>---</t>
        </is>
      </c>
      <c r="G181" s="6" t="inlineStr">
        <is>
          <t>33, 39 (TRƯỢT ❌)</t>
        </is>
      </c>
      <c r="H181" s="7" t="inlineStr">
        <is>
          <t>TRÚNG N1 🎯</t>
        </is>
      </c>
      <c r="I181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 (80 số)</t>
        </is>
      </c>
      <c r="J181" s="3" t="inlineStr">
        <is>
          <t>01, 02, 04, 07, 09, 10, 11, 13, 14, 16, 18, 19, 20, 22, 23, 24, 25, 27, 28, 29, 31, 32, 33, 34, 36, 37, 38, 39, 40, 41, 42, 43, 45, 46, 47, 48 (36 số)</t>
        </is>
      </c>
      <c r="K181" s="3" t="inlineStr">
        <is>
          <t>01, 02, 04, 07, 09, 10, 11, 13, 14, 16, 18, 19, 20, 22, 23, 24, 25, 27, 28, 29, 31, 32, 33, 34, 36, 37, 38, 39, 40, 41, 42, 43, 45, 46, 47, 48 (36 số)</t>
        </is>
      </c>
    </row>
    <row r="182">
      <c r="A182" s="2" t="n">
        <v>180</v>
      </c>
      <c r="B182" s="2" t="inlineStr">
        <is>
          <t>Thứ sáu ngày 03-07-2026</t>
        </is>
      </c>
      <c r="C182" s="3" t="inlineStr">
        <is>
          <t>87 (Không)</t>
        </is>
      </c>
      <c r="D182" s="3" t="inlineStr">
        <is>
          <t>71 (Không)</t>
        </is>
      </c>
      <c r="E182" s="3" t="inlineStr">
        <is>
          <t>97 (Không)</t>
        </is>
      </c>
      <c r="F182" s="3" t="inlineStr">
        <is>
          <t>---</t>
        </is>
      </c>
      <c r="G182" s="6" t="inlineStr">
        <is>
          <t>13, 65 (TRƯỢT ❌)</t>
        </is>
      </c>
      <c r="H182" s="6" t="inlineStr">
        <is>
          <t>TRƯỢT KHUNG ❌</t>
        </is>
      </c>
      <c r="I182" s="3" t="inlineStr">
        <is>
          <t>01, 04, 06, 09, 10, 13, 15, 18, 22, 24, 27, 29, 31, 33, 36, 38, 40, 42, 45, 47, 51, 54, 56, 59, 60, 63, 65, 68, 72, 74, 77, 79, 81, 83, 86, 88, 90, 92, 95, 97 (40 số)</t>
        </is>
      </c>
      <c r="J182" s="3" t="inlineStr">
        <is>
          <t>01, 04, 06, 09, 10, 13, 15, 18, 22, 24, 27, 29, 31, 33, 36, 38, 40, 42, 45, 47 (20 số)</t>
        </is>
      </c>
      <c r="K182" s="3" t="inlineStr">
        <is>
          <t>01, 04, 06, 09, 10, 13, 15, 18, 22, 24, 27, 29, 31, 33, 36, 38, 40, 42, 45, 47 (20 số)</t>
        </is>
      </c>
    </row>
    <row r="183">
      <c r="A183" s="2" t="n">
        <v>181</v>
      </c>
      <c r="B183" s="2" t="inlineStr">
        <is>
          <t>Thứ bảy ngày 04-07-2026</t>
        </is>
      </c>
      <c r="C183" s="3" t="inlineStr">
        <is>
          <t>71 (Không)</t>
        </is>
      </c>
      <c r="D183" s="3" t="inlineStr">
        <is>
          <t>97 (Không)</t>
        </is>
      </c>
      <c r="E183" s="3" t="inlineStr">
        <is>
          <t>79 (Không)</t>
        </is>
      </c>
      <c r="F183" s="3" t="inlineStr">
        <is>
          <t>---</t>
        </is>
      </c>
      <c r="G183" s="6" t="inlineStr">
        <is>
          <t>54, 73 (TRƯỢT ❌)</t>
        </is>
      </c>
      <c r="H183" s="6" t="inlineStr">
        <is>
          <t>TRƯỢT KHUNG ❌</t>
        </is>
      </c>
      <c r="I183" s="3" t="inlineStr">
        <is>
          <t>00, 04, 05, 09, 13, 14, 18, 19, 22, 23, 27, 28, 31, 32, 36, 37, 40, 41, 45, 46, 50, 54, 55, 59, 63, 64, 68, 69, 72, 73, 77, 78, 81, 82, 86, 87, 90, 91, 95, 96 (40 số)</t>
        </is>
      </c>
      <c r="J183" s="3" t="inlineStr">
        <is>
          <t>00, 04, 05, 09, 13, 14, 18, 19, 22, 23, 27, 28, 31, 32, 36, 37, 40, 41, 45, 46 (20 số)</t>
        </is>
      </c>
      <c r="K183" s="3" t="inlineStr">
        <is>
          <t>00, 04, 05, 09, 13, 14, 18, 19, 22, 23, 27, 28, 31, 32, 36, 37, 40, 41, 45, 46 (20 số)</t>
        </is>
      </c>
    </row>
    <row r="184">
      <c r="A184" s="2" t="n">
        <v>182</v>
      </c>
      <c r="B184" s="2" t="inlineStr">
        <is>
          <t>Chủ nhật ngày 05-07-2026</t>
        </is>
      </c>
      <c r="C184" s="3" t="inlineStr">
        <is>
          <t>97 (Không)</t>
        </is>
      </c>
      <c r="D184" s="3" t="inlineStr">
        <is>
          <t>79 (Không)</t>
        </is>
      </c>
      <c r="E184" s="3" t="inlineStr">
        <is>
          <t>89 (Không)</t>
        </is>
      </c>
      <c r="F184" s="3" t="inlineStr">
        <is>
          <t>---</t>
        </is>
      </c>
      <c r="G184" s="6" t="inlineStr">
        <is>
          <t>03, 35 (TRƯỢT ❌)</t>
        </is>
      </c>
      <c r="H184" s="6" t="inlineStr">
        <is>
          <t>TRƯỢT KHUNG ❌</t>
        </is>
      </c>
      <c r="I184" s="3" t="inlineStr">
        <is>
          <t>03, 04, 08, 09, 12, 13, 17, 18, 21, 22, 26, 27, 30, 31, 35, 36, 40, 44, 45, 49, 53, 54, 58, 59, 62, 63, 67, 68, 71, 72, 76, 77, 80, 81, 85, 86, 90, 94, 95, 99 (40 số)</t>
        </is>
      </c>
      <c r="J184" s="3" t="inlineStr">
        <is>
          <t>03, 04, 08, 09, 12, 13, 17, 18, 21, 22, 26, 27, 30, 31, 35, 36, 40, 44, 45, 49 (20 số)</t>
        </is>
      </c>
      <c r="K184" s="3" t="inlineStr">
        <is>
          <t>03, 04, 08, 09, 12, 13, 17, 18, 21, 22, 26, 27, 30, 31, 35, 36, 40, 44, 45, 49 (20 số)</t>
        </is>
      </c>
    </row>
    <row r="185">
      <c r="A185" s="2" t="n">
        <v>183</v>
      </c>
      <c r="B185" s="2" t="inlineStr">
        <is>
          <t>Thứ hai ngày 06-07-2026</t>
        </is>
      </c>
      <c r="C185" s="3" t="inlineStr">
        <is>
          <t>79 (Không)</t>
        </is>
      </c>
      <c r="D185" s="3" t="inlineStr">
        <is>
          <t>89 (Không)</t>
        </is>
      </c>
      <c r="E185" s="3" t="inlineStr">
        <is>
          <t>85 (Không)</t>
        </is>
      </c>
      <c r="F185" s="3" t="inlineStr">
        <is>
          <t>---</t>
        </is>
      </c>
      <c r="G185" s="6" t="inlineStr">
        <is>
          <t>20, 30 (TRƯỢT ❌)</t>
        </is>
      </c>
      <c r="H185" s="6" t="inlineStr">
        <is>
          <t>TRƯỢT KHUNG ❌</t>
        </is>
      </c>
      <c r="I18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185" s="3" t="inlineStr">
        <is>
          <t>00, 02, 03, 05, 07, 08, 11, 12, 14, 16, 17, 19, 20, 21, 23, 25, 26, 28, 30, 32, 34, 35, 37, 39, 41, 43, 44, 46, 48, 49 (30 số)</t>
        </is>
      </c>
      <c r="K185" s="3" t="inlineStr">
        <is>
          <t>00, 02, 03, 05, 07, 08, 11, 12, 14, 16, 17, 19, 20, 21, 23, 25, 26, 28, 30, 32, 34, 35, 37, 39, 41, 43, 44, 46, 48, 49 (30 số)</t>
        </is>
      </c>
    </row>
    <row r="186">
      <c r="A186" s="2" t="n">
        <v>184</v>
      </c>
      <c r="B186" s="2" t="inlineStr">
        <is>
          <t>Thứ ba ngày 07-07-2026</t>
        </is>
      </c>
      <c r="C186" s="3" t="inlineStr">
        <is>
          <t>89 (Không)</t>
        </is>
      </c>
      <c r="D186" s="3" t="inlineStr">
        <is>
          <t>85 (Không)</t>
        </is>
      </c>
      <c r="E186" s="3" t="inlineStr">
        <is>
          <t>67 (Không)</t>
        </is>
      </c>
      <c r="F186" s="3" t="inlineStr">
        <is>
          <t>---</t>
        </is>
      </c>
      <c r="G186" s="6" t="inlineStr">
        <is>
          <t>54, 62 (TRƯỢT ❌)</t>
        </is>
      </c>
      <c r="H186" s="6" t="inlineStr">
        <is>
          <t>TRƯỢT KHUNG ❌</t>
        </is>
      </c>
      <c r="I186" s="3" t="inlineStr">
        <is>
          <t>03, 04, 08, 09, 12, 13, 17, 18, 21, 22, 26, 27, 30, 31, 35, 36, 40, 44, 45, 49, 53, 54, 58, 59, 62, 63, 67, 68, 71, 72, 76, 77, 80, 81, 85, 86, 90, 94, 95, 99 (40 số)</t>
        </is>
      </c>
      <c r="J186" s="3" t="inlineStr">
        <is>
          <t>03, 04, 08, 09, 12, 13, 17, 18, 21, 22, 26, 27, 30, 31, 35, 36, 40, 44, 45, 49 (20 số)</t>
        </is>
      </c>
      <c r="K186" s="3" t="inlineStr">
        <is>
          <t>03, 04, 08, 09, 12, 13, 17, 18, 21, 22, 26, 27, 30, 31, 35, 36, 40, 44, 45, 49 (20 số)</t>
        </is>
      </c>
    </row>
    <row r="187">
      <c r="A187" s="2" t="n">
        <v>185</v>
      </c>
      <c r="B187" s="2" t="inlineStr">
        <is>
          <t>Thứ tư ngày 08-07-2026</t>
        </is>
      </c>
      <c r="C187" s="3" t="inlineStr">
        <is>
          <t>85 (Không)</t>
        </is>
      </c>
      <c r="D187" s="3" t="inlineStr">
        <is>
          <t>67 (Không)</t>
        </is>
      </c>
      <c r="E187" s="3" t="inlineStr">
        <is>
          <t>01 (Trúng)</t>
        </is>
      </c>
      <c r="F187" s="3" t="inlineStr">
        <is>
          <t>---</t>
        </is>
      </c>
      <c r="G187" s="7" t="inlineStr">
        <is>
          <t>01, 19 (TRÚNG 🎯)</t>
        </is>
      </c>
      <c r="H187" s="7" t="inlineStr">
        <is>
          <t>TRÚNG N3 (Siêu Lọc 🎯)</t>
        </is>
      </c>
      <c r="I187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 (80 số)</t>
        </is>
      </c>
      <c r="J187" s="3" t="inlineStr">
        <is>
          <t>01, 02, 04, 07, 09, 10, 11, 13, 14, 16, 18, 19, 20, 22, 23, 24, 25, 27, 28, 29, 31, 32, 33, 34, 36, 37, 38, 39, 40, 41, 42, 43, 45, 46, 47, 48 (36 số)</t>
        </is>
      </c>
      <c r="K187" s="3" t="inlineStr">
        <is>
          <t>01, 02, 04, 07, 09, 10, 11, 13, 14, 16, 18, 19, 20, 22, 23, 24, 25, 27, 28, 29, 31, 32, 33, 34, 36, 37, 38, 39, 40, 41, 42, 43, 45, 46, 47, 48 (36 số)</t>
        </is>
      </c>
    </row>
    <row r="188">
      <c r="A188" s="2" t="n">
        <v>186</v>
      </c>
      <c r="B188" s="2" t="inlineStr">
        <is>
          <t>Thứ năm ngày 09-07-2026</t>
        </is>
      </c>
      <c r="C188" s="3" t="inlineStr">
        <is>
          <t>67 (Không)</t>
        </is>
      </c>
      <c r="D188" s="3" t="inlineStr">
        <is>
          <t>01 (Không)</t>
        </is>
      </c>
      <c r="E188" s="3" t="inlineStr">
        <is>
          <t>94 (Không)</t>
        </is>
      </c>
      <c r="F188" s="3" t="inlineStr">
        <is>
          <t>---</t>
        </is>
      </c>
      <c r="G188" s="6" t="inlineStr">
        <is>
          <t>05, 13 (TRƯỢT ❌)</t>
        </is>
      </c>
      <c r="H188" s="6" t="inlineStr">
        <is>
          <t>TRƯỢT KHUNG ❌</t>
        </is>
      </c>
      <c r="I188" s="3" t="inlineStr">
        <is>
          <t>00, 04, 05, 09, 13, 14, 18, 19, 22, 23, 27, 28, 31, 32, 36, 37, 40, 41, 45, 46, 50, 54, 55, 59, 63, 64, 68, 69, 72, 73, 77, 78, 81, 82, 86, 87, 90, 91, 95, 96 (40 số)</t>
        </is>
      </c>
      <c r="J188" s="3" t="inlineStr">
        <is>
          <t>00, 04, 05, 09, 13, 14, 18, 19, 22, 23, 27, 28, 31, 32, 36, 37, 40, 41, 45, 46 (20 số)</t>
        </is>
      </c>
      <c r="K188" s="3" t="inlineStr">
        <is>
          <t>00, 04, 05, 09, 13, 14, 18, 19, 22, 23, 27, 28, 31, 32, 36, 37, 40, 41, 45, 46 (20 số)</t>
        </is>
      </c>
    </row>
    <row r="189">
      <c r="A189" s="2" t="n">
        <v>187</v>
      </c>
      <c r="B189" s="2" t="inlineStr">
        <is>
          <t>Thứ sáu ngày 10-07-2026</t>
        </is>
      </c>
      <c r="C189" s="3" t="inlineStr">
        <is>
          <t>01 (Không)</t>
        </is>
      </c>
      <c r="D189" s="3" t="inlineStr">
        <is>
          <t>94 (Không)</t>
        </is>
      </c>
      <c r="E189" s="3" t="inlineStr">
        <is>
          <t>99 (Không)</t>
        </is>
      </c>
      <c r="F189" s="3" t="inlineStr">
        <is>
          <t>---</t>
        </is>
      </c>
      <c r="G189" s="6" t="inlineStr">
        <is>
          <t>20, 31 (TRƯỢT ❌)</t>
        </is>
      </c>
      <c r="H189" s="6" t="inlineStr">
        <is>
          <t>TRƯỢT KHUNG ❌</t>
        </is>
      </c>
      <c r="I18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89" s="3" t="inlineStr">
        <is>
          <t>50, 52, 54, 55, 57, 59, 61, 63, 64, 66, 68, 69, 70, 72, 73, 75, 77, 78, 81, 82, 84, 86, 87, 89, 90, 91, 93, 95, 96, 98 (30 số)</t>
        </is>
      </c>
      <c r="K189" s="3" t="inlineStr">
        <is>
          <t>50, 52, 54, 55, 57, 59, 61, 63, 64, 66, 68, 69, 70, 72, 73, 75, 77, 78, 81, 82, 84, 86, 87, 89, 90, 91, 93, 95, 96, 98 (30 số)</t>
        </is>
      </c>
    </row>
    <row r="190">
      <c r="A190" s="2" t="n">
        <v>188</v>
      </c>
      <c r="B190" s="2" t="inlineStr">
        <is>
          <t>Thứ bảy ngày 11-07-2026</t>
        </is>
      </c>
      <c r="C190" s="3" t="inlineStr">
        <is>
          <t>94 (Trúng)</t>
        </is>
      </c>
      <c r="D190" s="3" t="inlineStr">
        <is>
          <t>99 (Không)</t>
        </is>
      </c>
      <c r="E190" s="3" t="inlineStr">
        <is>
          <t>47 (Trúng)</t>
        </is>
      </c>
      <c r="F190" s="3" t="inlineStr">
        <is>
          <t>---</t>
        </is>
      </c>
      <c r="G190" s="6" t="inlineStr">
        <is>
          <t>01, 06 (TRƯỢT ❌)</t>
        </is>
      </c>
      <c r="H190" s="7" t="inlineStr">
        <is>
          <t>TRÚNG N1 🎯</t>
        </is>
      </c>
      <c r="I190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 (80 số)</t>
        </is>
      </c>
      <c r="J190" s="3" t="inlineStr">
        <is>
          <t>00, 01, 03, 04, 08, 09, 10, 13, 14, 17, 18, 19, 21, 22, 23, 24, 26, 27, 28, 29, 30, 31, 32, 33, 35, 36, 37, 38, 40, 41, 42, 44, 45, 46, 47, 49 (36 số)</t>
        </is>
      </c>
      <c r="K190" s="3" t="inlineStr">
        <is>
          <t>00, 01, 03, 04, 08, 09, 10, 13, 14, 17, 18, 19, 21, 22, 23, 24, 26, 27, 28, 29, 30, 31, 32, 33, 35, 36, 37, 38, 40, 41, 42, 44, 45, 46, 47, 49 (36 số)</t>
        </is>
      </c>
    </row>
    <row r="191">
      <c r="A191" s="2" t="n">
        <v>189</v>
      </c>
      <c r="B191" s="2" t="inlineStr">
        <is>
          <t>Chủ nhật ngày 12-07-2026</t>
        </is>
      </c>
      <c r="C191" s="3" t="inlineStr">
        <is>
          <t>99 (Trúng)</t>
        </is>
      </c>
      <c r="D191" s="3" t="inlineStr">
        <is>
          <t>47 (Không)</t>
        </is>
      </c>
      <c r="E191" s="3" t="inlineStr">
        <is>
          <t>19 (Trúng)</t>
        </is>
      </c>
      <c r="F191" s="3" t="inlineStr">
        <is>
          <t>---</t>
        </is>
      </c>
      <c r="G191" s="6" t="inlineStr">
        <is>
          <t>05, 34 (TRƯỢT ❌)</t>
        </is>
      </c>
      <c r="H191" s="7" t="inlineStr">
        <is>
          <t>TRÚNG N1 🎯</t>
        </is>
      </c>
      <c r="I191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 (80 số)</t>
        </is>
      </c>
      <c r="J191" s="3" t="inlineStr">
        <is>
          <t>02, 04, 07, 08, 09, 11, 13, 14, 16, 17, 18, 19, 20, 21, 22, 23, 25, 26, 27, 28, 30, 31, 32, 34, 35, 36, 37, 39, 40, 41, 43, 44, 45, 46, 48, 49 (36 số)</t>
        </is>
      </c>
      <c r="K191" s="3" t="inlineStr">
        <is>
          <t>02, 04, 07, 08, 09, 11, 13, 14, 16, 17, 18, 19, 20, 21, 22, 23, 25, 26, 27, 28, 30, 31, 32, 34, 35, 36, 37, 39, 40, 41, 43, 44, 45, 46, 48, 49 (36 số)</t>
        </is>
      </c>
    </row>
    <row r="192">
      <c r="A192" s="2" t="n">
        <v>190</v>
      </c>
      <c r="B192" s="2" t="inlineStr">
        <is>
          <t>Thứ hai ngày 13-07-2026</t>
        </is>
      </c>
      <c r="C192" s="3" t="inlineStr">
        <is>
          <t>47 (Trúng)</t>
        </is>
      </c>
      <c r="D192" s="3" t="inlineStr">
        <is>
          <t>19 (Không)</t>
        </is>
      </c>
      <c r="E192" s="3" t="inlineStr">
        <is>
          <t>63 (Không)</t>
        </is>
      </c>
      <c r="F192" s="3" t="inlineStr">
        <is>
          <t>---</t>
        </is>
      </c>
      <c r="G192" s="6" t="inlineStr">
        <is>
          <t>05, 75 (TRƯỢT ❌)</t>
        </is>
      </c>
      <c r="H192" s="7" t="inlineStr">
        <is>
          <t>TRÚNG N1 🎯</t>
        </is>
      </c>
      <c r="I192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 (80 số)</t>
        </is>
      </c>
      <c r="J192" s="3" t="inlineStr">
        <is>
          <t>50, 51, 52, 53, 55, 56, 57, 58, 60, 61, 64, 66, 67, 69, 70, 71, 73, 74, 75, 78, 79, 80, 82, 83, 84, 87, 88, 89, 91, 92, 93, 94, 96, 97, 98, 99 (36 số)</t>
        </is>
      </c>
      <c r="K192" s="3" t="inlineStr">
        <is>
          <t>50, 51, 52, 53, 55, 56, 57, 58, 60, 61, 64, 66, 67, 69, 70, 71, 73, 74, 75, 78, 79, 80, 82, 83, 84, 87, 88, 89, 91, 92, 93, 94, 96, 97, 98, 99 (36 số)</t>
        </is>
      </c>
    </row>
    <row r="193">
      <c r="A193" s="2" t="n">
        <v>191</v>
      </c>
      <c r="B193" s="2" t="inlineStr">
        <is>
          <t>Thứ ba ngày 14-07-2026</t>
        </is>
      </c>
      <c r="C193" s="3" t="inlineStr">
        <is>
          <t>19 (Trúng)</t>
        </is>
      </c>
      <c r="D193" s="3" t="inlineStr">
        <is>
          <t>63 (Trúng)</t>
        </is>
      </c>
      <c r="E193" s="3" t="inlineStr">
        <is>
          <t>39 (Không)</t>
        </is>
      </c>
      <c r="F193" s="3" t="inlineStr">
        <is>
          <t>---</t>
        </is>
      </c>
      <c r="G193" s="7" t="inlineStr">
        <is>
          <t>05, 39 (TRÚNG 🎯)</t>
        </is>
      </c>
      <c r="H193" s="7" t="inlineStr">
        <is>
          <t>TRÚNG N1 🎯</t>
        </is>
      </c>
      <c r="I19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93" s="3" t="inlineStr">
        <is>
          <t>50, 52, 54, 55, 57, 59, 61, 63, 64, 66, 68, 69, 70, 72, 73, 75, 77, 78, 81, 82, 84, 86, 87, 89, 90, 91, 93, 95, 96, 98 (30 số)</t>
        </is>
      </c>
      <c r="K193" s="3" t="inlineStr">
        <is>
          <t>50, 52, 54, 55, 57, 59, 61, 63, 64, 66, 68, 69, 70, 72, 73, 75, 77, 78, 81, 82, 84, 86, 87, 89, 90, 91, 93, 95, 96, 98 (30 số)</t>
        </is>
      </c>
    </row>
    <row r="194">
      <c r="A194" s="2" t="n">
        <v>192</v>
      </c>
      <c r="B194" s="2" t="inlineStr">
        <is>
          <t>Thứ tư ngày 15-07-2026</t>
        </is>
      </c>
      <c r="C194" s="3" t="inlineStr">
        <is>
          <t>63 (Trúng)</t>
        </is>
      </c>
      <c r="D194" s="3" t="inlineStr">
        <is>
          <t>39 (Không)</t>
        </is>
      </c>
      <c r="E194" s="3" t="inlineStr">
        <is>
          <t>90 (Không)</t>
        </is>
      </c>
      <c r="F194" s="3" t="inlineStr">
        <is>
          <t>---</t>
        </is>
      </c>
      <c r="G194" s="6" t="inlineStr">
        <is>
          <t>05, 19 (TRƯỢT ❌)</t>
        </is>
      </c>
      <c r="H194" s="7" t="inlineStr">
        <is>
          <t>TRÚNG N1 🎯</t>
        </is>
      </c>
      <c r="I194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 (80 số)</t>
        </is>
      </c>
      <c r="J194" s="3" t="inlineStr">
        <is>
          <t>00, 01, 03, 04, 08, 09, 10, 13, 14, 17, 18, 19, 21, 22, 23, 24, 26, 27, 28, 29, 30, 31, 32, 33, 35, 36, 37, 38, 40, 41, 42, 44, 45, 46, 47, 49 (36 số)</t>
        </is>
      </c>
      <c r="K194" s="3" t="inlineStr">
        <is>
          <t>00, 01, 03, 04, 08, 09, 10, 13, 14, 17, 18, 19, 21, 22, 23, 24, 26, 27, 28, 29, 30, 31, 32, 33, 35, 36, 37, 38, 40, 41, 42, 44, 45, 46, 47, 49 (36 số)</t>
        </is>
      </c>
    </row>
    <row r="195">
      <c r="A195" s="2" t="n">
        <v>193</v>
      </c>
      <c r="B195" s="2" t="inlineStr">
        <is>
          <t>Thứ năm ngày 16-07-2026</t>
        </is>
      </c>
      <c r="C195" s="3" t="inlineStr">
        <is>
          <t>39 (Trúng)</t>
        </is>
      </c>
      <c r="D195" s="3" t="inlineStr">
        <is>
          <t>90 (Không)</t>
        </is>
      </c>
      <c r="E195" s="3" t="inlineStr">
        <is>
          <t>38 (Không)</t>
        </is>
      </c>
      <c r="F195" s="3" t="inlineStr">
        <is>
          <t>---</t>
        </is>
      </c>
      <c r="G195" s="6" t="inlineStr">
        <is>
          <t>49, 61 (TRƯỢT ❌)</t>
        </is>
      </c>
      <c r="H195" s="7" t="inlineStr">
        <is>
          <t>TRÚNG N1 🎯</t>
        </is>
      </c>
      <c r="I195" s="3" t="inlineStr">
        <is>
          <t>02, 03, 07, 08, 11, 12, 16, 17, 20, 21, 25, 26, 30, 34, 35, 39, 43, 44, 48, 49, 52, 53, 57, 58, 61, 62, 66, 67, 70, 71, 75, 76, 80, 84, 85, 89, 93, 94, 98, 99 (40 số)</t>
        </is>
      </c>
      <c r="J195" s="3" t="inlineStr">
        <is>
          <t>52, 53, 57, 58, 61, 62, 66, 67, 70, 71, 75, 76, 80, 84, 85, 89, 93, 94, 98, 99 (20 số)</t>
        </is>
      </c>
      <c r="K195" s="3" t="inlineStr">
        <is>
          <t>52, 53, 57, 58, 61, 62, 66, 67, 70, 71, 75, 76, 80, 84, 85, 89, 93, 94, 98, 99 (20 số)</t>
        </is>
      </c>
    </row>
    <row r="196">
      <c r="A196" s="2" t="n">
        <v>194</v>
      </c>
      <c r="B196" s="2" t="inlineStr">
        <is>
          <t>Thứ sáu ngày 17-07-2026</t>
        </is>
      </c>
      <c r="C196" s="3" t="inlineStr">
        <is>
          <t>90 (Trúng)</t>
        </is>
      </c>
      <c r="D196" s="3" t="inlineStr">
        <is>
          <t>38 (Trúng)</t>
        </is>
      </c>
      <c r="E196" s="3" t="inlineStr">
        <is>
          <t>28 (Trúng)</t>
        </is>
      </c>
      <c r="F196" s="3" t="inlineStr">
        <is>
          <t>---</t>
        </is>
      </c>
      <c r="G196" s="6" t="inlineStr">
        <is>
          <t>10, 13 (TRƯỢT ❌)</t>
        </is>
      </c>
      <c r="H196" s="7" t="inlineStr">
        <is>
          <t>TRÚNG N1 🎯</t>
        </is>
      </c>
      <c r="I19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196" s="3" t="inlineStr">
        <is>
          <t>00, 01, 04, 05, 06, 09, 10, 13, 14, 15, 18, 19, 22, 23, 24, 27, 28, 29, 31, 32, 33, 36, 37, 38, 40, 41, 42, 45, 46, 47 (30 số)</t>
        </is>
      </c>
      <c r="K196" s="3" t="inlineStr">
        <is>
          <t>00, 01, 04, 05, 06, 09, 10, 13, 14, 15, 18, 19, 22, 23, 24, 27, 28, 29, 31, 32, 33, 36, 37, 38, 40, 41, 42, 45, 46, 47 (30 số)</t>
        </is>
      </c>
    </row>
    <row r="197">
      <c r="A197" s="2" t="n">
        <v>195</v>
      </c>
      <c r="B197" s="2" t="inlineStr">
        <is>
          <t>Thứ bảy ngày 18-07-2026</t>
        </is>
      </c>
      <c r="C197" s="3" t="inlineStr">
        <is>
          <t>38 (Không)</t>
        </is>
      </c>
      <c r="D197" s="3" t="inlineStr">
        <is>
          <t>28 (Không)</t>
        </is>
      </c>
      <c r="E197" s="3" t="inlineStr">
        <is>
          <t>70 (Không)</t>
        </is>
      </c>
      <c r="F197" s="3" t="inlineStr">
        <is>
          <t>---</t>
        </is>
      </c>
      <c r="G197" s="6" t="inlineStr">
        <is>
          <t>09, 18 (TRƯỢT ❌)</t>
        </is>
      </c>
      <c r="H197" s="6" t="inlineStr">
        <is>
          <t>TRƯỢT KHUNG ❌</t>
        </is>
      </c>
      <c r="I197" s="3" t="inlineStr">
        <is>
          <t>00, 04, 05, 09, 13, 14, 18, 19, 22, 23, 27, 28, 31, 32, 36, 37, 40, 41, 45, 46, 50, 54, 55, 59, 63, 64, 68, 69, 72, 73, 77, 78, 81, 82, 86, 87, 90, 91, 95, 96 (40 số)</t>
        </is>
      </c>
      <c r="J197" s="3" t="inlineStr">
        <is>
          <t>50, 54, 55, 59, 63, 64, 68, 69, 72, 73, 77, 78, 81, 82, 86, 87, 90, 91, 95, 96 (20 số)</t>
        </is>
      </c>
      <c r="K197" s="3" t="inlineStr">
        <is>
          <t>50, 54, 55, 59, 63, 64, 68, 69, 72, 73, 77, 78, 81, 82, 86, 87, 90, 91, 95, 96 (20 số)</t>
        </is>
      </c>
    </row>
    <row r="198">
      <c r="A198" s="2" t="n">
        <v>196</v>
      </c>
      <c r="B198" s="2" t="inlineStr">
        <is>
          <t>Chủ nhật ngày 19-07-2026</t>
        </is>
      </c>
      <c r="C198" s="3" t="inlineStr">
        <is>
          <t>28 (Trúng)</t>
        </is>
      </c>
      <c r="D198" s="3" t="inlineStr">
        <is>
          <t>70 (Trúng)</t>
        </is>
      </c>
      <c r="E198" s="3" t="inlineStr">
        <is>
          <t>54 (Trúng)</t>
        </is>
      </c>
      <c r="F198" s="3" t="inlineStr">
        <is>
          <t>---</t>
        </is>
      </c>
      <c r="G198" s="6" t="inlineStr">
        <is>
          <t>26, 57 (TRƯỢT ❌)</t>
        </is>
      </c>
      <c r="H198" s="7" t="inlineStr">
        <is>
          <t>TRÚNG N1 🎯</t>
        </is>
      </c>
      <c r="I198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 (80 số)</t>
        </is>
      </c>
      <c r="J198" s="3" t="inlineStr">
        <is>
          <t>50, 52, 53, 54, 55, 57, 58, 59, 61, 63, 64, 66, 67, 68, 69, 70, 71, 72, 73, 75, 77, 78, 80, 81, 82, 84, 86, 87, 89, 90, 91, 93, 94, 95, 96, 98 (36 số)</t>
        </is>
      </c>
      <c r="K198" s="3" t="inlineStr">
        <is>
          <t>50, 52, 53, 54, 55, 57, 58, 59, 61, 63, 64, 66, 67, 68, 69, 70, 71, 72, 73, 75, 77, 78, 80, 81, 82, 84, 86, 87, 89, 90, 91, 93, 94, 95, 96, 98 (36 số)</t>
        </is>
      </c>
    </row>
    <row r="199">
      <c r="A199" s="2" t="n">
        <v>197</v>
      </c>
      <c r="B199" s="2" t="inlineStr">
        <is>
          <t>Thứ hai ngày 20-07-2026</t>
        </is>
      </c>
      <c r="C199" s="3" t="inlineStr">
        <is>
          <t>70 (Trúng)</t>
        </is>
      </c>
      <c r="D199" s="3" t="inlineStr">
        <is>
          <t>54 (Không)</t>
        </is>
      </c>
      <c r="E199" s="3" t="inlineStr">
        <is>
          <t>54 (Không)</t>
        </is>
      </c>
      <c r="F199" s="3" t="inlineStr">
        <is>
          <t>---</t>
        </is>
      </c>
      <c r="G199" s="6" t="inlineStr">
        <is>
          <t>01, 44 (TRƯỢT ❌)</t>
        </is>
      </c>
      <c r="H199" s="7" t="inlineStr">
        <is>
          <t>TRÚNG N1 🎯</t>
        </is>
      </c>
      <c r="I199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 (80 số)</t>
        </is>
      </c>
      <c r="J199" s="3" t="inlineStr">
        <is>
          <t>01, 02, 04, 07, 08, 09, 10, 11, 13, 16, 17, 18, 20, 21, 22, 24, 25, 26, 27, 29, 30, 31, 33, 34, 35, 36, 38, 39, 40, 42, 43, 44, 45, 47, 48, 49 (36 số)</t>
        </is>
      </c>
      <c r="K199" s="3" t="inlineStr">
        <is>
          <t>01, 02, 04, 07, 08, 09, 10, 11, 13, 16, 17, 18, 20, 21, 22, 24, 25, 26, 27, 29, 30, 31, 33, 34, 35, 36, 38, 39, 40, 42, 43, 44, 45, 47, 48, 49 (36 số)</t>
        </is>
      </c>
    </row>
    <row r="200">
      <c r="A200" s="2" t="n">
        <v>198</v>
      </c>
      <c r="B200" s="2" t="inlineStr">
        <is>
          <t>Thứ ba ngày 21-07-2026</t>
        </is>
      </c>
      <c r="C200" s="3" t="inlineStr">
        <is>
          <t>54 (Trúng)</t>
        </is>
      </c>
      <c r="D200" s="3" t="inlineStr">
        <is>
          <t>54 (Không)</t>
        </is>
      </c>
      <c r="E200" s="3" t="inlineStr">
        <is>
          <t>38 (Trúng)</t>
        </is>
      </c>
      <c r="F200" s="3" t="inlineStr">
        <is>
          <t>---</t>
        </is>
      </c>
      <c r="G200" s="6" t="inlineStr">
        <is>
          <t>09, 83 (TRƯỢT ❌)</t>
        </is>
      </c>
      <c r="H200" s="7" t="inlineStr">
        <is>
          <t>TRÚNG N1 🎯</t>
        </is>
      </c>
      <c r="I20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200" s="3" t="inlineStr">
        <is>
          <t>01, 03, 04, 06, 08, 09, 10, 12, 13, 15, 17, 18, 21, 22, 24, 26, 27, 29, 30, 31, 33, 35, 36, 38, 40, 42, 44, 45, 47, 49 (30 số)</t>
        </is>
      </c>
      <c r="K200" s="3" t="inlineStr">
        <is>
          <t>01, 03, 04, 06, 08, 09, 10, 12, 13, 15, 17, 18, 21, 22, 24, 26, 27, 29, 30, 31, 33, 35, 36, 38, 40, 42, 44, 45, 47, 49 (30 số)</t>
        </is>
      </c>
    </row>
    <row r="201">
      <c r="A201" s="2" t="n">
        <v>199</v>
      </c>
      <c r="B201" s="2" t="inlineStr">
        <is>
          <t>Thứ tư ngày 22-07-2026</t>
        </is>
      </c>
      <c r="C201" s="3" t="inlineStr">
        <is>
          <t>54 (Trúng)</t>
        </is>
      </c>
      <c r="D201" s="3" t="inlineStr">
        <is>
          <t>38 (Không)</t>
        </is>
      </c>
      <c r="E201" s="3" t="inlineStr">
        <is>
          <t>28 (Trúng)</t>
        </is>
      </c>
      <c r="F201" s="3" t="inlineStr">
        <is>
          <t>---</t>
        </is>
      </c>
      <c r="G201" s="6" t="inlineStr">
        <is>
          <t>05, 12 (TRƯỢT ❌)</t>
        </is>
      </c>
      <c r="H201" s="7" t="inlineStr">
        <is>
          <t>TRÚNG N1 🎯</t>
        </is>
      </c>
      <c r="I201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201" s="3" t="inlineStr">
        <is>
          <t>00, 03, 04, 05, 08, 09, 12, 13, 14, 17, 18, 19, 21, 22, 23, 26, 27, 28, 30, 31, 32, 35, 36, 37, 40, 41, 44, 45, 46, 49 (30 số)</t>
        </is>
      </c>
      <c r="K201" s="3" t="inlineStr">
        <is>
          <t>00, 03, 04, 05, 08, 09, 12, 13, 14, 17, 18, 19, 21, 22, 23, 26, 27, 28, 30, 31, 32, 35, 36, 37, 40, 41, 44, 45, 46, 49 (30 số)</t>
        </is>
      </c>
    </row>
    <row r="202">
      <c r="A202" s="2" t="n">
        <v>200</v>
      </c>
      <c r="B202" s="2" t="inlineStr">
        <is>
          <t>Thứ năm ngày 23-07-2026</t>
        </is>
      </c>
      <c r="C202" s="3" t="inlineStr">
        <is>
          <t>38 (Không)</t>
        </is>
      </c>
      <c r="D202" s="3" t="inlineStr">
        <is>
          <t>28 (Không)</t>
        </is>
      </c>
      <c r="E202" s="3" t="inlineStr">
        <is>
          <t>16 (Không)</t>
        </is>
      </c>
      <c r="F202" s="3" t="inlineStr">
        <is>
          <t>---</t>
        </is>
      </c>
      <c r="G202" s="6" t="inlineStr">
        <is>
          <t>54, 63 (TRƯỢT ❌)</t>
        </is>
      </c>
      <c r="H202" s="6" t="inlineStr">
        <is>
          <t>TRƯỢT KHUNG ❌</t>
        </is>
      </c>
      <c r="I20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202" s="3" t="inlineStr">
        <is>
          <t>52, 53, 54, 57, 58, 59, 61, 62, 63, 66, 67, 68, 70, 71, 72, 75, 76, 77, 80, 81, 84, 85, 86, 89, 90, 93, 94, 95, 98, 99 (30 số)</t>
        </is>
      </c>
      <c r="K202" s="3" t="inlineStr">
        <is>
          <t>52, 53, 54, 57, 58, 59, 61, 62, 63, 66, 67, 68, 70, 71, 72, 75, 76, 77, 80, 81, 84, 85, 86, 89, 90, 93, 94, 95, 98, 99 (30 số)</t>
        </is>
      </c>
    </row>
    <row r="203">
      <c r="A203" s="2" t="n">
        <v>201</v>
      </c>
      <c r="B203" s="2" t="inlineStr">
        <is>
          <t>Thứ sáu ngày 24-07-2026</t>
        </is>
      </c>
      <c r="C203" s="3" t="inlineStr">
        <is>
          <t>28 (Trúng)</t>
        </is>
      </c>
      <c r="D203" s="3" t="inlineStr">
        <is>
          <t>16 (Không)</t>
        </is>
      </c>
      <c r="E203" s="3" t="inlineStr">
        <is>
          <t>96 (Trúng)</t>
        </is>
      </c>
      <c r="F203" s="3" t="inlineStr">
        <is>
          <t>---</t>
        </is>
      </c>
      <c r="G203" s="6" t="inlineStr">
        <is>
          <t>24, 38 (TRƯỢT ❌)</t>
        </is>
      </c>
      <c r="H203" s="7" t="inlineStr">
        <is>
          <t>TRÚNG N1 🎯</t>
        </is>
      </c>
      <c r="I203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 (80 số)</t>
        </is>
      </c>
      <c r="J203" s="3" t="inlineStr">
        <is>
          <t>50, 51, 53, 54, 55, 56, 58, 59, 60, 63, 64, 67, 68, 69, 71, 72, 73, 74, 77, 78, 79, 80, 81, 82, 83, 86, 87, 88, 90, 91, 92, 94, 95, 96, 97, 99 (36 số)</t>
        </is>
      </c>
      <c r="K203" s="3" t="inlineStr">
        <is>
          <t>50, 51, 53, 54, 55, 56, 58, 59, 60, 63, 64, 67, 68, 69, 71, 72, 73, 74, 77, 78, 79, 80, 81, 82, 83, 86, 87, 88, 90, 91, 92, 94, 95, 96, 97, 99 (36 số)</t>
        </is>
      </c>
    </row>
    <row r="204">
      <c r="A204" s="2" t="n">
        <v>202</v>
      </c>
      <c r="B204" s="2" t="inlineStr">
        <is>
          <t>Thứ bảy ngày 25-07-2026</t>
        </is>
      </c>
      <c r="C204" s="3" t="inlineStr">
        <is>
          <t>16 (Trúng)</t>
        </is>
      </c>
      <c r="D204" s="3" t="inlineStr">
        <is>
          <t>96 (Trúng)</t>
        </is>
      </c>
      <c r="E204" s="3" t="inlineStr">
        <is>
          <t>00 (Không)</t>
        </is>
      </c>
      <c r="F204" s="3" t="inlineStr">
        <is>
          <t>---</t>
        </is>
      </c>
      <c r="G204" s="6" t="inlineStr">
        <is>
          <t>02, 28 (TRƯỢT ❌)</t>
        </is>
      </c>
      <c r="H204" s="7" t="inlineStr">
        <is>
          <t>TRÚNG N1 🎯</t>
        </is>
      </c>
      <c r="I20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204" s="3" t="inlineStr">
        <is>
          <t>50, 52, 53, 55, 57, 58, 61, 62, 64, 66, 67, 69, 70, 71, 73, 75, 76, 78, 80, 82, 84, 85, 87, 89, 91, 93, 94, 96, 98, 99 (30 số)</t>
        </is>
      </c>
      <c r="K204" s="3" t="inlineStr">
        <is>
          <t>50, 52, 53, 55, 57, 58, 61, 62, 64, 66, 67, 69, 70, 71, 73, 75, 76, 78, 80, 82, 84, 85, 87, 89, 91, 93, 94, 96, 98, 99 (30 số)</t>
        </is>
      </c>
    </row>
    <row r="205">
      <c r="A205" s="2" t="n">
        <v>203</v>
      </c>
      <c r="B205" s="2" t="inlineStr">
        <is>
          <t>Chủ nhật ngày 26-07-2026</t>
        </is>
      </c>
      <c r="C205" s="3" t="inlineStr">
        <is>
          <t>96 (Trúng)</t>
        </is>
      </c>
      <c r="D205" s="3" t="inlineStr">
        <is>
          <t>00 (Trúng)</t>
        </is>
      </c>
      <c r="E205" s="3" t="inlineStr">
        <is>
          <t>83 (Không)</t>
        </is>
      </c>
      <c r="F205" s="3" t="inlineStr">
        <is>
          <t>---</t>
        </is>
      </c>
      <c r="G205" s="6" t="inlineStr">
        <is>
          <t>16, 25 (TRƯỢT ❌)</t>
        </is>
      </c>
      <c r="H205" s="7" t="inlineStr">
        <is>
          <t>TRÚNG N1 🎯</t>
        </is>
      </c>
      <c r="I20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205" s="3" t="inlineStr">
        <is>
          <t>00, 01, 02, 05, 06, 07, 10, 11, 14, 15, 16, 19, 20, 23, 24, 25, 28, 29, 32, 33, 34, 37, 38, 39, 41, 42, 43, 46, 47, 48 (30 số)</t>
        </is>
      </c>
      <c r="K205" s="3" t="inlineStr">
        <is>
          <t>00, 01, 02, 05, 06, 07, 10, 11, 14, 15, 16, 19, 20, 23, 24, 25, 28, 29, 32, 33, 34, 37, 38, 39, 41, 42, 43, 46, 47, 48 (30 số)</t>
        </is>
      </c>
    </row>
    <row r="206">
      <c r="A206" s="2" t="n">
        <v>204</v>
      </c>
      <c r="B206" s="2" t="inlineStr">
        <is>
          <t>Thứ hai ngày 27-07-2026</t>
        </is>
      </c>
      <c r="C206" s="3" t="inlineStr">
        <is>
          <t>00 (Trúng)</t>
        </is>
      </c>
      <c r="D206" s="3" t="inlineStr">
        <is>
          <t>83 (Trúng)</t>
        </is>
      </c>
      <c r="E206" s="3" t="inlineStr">
        <is>
          <t>34 (Không)</t>
        </is>
      </c>
      <c r="F206" s="3" t="inlineStr">
        <is>
          <t>---</t>
        </is>
      </c>
      <c r="G206" s="6" t="inlineStr">
        <is>
          <t>29, 52 (TRƯỢT ❌)</t>
        </is>
      </c>
      <c r="H206" s="7" t="inlineStr">
        <is>
          <t>TRÚNG N1 🎯</t>
        </is>
      </c>
      <c r="I20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206" s="3" t="inlineStr">
        <is>
          <t>50, 51, 52, 55, 56, 57, 60, 61, 64, 65, 66, 69, 70, 73, 74, 75, 78, 79, 82, 83, 84, 87, 88, 89, 91, 92, 93, 96, 97, 98 (30 số)</t>
        </is>
      </c>
      <c r="K206" s="3" t="inlineStr">
        <is>
          <t>50, 51, 52, 55, 56, 57, 60, 61, 64, 65, 66, 69, 70, 73, 74, 75, 78, 79, 82, 83, 84, 87, 88, 89, 91, 92, 93, 96, 97, 98 (30 số)</t>
        </is>
      </c>
    </row>
    <row r="207">
      <c r="A207" s="2" t="n">
        <v>205</v>
      </c>
      <c r="B207" s="2" t="inlineStr">
        <is>
          <t>Thứ ba ngày 28-07-2026</t>
        </is>
      </c>
      <c r="C207" s="3" t="inlineStr">
        <is>
          <t>83 (Trúng)</t>
        </is>
      </c>
      <c r="D207" s="3" t="inlineStr">
        <is>
          <t>34 (Không)</t>
        </is>
      </c>
      <c r="E207" s="3" t="inlineStr">
        <is>
          <t>10 (Trúng)</t>
        </is>
      </c>
      <c r="F207" s="3" t="inlineStr">
        <is>
          <t>---</t>
        </is>
      </c>
      <c r="G207" s="6" t="inlineStr">
        <is>
          <t>00, 08 (TRƯỢT ❌)</t>
        </is>
      </c>
      <c r="H207" s="7" t="inlineStr">
        <is>
          <t>TRÚNG N1 🎯</t>
        </is>
      </c>
      <c r="I207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 (80 số)</t>
        </is>
      </c>
      <c r="J207" s="3" t="inlineStr">
        <is>
          <t>00, 01, 03, 04, 08, 09, 10, 13, 14, 17, 18, 19, 21, 22, 23, 24, 26, 27, 28, 29, 30, 31, 32, 33, 35, 36, 37, 38, 40, 41, 42, 44, 45, 46, 47, 49 (36 số)</t>
        </is>
      </c>
      <c r="K207" s="3" t="inlineStr">
        <is>
          <t>00, 01, 03, 04, 08, 09, 10, 13, 14, 17, 18, 19, 21, 22, 23, 24, 26, 27, 28, 29, 30, 31, 32, 33, 35, 36, 37, 38, 40, 41, 42, 44, 45, 46, 47, 49 (36 số)</t>
        </is>
      </c>
    </row>
    <row r="208">
      <c r="A208" s="2" t="n">
        <v>206</v>
      </c>
      <c r="B208" s="2" t="inlineStr">
        <is>
          <t>Thứ tư ngày 29-07-2026</t>
        </is>
      </c>
      <c r="C208" s="3" t="inlineStr">
        <is>
          <t>34 (Trúng)</t>
        </is>
      </c>
      <c r="D208" s="3" t="inlineStr">
        <is>
          <t>10 (Không)</t>
        </is>
      </c>
      <c r="E208" s="3" t="inlineStr">
        <is>
          <t>23 (Không)</t>
        </is>
      </c>
      <c r="F208" s="3" t="inlineStr">
        <is>
          <t>---</t>
        </is>
      </c>
      <c r="G208" s="6" t="inlineStr">
        <is>
          <t>43, 48 (TRƯỢT ❌)</t>
        </is>
      </c>
      <c r="H208" s="7" t="inlineStr">
        <is>
          <t>TRÚNG N1 🎯</t>
        </is>
      </c>
      <c r="I208" s="3" t="inlineStr">
        <is>
          <t>02, 04, 07, 09, 11, 13, 16, 18, 20, 22, 25, 27, 31, 34, 36, 39, 40, 43, 45, 48, 52, 54, 57, 59, 61, 63, 66, 68, 70, 72, 75, 77, 81, 84, 86, 89, 90, 93, 95, 98 (40 số)</t>
        </is>
      </c>
      <c r="J208" s="3" t="inlineStr">
        <is>
          <t>52, 54, 57, 59, 61, 63, 66, 68, 70, 72, 75, 77, 81, 84, 86, 89, 90, 93, 95, 98 (20 số)</t>
        </is>
      </c>
      <c r="K208" s="3" t="inlineStr">
        <is>
          <t>52, 54, 57, 59, 61, 63, 66, 68, 70, 72, 75, 77, 81, 84, 86, 89, 90, 93, 95, 98 (20 số)</t>
        </is>
      </c>
    </row>
    <row r="209">
      <c r="A209" s="2" t="n">
        <v>207</v>
      </c>
      <c r="B209" s="2" t="inlineStr">
        <is>
          <t>Thứ năm ngày 30-07-2026</t>
        </is>
      </c>
      <c r="C209" s="3" t="inlineStr">
        <is>
          <t>10 (Trúng)</t>
        </is>
      </c>
      <c r="D209" s="3" t="inlineStr">
        <is>
          <t>23 (Không)</t>
        </is>
      </c>
      <c r="E209" s="3" t="inlineStr">
        <is>
          <t>09 (Không)</t>
        </is>
      </c>
      <c r="F209" s="3" t="inlineStr">
        <is>
          <t>---</t>
        </is>
      </c>
      <c r="G209" s="6" t="inlineStr">
        <is>
          <t>06, 36 (TRƯỢT ❌)</t>
        </is>
      </c>
      <c r="H209" s="7" t="inlineStr">
        <is>
          <t>TRÚNG N1 🎯</t>
        </is>
      </c>
      <c r="I20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209" s="3" t="inlineStr">
        <is>
          <t>50, 51, 54, 55, 56, 59, 60, 63, 64, 65, 68, 69, 72, 73, 74, 77, 78, 79, 81, 82, 83, 86, 87, 88, 90, 91, 92, 95, 96, 97 (30 số)</t>
        </is>
      </c>
      <c r="K209" s="3" t="inlineStr">
        <is>
          <t>50, 51, 54, 55, 56, 59, 60, 63, 64, 65, 68, 69, 72, 73, 74, 77, 78, 79, 81, 82, 83, 86, 87, 88, 90, 91, 92, 95, 96, 97 (30 số)</t>
        </is>
      </c>
    </row>
    <row r="210">
      <c r="A210" s="2" t="n">
        <v>208</v>
      </c>
      <c r="B210" s="2" t="inlineStr">
        <is>
          <t>Thứ sáu ngày 31-07-2026</t>
        </is>
      </c>
      <c r="C210" s="3" t="inlineStr">
        <is>
          <t>23 (Không)</t>
        </is>
      </c>
      <c r="D210" s="3" t="inlineStr">
        <is>
          <t>09 (Không)</t>
        </is>
      </c>
      <c r="E210" s="3" t="inlineStr">
        <is>
          <t>47 (Không)</t>
        </is>
      </c>
      <c r="F210" s="3" t="inlineStr">
        <is>
          <t>---</t>
        </is>
      </c>
      <c r="G210" s="6" t="inlineStr">
        <is>
          <t>04, 10 (TRƯỢT ❌)</t>
        </is>
      </c>
      <c r="H210" s="6" t="inlineStr">
        <is>
          <t>TRƯỢT KHUNG ❌</t>
        </is>
      </c>
      <c r="I210" s="3" t="inlineStr">
        <is>
          <t>01, 04, 06, 09, 10, 13, 15, 18, 22, 24, 27, 29, 31, 33, 36, 38, 40, 42, 45, 47, 51, 54, 56, 59, 60, 63, 65, 68, 72, 74, 77, 79, 81, 83, 86, 88, 90, 92, 95, 97 (40 số)</t>
        </is>
      </c>
      <c r="J210" s="3" t="inlineStr">
        <is>
          <t>51, 54, 56, 59, 60, 63, 65, 68, 72, 74, 77, 79, 81, 83, 86, 88, 90, 92, 95, 97 (20 số)</t>
        </is>
      </c>
      <c r="K210" s="3" t="inlineStr">
        <is>
          <t>51, 54, 56, 59, 60, 63, 65, 68, 72, 74, 77, 79, 81, 83, 86, 88, 90, 92, 95, 97 (20 số)</t>
        </is>
      </c>
    </row>
    <row r="211">
      <c r="A211" s="2" t="n">
        <v>209</v>
      </c>
      <c r="B211" s="2" t="inlineStr">
        <is>
          <t>Thứ bảy ngày 01-08-2026</t>
        </is>
      </c>
      <c r="C211" s="3" t="inlineStr">
        <is>
          <t>09 (Trúng)</t>
        </is>
      </c>
      <c r="D211" s="3" t="inlineStr">
        <is>
          <t>47 (Không)</t>
        </is>
      </c>
      <c r="E211" s="3" t="inlineStr">
        <is>
          <t>25 (Không)</t>
        </is>
      </c>
      <c r="F211" s="3" t="inlineStr">
        <is>
          <t>---</t>
        </is>
      </c>
      <c r="G211" s="6" t="inlineStr">
        <is>
          <t>52, 56 (TRƯỢT ❌)</t>
        </is>
      </c>
      <c r="H211" s="7" t="inlineStr">
        <is>
          <t>TRÚNG N1 🎯</t>
        </is>
      </c>
      <c r="I211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 (80 số)</t>
        </is>
      </c>
      <c r="J211" s="3" t="inlineStr">
        <is>
          <t>51, 52, 53, 54, 56, 57, 58, 59, 60, 61, 63, 66, 67, 68, 70, 71, 72, 74, 75, 77, 79, 80, 81, 83, 84, 86, 88, 89, 90, 92, 93, 94, 95, 97, 98, 99 (36 số)</t>
        </is>
      </c>
      <c r="K211" s="3" t="inlineStr">
        <is>
          <t>51, 52, 53, 54, 56, 57, 58, 59, 60, 61, 63, 66, 67, 68, 70, 71, 72, 74, 75, 77, 79, 80, 81, 83, 84, 86, 88, 89, 90, 92, 93, 94, 95, 97, 98, 99 (36 số)</t>
        </is>
      </c>
    </row>
    <row r="212">
      <c r="A212" s="2" t="n">
        <v>210</v>
      </c>
      <c r="B212" s="2" t="inlineStr">
        <is>
          <t>Chủ nhật ngày 02-08-2026</t>
        </is>
      </c>
      <c r="C212" s="3" t="inlineStr">
        <is>
          <t>47 (Không)</t>
        </is>
      </c>
      <c r="D212" s="3" t="inlineStr">
        <is>
          <t>25 (Không)</t>
        </is>
      </c>
      <c r="E212" s="3" t="inlineStr">
        <is>
          <t>60 (Không)</t>
        </is>
      </c>
      <c r="F212" s="3" t="inlineStr">
        <is>
          <t>---</t>
        </is>
      </c>
      <c r="G212" s="6" t="inlineStr">
        <is>
          <t>09, 52 (TRƯỢT ❌)</t>
        </is>
      </c>
      <c r="H212" s="6" t="inlineStr">
        <is>
          <t>TRƯỢT KHUNG ❌</t>
        </is>
      </c>
      <c r="I212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 (80 số)</t>
        </is>
      </c>
      <c r="J212" s="3" t="inlineStr">
        <is>
          <t>50, 52, 53, 54, 55, 57, 58, 59, 61, 63, 64, 66, 67, 68, 69, 70, 71, 72, 73, 75, 77, 78, 80, 81, 82, 84, 86, 87, 89, 90, 91, 93, 94, 95, 96, 98 (36 số)</t>
        </is>
      </c>
      <c r="K212" s="3" t="inlineStr">
        <is>
          <t>50, 52, 53, 54, 55, 57, 58, 59, 61, 63, 64, 66, 67, 68, 69, 70, 71, 72, 73, 75, 77, 78, 80, 81, 82, 84, 86, 87, 89, 90, 91, 93, 94, 95, 96, 98 (36 số)</t>
        </is>
      </c>
    </row>
    <row r="213">
      <c r="A213" s="2" t="n">
        <v>211</v>
      </c>
      <c r="B213" s="2" t="inlineStr">
        <is>
          <t>Thứ hai ngày 03-08-2026</t>
        </is>
      </c>
      <c r="C213" s="3" t="inlineStr">
        <is>
          <t>25 (Không)</t>
        </is>
      </c>
      <c r="D213" s="3" t="inlineStr">
        <is>
          <t>60 (Trúng)</t>
        </is>
      </c>
      <c r="E213" s="3" t="inlineStr">
        <is>
          <t>67 (Không)</t>
        </is>
      </c>
      <c r="F213" s="3" t="inlineStr">
        <is>
          <t>---</t>
        </is>
      </c>
      <c r="G213" s="6" t="inlineStr">
        <is>
          <t>04, 29 (TRƯỢT ❌)</t>
        </is>
      </c>
      <c r="H213" s="7" t="inlineStr">
        <is>
          <t>TRÚNG N2 (Siêu Lọc 🎯)</t>
        </is>
      </c>
      <c r="I21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213" s="3" t="inlineStr">
        <is>
          <t>50, 51, 54, 55, 56, 59, 60, 63, 64, 65, 68, 69, 72, 73, 74, 77, 78, 79, 81, 82, 83, 86, 87, 88, 90, 91, 92, 95, 96, 97 (30 số)</t>
        </is>
      </c>
      <c r="K213" s="3" t="inlineStr">
        <is>
          <t>50, 51, 54, 55, 56, 59, 60, 63, 64, 65, 68, 69, 72, 73, 74, 77, 78, 79, 81, 82, 83, 86, 87, 88, 90, 91, 92, 95, 96, 97 (30 số)</t>
        </is>
      </c>
    </row>
    <row r="214">
      <c r="A214" s="2" t="n">
        <v>212</v>
      </c>
      <c r="B214" s="2" t="inlineStr">
        <is>
          <t>Thứ ba ngày 04-08-2026</t>
        </is>
      </c>
      <c r="C214" s="3" t="inlineStr">
        <is>
          <t>60 (Không)</t>
        </is>
      </c>
      <c r="D214" s="3" t="inlineStr">
        <is>
          <t>67 (Không)</t>
        </is>
      </c>
      <c r="E214" s="3" t="inlineStr">
        <is>
          <t>79 (Không)</t>
        </is>
      </c>
      <c r="F214" s="3" t="inlineStr">
        <is>
          <t>---</t>
        </is>
      </c>
      <c r="G214" s="6" t="inlineStr">
        <is>
          <t>25, 44 (TRƯỢT ❌)</t>
        </is>
      </c>
      <c r="H214" s="6" t="inlineStr">
        <is>
          <t>TRƯỢT KHUNG ❌</t>
        </is>
      </c>
      <c r="I21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214" s="3" t="inlineStr">
        <is>
          <t>00, 02, 03, 05, 07, 08, 11, 12, 14, 16, 17, 19, 20, 21, 23, 25, 26, 28, 30, 32, 34, 35, 37, 39, 41, 43, 44, 46, 48, 49 (30 số)</t>
        </is>
      </c>
      <c r="K214" s="3" t="inlineStr">
        <is>
          <t>00, 02, 03, 05, 07, 08, 11, 12, 14, 16, 17, 19, 20, 21, 23, 25, 26, 28, 30, 32, 34, 35, 37, 39, 41, 43, 44, 46, 48, 49 (30 số)</t>
        </is>
      </c>
    </row>
    <row r="215">
      <c r="A215" s="2" t="n">
        <v>213</v>
      </c>
      <c r="B215" s="2" t="inlineStr">
        <is>
          <t>Thứ tư ngày 05-08-2026</t>
        </is>
      </c>
      <c r="C215" s="3" t="inlineStr">
        <is>
          <t>67 (Không)</t>
        </is>
      </c>
      <c r="D215" s="3" t="inlineStr">
        <is>
          <t>79 (Không)</t>
        </is>
      </c>
      <c r="E215" s="3" t="inlineStr">
        <is>
          <t>22 (Trúng)</t>
        </is>
      </c>
      <c r="F215" s="3" t="inlineStr">
        <is>
          <t>---</t>
        </is>
      </c>
      <c r="G215" s="6" t="inlineStr">
        <is>
          <t>18, 60 (TRƯỢT ❌)</t>
        </is>
      </c>
      <c r="H215" s="7" t="inlineStr">
        <is>
          <t>TRÚNG N3 (Siêu Lọc 🎯)</t>
        </is>
      </c>
      <c r="I21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215" s="3" t="inlineStr">
        <is>
          <t>01, 02, 04, 06, 07, 09, 10, 11, 13, 15, 16, 18, 20, 22, 24, 25, 27, 29, 31, 33, 34, 36, 38, 39, 40, 42, 43, 45, 47, 48 (30 số)</t>
        </is>
      </c>
      <c r="K215" s="3" t="inlineStr">
        <is>
          <t>01, 02, 04, 06, 07, 09, 10, 11, 13, 15, 16, 18, 20, 22, 24, 25, 27, 29, 31, 33, 34, 36, 38, 39, 40, 42, 43, 45, 47, 48 (30 số)</t>
        </is>
      </c>
    </row>
    <row r="216">
      <c r="A216" s="2" t="n">
        <v>214</v>
      </c>
      <c r="B216" s="2" t="inlineStr">
        <is>
          <t>Thứ năm ngày 06-08-2026</t>
        </is>
      </c>
      <c r="C216" s="3" t="inlineStr">
        <is>
          <t>79 (Không)</t>
        </is>
      </c>
      <c r="D216" s="3" t="inlineStr">
        <is>
          <t>22 (Trúng)</t>
        </is>
      </c>
      <c r="E216" s="3" t="inlineStr">
        <is>
          <t>21 (Trúng)</t>
        </is>
      </c>
      <c r="F216" s="3" t="inlineStr">
        <is>
          <t>---</t>
        </is>
      </c>
      <c r="G216" s="6" t="inlineStr">
        <is>
          <t>35, 67 (TRƯỢT ❌)</t>
        </is>
      </c>
      <c r="H216" s="7" t="inlineStr">
        <is>
          <t>TRÚNG N2 (Siêu Lọc 🎯)</t>
        </is>
      </c>
      <c r="I216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 (80 số)</t>
        </is>
      </c>
      <c r="J216" s="3" t="inlineStr">
        <is>
          <t>02, 04, 07, 08, 09, 11, 13, 14, 16, 17, 18, 19, 20, 21, 22, 23, 25, 26, 27, 28, 30, 31, 32, 34, 35, 36, 37, 39, 40, 41, 43, 44, 45, 46, 48, 49 (36 số)</t>
        </is>
      </c>
      <c r="K216" s="3" t="inlineStr">
        <is>
          <t>02, 04, 07, 08, 09, 11, 13, 14, 16, 17, 18, 19, 20, 21, 22, 23, 25, 26, 27, 28, 30, 31, 32, 34, 35, 36, 37, 39, 40, 41, 43, 44, 45, 46, 48, 49 (36 số)</t>
        </is>
      </c>
    </row>
    <row r="217">
      <c r="A217" s="2" t="n">
        <v>215</v>
      </c>
      <c r="B217" s="2" t="inlineStr">
        <is>
          <t>Thứ sáu ngày 07-08-2026</t>
        </is>
      </c>
      <c r="C217" s="3" t="inlineStr">
        <is>
          <t>22 (Trúng)</t>
        </is>
      </c>
      <c r="D217" s="3" t="inlineStr">
        <is>
          <t>21 (Không)</t>
        </is>
      </c>
      <c r="E217" s="3" t="inlineStr">
        <is>
          <t>57 (Không)</t>
        </is>
      </c>
      <c r="F217" s="3" t="inlineStr">
        <is>
          <t>---</t>
        </is>
      </c>
      <c r="G217" s="6" t="inlineStr">
        <is>
          <t>44, 47 (TRƯỢT ❌)</t>
        </is>
      </c>
      <c r="H217" s="7" t="inlineStr">
        <is>
          <t>TRÚNG N1 🎯</t>
        </is>
      </c>
      <c r="I21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217" s="3" t="inlineStr">
        <is>
          <t>51, 53, 54, 56, 58, 59, 60, 62, 63, 65, 67, 68, 71, 72, 74, 76, 77, 79, 80, 81, 83, 85, 86, 88, 90, 92, 94, 95, 97, 99 (30 số)</t>
        </is>
      </c>
      <c r="K217" s="3" t="inlineStr">
        <is>
          <t>51, 53, 54, 56, 58, 59, 60, 62, 63, 65, 67, 68, 71, 72, 74, 76, 77, 79, 80, 81, 83, 85, 86, 88, 90, 92, 94, 95, 97, 99 (30 số)</t>
        </is>
      </c>
    </row>
    <row r="218">
      <c r="A218" s="2" t="n">
        <v>216</v>
      </c>
      <c r="B218" s="2" t="inlineStr">
        <is>
          <t>Thứ bảy ngày 08-08-2026</t>
        </is>
      </c>
      <c r="C218" s="3" t="inlineStr">
        <is>
          <t>21 (Trúng)</t>
        </is>
      </c>
      <c r="D218" s="3" t="inlineStr">
        <is>
          <t>57 (Không)</t>
        </is>
      </c>
      <c r="E218" s="3" t="inlineStr">
        <is>
          <t>91 (Trúng)</t>
        </is>
      </c>
      <c r="F218" s="3" t="inlineStr">
        <is>
          <t>---</t>
        </is>
      </c>
      <c r="G218" s="6" t="inlineStr">
        <is>
          <t>22, 78 (TRƯỢT ❌)</t>
        </is>
      </c>
      <c r="H218" s="7" t="inlineStr">
        <is>
          <t>TRÚNG N1 🎯</t>
        </is>
      </c>
      <c r="I218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218" s="3" t="inlineStr">
        <is>
          <t>50, 53, 54, 55, 58, 59, 62, 63, 64, 67, 68, 69, 71, 72, 73, 76, 77, 78, 80, 81, 82, 85, 86, 87, 90, 91, 94, 95, 96, 99 (30 số)</t>
        </is>
      </c>
      <c r="K218" s="3" t="inlineStr">
        <is>
          <t>50, 53, 54, 55, 58, 59, 62, 63, 64, 67, 68, 69, 71, 72, 73, 76, 77, 78, 80, 81, 82, 85, 86, 87, 90, 91, 94, 95, 96, 99 (30 số)</t>
        </is>
      </c>
    </row>
    <row r="219">
      <c r="A219" s="2" t="n">
        <v>217</v>
      </c>
      <c r="B219" s="2" t="inlineStr">
        <is>
          <t>Chủ nhật ngày 09-08-2026</t>
        </is>
      </c>
      <c r="C219" s="3" t="inlineStr">
        <is>
          <t>57 (Không)</t>
        </is>
      </c>
      <c r="D219" s="3" t="inlineStr">
        <is>
          <t>91 (Không)</t>
        </is>
      </c>
      <c r="E219" s="3" t="inlineStr">
        <is>
          <t>26 (Trúng)</t>
        </is>
      </c>
      <c r="F219" s="3" t="inlineStr">
        <is>
          <t>---</t>
        </is>
      </c>
      <c r="G219" s="6" t="inlineStr">
        <is>
          <t>21, 29 (TRƯỢT ❌)</t>
        </is>
      </c>
      <c r="H219" s="7" t="inlineStr">
        <is>
          <t>TRÚNG N3 (Siêu Lọc 🎯)</t>
        </is>
      </c>
      <c r="I21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219" s="3" t="inlineStr">
        <is>
          <t>01, 03, 04, 06, 08, 09, 10, 12, 13, 15, 17, 18, 21, 22, 24, 26, 27, 29, 30, 31, 33, 35, 36, 38, 40, 42, 44, 45, 47, 49 (30 số)</t>
        </is>
      </c>
      <c r="K219" s="3" t="inlineStr">
        <is>
          <t>01, 03, 04, 06, 08, 09, 10, 12, 13, 15, 17, 18, 21, 22, 24, 26, 27, 29, 30, 31, 33, 35, 36, 38, 40, 42, 44, 45, 47, 49 (30 số)</t>
        </is>
      </c>
    </row>
    <row r="220">
      <c r="A220" s="2" t="n">
        <v>218</v>
      </c>
      <c r="B220" s="2" t="inlineStr">
        <is>
          <t>Thứ hai ngày 10-08-2026</t>
        </is>
      </c>
      <c r="C220" s="3" t="inlineStr">
        <is>
          <t>91 (Không)</t>
        </is>
      </c>
      <c r="D220" s="3" t="inlineStr">
        <is>
          <t>26 (Không)</t>
        </is>
      </c>
      <c r="E220" s="3" t="inlineStr">
        <is>
          <t>44 (Không)</t>
        </is>
      </c>
      <c r="F220" s="3" t="inlineStr">
        <is>
          <t>---</t>
        </is>
      </c>
      <c r="G220" s="6" t="inlineStr">
        <is>
          <t>02, 06 (TRƯỢT ❌)</t>
        </is>
      </c>
      <c r="H220" s="6" t="inlineStr">
        <is>
          <t>TRƯỢT KHUNG ❌</t>
        </is>
      </c>
      <c r="I220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220" s="3" t="inlineStr">
        <is>
          <t>01, 02, 04, 06, 07, 09, 10, 11, 13, 15, 16, 18, 20, 22, 24, 25, 27, 29, 31, 33, 34, 36, 38, 39, 40, 42, 43, 45, 47, 48 (30 số)</t>
        </is>
      </c>
      <c r="K220" s="3" t="inlineStr">
        <is>
          <t>01, 02, 04, 06, 07, 09, 10, 11, 13, 15, 16, 18, 20, 22, 24, 25, 27, 29, 31, 33, 34, 36, 38, 39, 40, 42, 43, 45, 47, 48 (30 số)</t>
        </is>
      </c>
    </row>
    <row r="221">
      <c r="A221" s="2" t="n">
        <v>219</v>
      </c>
      <c r="B221" s="2" t="inlineStr">
        <is>
          <t>Thứ ba ngày 11-08-2026</t>
        </is>
      </c>
      <c r="C221" s="3" t="inlineStr">
        <is>
          <t>26 (Không)</t>
        </is>
      </c>
      <c r="D221" s="3" t="inlineStr">
        <is>
          <t>44 (Không)</t>
        </is>
      </c>
      <c r="E221" s="3" t="inlineStr">
        <is>
          <t>18 (Không)</t>
        </is>
      </c>
      <c r="F221" s="3" t="inlineStr">
        <is>
          <t>---</t>
        </is>
      </c>
      <c r="G221" s="6" t="inlineStr">
        <is>
          <t>00, 22 (TRƯỢT ❌)</t>
        </is>
      </c>
      <c r="H221" s="6" t="inlineStr">
        <is>
          <t>TRƯỢT KHUNG ❌</t>
        </is>
      </c>
      <c r="I22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221" s="3" t="inlineStr">
        <is>
          <t>50, 51, 54, 55, 56, 59, 60, 63, 64, 65, 68, 69, 72, 73, 74, 77, 78, 79, 81, 82, 83, 86, 87, 88, 90, 91, 92, 95, 96, 97 (30 số)</t>
        </is>
      </c>
      <c r="K221" s="3" t="inlineStr">
        <is>
          <t>50, 51, 54, 55, 56, 59, 60, 63, 64, 65, 68, 69, 72, 73, 74, 77, 78, 79, 81, 82, 83, 86, 87, 88, 90, 91, 92, 95, 96, 97 (30 số)</t>
        </is>
      </c>
    </row>
    <row r="222">
      <c r="A222" s="2" t="n">
        <v>220</v>
      </c>
      <c r="B222" s="2" t="inlineStr">
        <is>
          <t>Thứ tư ngày 12-08-2026</t>
        </is>
      </c>
      <c r="C222" s="3" t="inlineStr">
        <is>
          <t>44 (Trúng)</t>
        </is>
      </c>
      <c r="D222" s="3" t="inlineStr">
        <is>
          <t>18 (Không)</t>
        </is>
      </c>
      <c r="E222" s="3" t="inlineStr">
        <is>
          <t>78 (Trúng)</t>
        </is>
      </c>
      <c r="F222" s="3" t="inlineStr">
        <is>
          <t>---</t>
        </is>
      </c>
      <c r="G222" s="6" t="inlineStr">
        <is>
          <t>00, 21 (TRƯỢT ❌)</t>
        </is>
      </c>
      <c r="H222" s="7" t="inlineStr">
        <is>
          <t>TRÚNG N1 🎯</t>
        </is>
      </c>
      <c r="I222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222" s="3" t="inlineStr">
        <is>
          <t>50, 51, 53, 55, 56, 58, 60, 62, 64, 65, 67, 69, 71, 73, 74, 76, 78, 79, 80, 82, 83, 85, 87, 88, 91, 92, 94, 96, 97, 99 (30 số)</t>
        </is>
      </c>
      <c r="K222" s="3" t="inlineStr">
        <is>
          <t>50, 51, 53, 55, 56, 58, 60, 62, 64, 65, 67, 69, 71, 73, 74, 76, 78, 79, 80, 82, 83, 85, 87, 88, 91, 92, 94, 96, 97, 99 (30 số)</t>
        </is>
      </c>
    </row>
    <row r="223">
      <c r="A223" s="2" t="n">
        <v>221</v>
      </c>
      <c r="B223" s="2" t="inlineStr">
        <is>
          <t>Thứ năm ngày 13-08-2026</t>
        </is>
      </c>
      <c r="C223" s="3" t="inlineStr">
        <is>
          <t>18 (Không)</t>
        </is>
      </c>
      <c r="D223" s="3" t="inlineStr">
        <is>
          <t>78 (Trúng)</t>
        </is>
      </c>
      <c r="E223" s="3" t="inlineStr">
        <is>
          <t>96 (Trúng)</t>
        </is>
      </c>
      <c r="F223" s="3" t="inlineStr">
        <is>
          <t>---</t>
        </is>
      </c>
      <c r="G223" s="6" t="inlineStr">
        <is>
          <t>14, 19 (TRƯỢT ❌)</t>
        </is>
      </c>
      <c r="H223" s="7" t="inlineStr">
        <is>
          <t>TRÚNG N2 (Siêu Lọc 🎯)</t>
        </is>
      </c>
      <c r="I22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223" s="3" t="inlineStr">
        <is>
          <t>50, 52, 53, 55, 57, 58, 61, 62, 64, 66, 67, 69, 70, 71, 73, 75, 76, 78, 80, 82, 84, 85, 87, 89, 91, 93, 94, 96, 98, 99 (30 số)</t>
        </is>
      </c>
      <c r="K223" s="3" t="inlineStr">
        <is>
          <t>50, 52, 53, 55, 57, 58, 61, 62, 64, 66, 67, 69, 70, 71, 73, 75, 76, 78, 80, 82, 84, 85, 87, 89, 91, 93, 94, 96, 98, 99 (30 số)</t>
        </is>
      </c>
    </row>
    <row r="224">
      <c r="A224" s="2" t="n">
        <v>222</v>
      </c>
      <c r="B224" s="2" t="inlineStr">
        <is>
          <t>Thứ sáu ngày 14-08-2026</t>
        </is>
      </c>
      <c r="C224" s="3" t="inlineStr">
        <is>
          <t>78 (Trúng)</t>
        </is>
      </c>
      <c r="D224" s="3" t="inlineStr">
        <is>
          <t>96 (Không)</t>
        </is>
      </c>
      <c r="E224" s="3" t="inlineStr">
        <is>
          <t>39 (Trúng)</t>
        </is>
      </c>
      <c r="F224" s="3" t="inlineStr">
        <is>
          <t>---</t>
        </is>
      </c>
      <c r="G224" s="6" t="inlineStr">
        <is>
          <t>18, 43 (TRƯỢT ❌)</t>
        </is>
      </c>
      <c r="H224" s="7" t="inlineStr">
        <is>
          <t>TRÚNG N1 🎯</t>
        </is>
      </c>
      <c r="I22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224" s="3" t="inlineStr">
        <is>
          <t>00, 02, 04, 05, 07, 09, 11, 13, 14, 16, 18, 19, 20, 22, 23, 25, 27, 28, 31, 32, 34, 36, 37, 39, 40, 41, 43, 45, 46, 48 (30 số)</t>
        </is>
      </c>
      <c r="K224" s="3" t="inlineStr">
        <is>
          <t>00, 02, 04, 05, 07, 09, 11, 13, 14, 16, 18, 19, 20, 22, 23, 25, 27, 28, 31, 32, 34, 36, 37, 39, 40, 41, 43, 45, 46, 48 (30 số)</t>
        </is>
      </c>
    </row>
    <row r="225">
      <c r="A225" s="2" t="n">
        <v>223</v>
      </c>
      <c r="B225" s="2" t="inlineStr">
        <is>
          <t>Thứ bảy ngày 15-08-2026</t>
        </is>
      </c>
      <c r="C225" s="3" t="inlineStr">
        <is>
          <t>96 (Không)</t>
        </is>
      </c>
      <c r="D225" s="3" t="inlineStr">
        <is>
          <t>39 (Trúng)</t>
        </is>
      </c>
      <c r="E225" s="3" t="inlineStr">
        <is>
          <t>83 (Không)</t>
        </is>
      </c>
      <c r="F225" s="3" t="inlineStr">
        <is>
          <t>---</t>
        </is>
      </c>
      <c r="G225" s="6" t="inlineStr">
        <is>
          <t>04, 33 (TRƯỢT ❌)</t>
        </is>
      </c>
      <c r="H225" s="7" t="inlineStr">
        <is>
          <t>TRÚNG N2 (Siêu Lọc 🎯)</t>
        </is>
      </c>
      <c r="I22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225" s="3" t="inlineStr">
        <is>
          <t>01, 02, 04, 06, 07, 09, 10, 11, 13, 15, 16, 18, 20, 22, 24, 25, 27, 29, 31, 33, 34, 36, 38, 39, 40, 42, 43, 45, 47, 48 (30 số)</t>
        </is>
      </c>
      <c r="K225" s="3" t="inlineStr">
        <is>
          <t>01, 02, 04, 06, 07, 09, 10, 11, 13, 15, 16, 18, 20, 22, 24, 25, 27, 29, 31, 33, 34, 36, 38, 39, 40, 42, 43, 45, 47, 48 (30 số)</t>
        </is>
      </c>
    </row>
    <row r="226">
      <c r="A226" s="2" t="n">
        <v>224</v>
      </c>
      <c r="B226" s="2" t="inlineStr">
        <is>
          <t>Chủ nhật ngày 16-08-2026</t>
        </is>
      </c>
      <c r="C226" s="3" t="inlineStr">
        <is>
          <t>39 (Trúng)</t>
        </is>
      </c>
      <c r="D226" s="3" t="inlineStr">
        <is>
          <t>83 (Không)</t>
        </is>
      </c>
      <c r="E226" s="3" t="inlineStr">
        <is>
          <t>43 (Không)</t>
        </is>
      </c>
      <c r="F226" s="3" t="inlineStr">
        <is>
          <t>---</t>
        </is>
      </c>
      <c r="G226" s="6" t="inlineStr">
        <is>
          <t>52, 54 (TRƯỢT ❌)</t>
        </is>
      </c>
      <c r="H226" s="7" t="inlineStr">
        <is>
          <t>TRÚNG N1 🎯</t>
        </is>
      </c>
      <c r="I22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226" s="3" t="inlineStr">
        <is>
          <t>50, 52, 54, 55, 57, 59, 61, 63, 64, 66, 68, 69, 70, 72, 73, 75, 77, 78, 81, 82, 84, 86, 87, 89, 90, 91, 93, 95, 96, 98 (30 số)</t>
        </is>
      </c>
      <c r="K226" s="3" t="inlineStr">
        <is>
          <t>50, 52, 54, 55, 57, 59, 61, 63, 64, 66, 68, 69, 70, 72, 73, 75, 77, 78, 81, 82, 84, 86, 87, 89, 90, 91, 93, 95, 96, 98 (30 số)</t>
        </is>
      </c>
    </row>
    <row r="227">
      <c r="A227" s="2" t="n">
        <v>225</v>
      </c>
      <c r="B227" s="2" t="inlineStr">
        <is>
          <t>Thứ hai ngày 17-08-2026</t>
        </is>
      </c>
      <c r="C227" s="3" t="inlineStr">
        <is>
          <t>83 (Không)</t>
        </is>
      </c>
      <c r="D227" s="3" t="inlineStr">
        <is>
          <t>43 (Trúng)</t>
        </is>
      </c>
      <c r="E227" s="3" t="inlineStr">
        <is>
          <t>23 (Không)</t>
        </is>
      </c>
      <c r="F227" s="3" t="inlineStr">
        <is>
          <t>---</t>
        </is>
      </c>
      <c r="G227" s="6" t="inlineStr">
        <is>
          <t>39, 61 (TRƯỢT ❌)</t>
        </is>
      </c>
      <c r="H227" s="7" t="inlineStr">
        <is>
          <t>TRÚNG N2 (Siêu Lọc 🎯)</t>
        </is>
      </c>
      <c r="I227" s="3" t="inlineStr">
        <is>
          <t>02, 03, 07, 08, 11, 12, 16, 17, 20, 21, 25, 26, 30, 34, 35, 39, 43, 44, 48, 49, 52, 53, 57, 58, 61, 62, 66, 67, 70, 71, 75, 76, 80, 84, 85, 89, 93, 94, 98, 99 (40 số)</t>
        </is>
      </c>
      <c r="J227" s="3" t="inlineStr">
        <is>
          <t>02, 03, 07, 08, 11, 12, 16, 17, 20, 21, 25, 26, 30, 34, 35, 39, 43, 44, 48, 49 (20 số)</t>
        </is>
      </c>
      <c r="K227" s="3" t="inlineStr">
        <is>
          <t>02, 03, 07, 08, 11, 12, 16, 17, 20, 21, 25, 26, 30, 34, 35, 39, 43, 44, 48, 49 (20 số)</t>
        </is>
      </c>
    </row>
    <row r="228">
      <c r="A228" s="2" t="n">
        <v>226</v>
      </c>
      <c r="B228" s="2" t="inlineStr">
        <is>
          <t>Thứ ba ngày 18-08-2026</t>
        </is>
      </c>
      <c r="C228" s="3" t="inlineStr">
        <is>
          <t>43 (Không)</t>
        </is>
      </c>
      <c r="D228" s="3" t="inlineStr">
        <is>
          <t>23 (Không)</t>
        </is>
      </c>
      <c r="E228" s="3" t="inlineStr">
        <is>
          <t>33 (Không)</t>
        </is>
      </c>
      <c r="F228" s="3" t="inlineStr">
        <is>
          <t>---</t>
        </is>
      </c>
      <c r="G228" s="6" t="inlineStr">
        <is>
          <t>04, 13 (TRƯỢT ❌)</t>
        </is>
      </c>
      <c r="H228" s="6" t="inlineStr">
        <is>
          <t>TRƯỢT KHUNG ❌</t>
        </is>
      </c>
      <c r="I228" s="3" t="inlineStr">
        <is>
          <t>01, 04, 06, 09, 10, 13, 15, 18, 22, 24, 27, 29, 31, 33, 36, 38, 40, 42, 45, 47, 51, 54, 56, 59, 60, 63, 65, 68, 72, 74, 77, 79, 81, 83, 86, 88, 90, 92, 95, 97 (40 số)</t>
        </is>
      </c>
      <c r="J228" s="3" t="inlineStr">
        <is>
          <t>51, 54, 56, 59, 60, 63, 65, 68, 72, 74, 77, 79, 81, 83, 86, 88, 90, 92, 95, 97 (20 số)</t>
        </is>
      </c>
      <c r="K228" s="3" t="inlineStr">
        <is>
          <t>51, 54, 56, 59, 60, 63, 65, 68, 72, 74, 77, 79, 81, 83, 86, 88, 90, 92, 95, 97 (20 số)</t>
        </is>
      </c>
    </row>
    <row r="229">
      <c r="A229" s="2" t="n">
        <v>227</v>
      </c>
      <c r="B229" s="2" t="inlineStr">
        <is>
          <t>Thứ tư ngày 19-08-2026</t>
        </is>
      </c>
      <c r="C229" s="3" t="inlineStr">
        <is>
          <t>23 (Trúng)</t>
        </is>
      </c>
      <c r="D229" s="3" t="inlineStr">
        <is>
          <t>33 (Không)</t>
        </is>
      </c>
      <c r="E229" s="3" t="inlineStr">
        <is>
          <t>13 (Không)</t>
        </is>
      </c>
      <c r="F229" s="3" t="inlineStr">
        <is>
          <t>---</t>
        </is>
      </c>
      <c r="G229" s="6" t="inlineStr">
        <is>
          <t>11, 19 (TRƯỢT ❌)</t>
        </is>
      </c>
      <c r="H229" s="7" t="inlineStr">
        <is>
          <t>TRÚNG N1 🎯</t>
        </is>
      </c>
      <c r="I22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229" s="3" t="inlineStr">
        <is>
          <t>50, 52, 54, 55, 57, 59, 61, 63, 64, 66, 68, 69, 70, 72, 73, 75, 77, 78, 81, 82, 84, 86, 87, 89, 90, 91, 93, 95, 96, 98 (30 số)</t>
        </is>
      </c>
      <c r="K229" s="3" t="inlineStr">
        <is>
          <t>50, 52, 54, 55, 57, 59, 61, 63, 64, 66, 68, 69, 70, 72, 73, 75, 77, 78, 81, 82, 84, 86, 87, 89, 90, 91, 93, 95, 96, 98 (30 số)</t>
        </is>
      </c>
    </row>
    <row r="230">
      <c r="A230" s="2" t="n">
        <v>228</v>
      </c>
      <c r="B230" s="2" t="inlineStr">
        <is>
          <t>Thứ năm ngày 20-08-2026</t>
        </is>
      </c>
      <c r="C230" s="3" t="inlineStr">
        <is>
          <t>33 (Trúng)</t>
        </is>
      </c>
      <c r="D230" s="3" t="inlineStr">
        <is>
          <t>13 (Không)</t>
        </is>
      </c>
      <c r="E230" s="3" t="inlineStr">
        <is>
          <t>38 (Không)</t>
        </is>
      </c>
      <c r="F230" s="3" t="inlineStr">
        <is>
          <t>---</t>
        </is>
      </c>
      <c r="G230" s="6" t="inlineStr">
        <is>
          <t>00, 23 (TRƯỢT ❌)</t>
        </is>
      </c>
      <c r="H230" s="7" t="inlineStr">
        <is>
          <t>TRÚNG N1 🎯</t>
        </is>
      </c>
      <c r="I230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230" s="3" t="inlineStr">
        <is>
          <t>50, 51, 52, 55, 56, 57, 60, 61, 64, 65, 66, 69, 70, 73, 74, 75, 78, 79, 82, 83, 84, 87, 88, 89, 91, 92, 93, 96, 97, 98 (30 số)</t>
        </is>
      </c>
      <c r="K230" s="3" t="inlineStr">
        <is>
          <t>50, 51, 52, 55, 56, 57, 60, 61, 64, 65, 66, 69, 70, 73, 74, 75, 78, 79, 82, 83, 84, 87, 88, 89, 91, 92, 93, 96, 97, 98 (30 số)</t>
        </is>
      </c>
    </row>
    <row r="231">
      <c r="A231" s="2" t="n">
        <v>229</v>
      </c>
      <c r="B231" s="2" t="inlineStr">
        <is>
          <t>Thứ sáu ngày 21-08-2026</t>
        </is>
      </c>
      <c r="C231" s="3" t="inlineStr">
        <is>
          <t>13 (Trúng)</t>
        </is>
      </c>
      <c r="D231" s="3" t="inlineStr">
        <is>
          <t>38 (Không)</t>
        </is>
      </c>
      <c r="E231" s="3" t="inlineStr">
        <is>
          <t>17 (Không)</t>
        </is>
      </c>
      <c r="F231" s="3" t="inlineStr">
        <is>
          <t>---</t>
        </is>
      </c>
      <c r="G231" s="6" t="inlineStr">
        <is>
          <t>35, 67 (TRƯỢT ❌)</t>
        </is>
      </c>
      <c r="H231" s="7" t="inlineStr">
        <is>
          <t>TRÚNG N1 🎯</t>
        </is>
      </c>
      <c r="I231" s="3" t="inlineStr">
        <is>
          <t>03, 04, 08, 09, 12, 13, 17, 18, 21, 22, 26, 27, 30, 31, 35, 36, 40, 44, 45, 49, 53, 54, 58, 59, 62, 63, 67, 68, 71, 72, 76, 77, 80, 81, 85, 86, 90, 94, 95, 99 (40 số)</t>
        </is>
      </c>
      <c r="J231" s="3" t="inlineStr">
        <is>
          <t>53, 54, 58, 59, 62, 63, 67, 68, 71, 72, 76, 77, 80, 81, 85, 86, 90, 94, 95, 99 (20 số)</t>
        </is>
      </c>
      <c r="K231" s="3" t="inlineStr">
        <is>
          <t>53, 54, 58, 59, 62, 63, 67, 68, 71, 72, 76, 77, 80, 81, 85, 86, 90, 94, 95, 99 (20 số)</t>
        </is>
      </c>
    </row>
    <row r="232">
      <c r="A232" s="2" t="n">
        <v>230</v>
      </c>
      <c r="B232" s="2" t="inlineStr">
        <is>
          <t>Thứ bảy ngày 22-08-2026</t>
        </is>
      </c>
      <c r="C232" s="3" t="inlineStr">
        <is>
          <t>38 (Trúng)</t>
        </is>
      </c>
      <c r="D232" s="3" t="inlineStr">
        <is>
          <t>17 (Không)</t>
        </is>
      </c>
      <c r="E232" s="3" t="inlineStr">
        <is>
          <t>80 (Trúng)</t>
        </is>
      </c>
      <c r="F232" s="3" t="inlineStr">
        <is>
          <t>---</t>
        </is>
      </c>
      <c r="G232" s="6" t="inlineStr">
        <is>
          <t>06, 09 (TRƯỢT ❌)</t>
        </is>
      </c>
      <c r="H232" s="7" t="inlineStr">
        <is>
          <t>TRÚNG N1 🎯</t>
        </is>
      </c>
      <c r="I232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 (80 số)</t>
        </is>
      </c>
      <c r="J232" s="3" t="inlineStr">
        <is>
          <t>50, 51, 53, 54, 55, 56, 58, 59, 60, 63, 64, 67, 68, 69, 71, 72, 73, 74, 77, 78, 79, 80, 81, 82, 83, 86, 87, 88, 90, 91, 92, 94, 95, 96, 97, 99 (36 số)</t>
        </is>
      </c>
      <c r="K232" s="3" t="inlineStr">
        <is>
          <t>50, 51, 53, 54, 55, 56, 58, 59, 60, 63, 64, 67, 68, 69, 71, 72, 73, 74, 77, 78, 79, 80, 81, 82, 83, 86, 87, 88, 90, 91, 92, 94, 95, 96, 97, 99 (36 số)</t>
        </is>
      </c>
    </row>
    <row r="233">
      <c r="A233" s="2" t="n">
        <v>231</v>
      </c>
      <c r="B233" s="2" t="inlineStr">
        <is>
          <t>Chủ nhật ngày 23-08-2026</t>
        </is>
      </c>
      <c r="C233" s="3" t="inlineStr">
        <is>
          <t>17 (Trúng)</t>
        </is>
      </c>
      <c r="D233" s="3" t="inlineStr">
        <is>
          <t>80 (Trúng)</t>
        </is>
      </c>
      <c r="E233" s="3" t="inlineStr">
        <is>
          <t>61 (Không)</t>
        </is>
      </c>
      <c r="F233" s="3" t="inlineStr">
        <is>
          <t>---</t>
        </is>
      </c>
      <c r="G233" s="6" t="inlineStr">
        <is>
          <t>38, 68 (TRƯỢT ❌)</t>
        </is>
      </c>
      <c r="H233" s="7" t="inlineStr">
        <is>
          <t>TRÚNG N1 🎯</t>
        </is>
      </c>
      <c r="I233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 (80 số)</t>
        </is>
      </c>
      <c r="J233" s="3" t="inlineStr">
        <is>
          <t>50, 51, 53, 54, 55, 56, 58, 59, 60, 63, 64, 67, 68, 69, 71, 72, 73, 74, 77, 78, 79, 80, 81, 82, 83, 86, 87, 88, 90, 91, 92, 94, 95, 96, 97, 99 (36 số)</t>
        </is>
      </c>
      <c r="K233" s="3" t="inlineStr">
        <is>
          <t>50, 51, 53, 54, 55, 56, 58, 59, 60, 63, 64, 67, 68, 69, 71, 72, 73, 74, 77, 78, 79, 80, 81, 82, 83, 86, 87, 88, 90, 91, 92, 94, 95, 96, 97, 99 (36 số)</t>
        </is>
      </c>
    </row>
    <row r="234">
      <c r="A234" s="2" t="n">
        <v>232</v>
      </c>
      <c r="B234" s="2" t="inlineStr">
        <is>
          <t>Thứ hai ngày 24-08-2026</t>
        </is>
      </c>
      <c r="C234" s="3" t="inlineStr">
        <is>
          <t>80 (Trúng)</t>
        </is>
      </c>
      <c r="D234" s="3" t="inlineStr">
        <is>
          <t>61 (Không)</t>
        </is>
      </c>
      <c r="E234" s="3" t="inlineStr">
        <is>
          <t>45 (Trúng)</t>
        </is>
      </c>
      <c r="F234" s="3" t="inlineStr">
        <is>
          <t>---</t>
        </is>
      </c>
      <c r="G234" s="6" t="inlineStr">
        <is>
          <t>17, 19 (TRƯỢT ❌)</t>
        </is>
      </c>
      <c r="H234" s="7" t="inlineStr">
        <is>
          <t>TRÚNG N1 🎯</t>
        </is>
      </c>
      <c r="I23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234" s="3" t="inlineStr">
        <is>
          <t>00, 03, 04, 05, 08, 09, 12, 13, 14, 17, 18, 19, 21, 22, 23, 26, 27, 28, 30, 31, 32, 35, 36, 37, 40, 41, 44, 45, 46, 49 (30 số)</t>
        </is>
      </c>
      <c r="K234" s="3" t="inlineStr">
        <is>
          <t>00, 03, 04, 05, 08, 09, 12, 13, 14, 17, 18, 19, 21, 22, 23, 26, 27, 28, 30, 31, 32, 35, 36, 37, 40, 41, 44, 45, 46, 49 (30 số)</t>
        </is>
      </c>
    </row>
    <row r="235">
      <c r="A235" s="2" t="n">
        <v>233</v>
      </c>
      <c r="B235" s="2" t="inlineStr">
        <is>
          <t>Thứ ba ngày 25-08-2026</t>
        </is>
      </c>
      <c r="C235" s="3" t="inlineStr">
        <is>
          <t>61 (Trúng)</t>
        </is>
      </c>
      <c r="D235" s="3" t="inlineStr">
        <is>
          <t>45 (Trúng)</t>
        </is>
      </c>
      <c r="E235" s="3" t="inlineStr">
        <is>
          <t>68 (Không)</t>
        </is>
      </c>
      <c r="F235" s="3" t="inlineStr">
        <is>
          <t>---</t>
        </is>
      </c>
      <c r="G235" s="7" t="inlineStr">
        <is>
          <t>09, 45 (TRÚNG 🎯)</t>
        </is>
      </c>
      <c r="H235" s="7" t="inlineStr">
        <is>
          <t>TRÚNG N1 🎯</t>
        </is>
      </c>
      <c r="I23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235" s="3" t="inlineStr">
        <is>
          <t>00, 02, 04, 05, 07, 09, 11, 13, 14, 16, 18, 19, 20, 22, 23, 25, 27, 28, 31, 32, 34, 36, 37, 39, 40, 41, 43, 45, 46, 48 (30 số)</t>
        </is>
      </c>
      <c r="K235" s="3" t="inlineStr">
        <is>
          <t>00, 02, 04, 05, 07, 09, 11, 13, 14, 16, 18, 19, 20, 22, 23, 25, 27, 28, 31, 32, 34, 36, 37, 39, 40, 41, 43, 45, 46, 48 (30 số)</t>
        </is>
      </c>
    </row>
    <row r="236">
      <c r="A236" s="2" t="n">
        <v>234</v>
      </c>
      <c r="B236" s="2" t="inlineStr">
        <is>
          <t>Thứ tư ngày 26-08-2026</t>
        </is>
      </c>
      <c r="C236" s="3" t="inlineStr">
        <is>
          <t>45 (Trúng)</t>
        </is>
      </c>
      <c r="D236" s="3" t="inlineStr">
        <is>
          <t>68 (Trúng)</t>
        </is>
      </c>
      <c r="E236" s="3" t="inlineStr">
        <is>
          <t>37 (Không)</t>
        </is>
      </c>
      <c r="F236" s="3" t="inlineStr">
        <is>
          <t>---</t>
        </is>
      </c>
      <c r="G236" s="7" t="inlineStr">
        <is>
          <t>23, 68 (TRÚNG 🎯)</t>
        </is>
      </c>
      <c r="H236" s="7" t="inlineStr">
        <is>
          <t>TRÚNG N1 🎯</t>
        </is>
      </c>
      <c r="I236" s="3" t="inlineStr">
        <is>
          <t>00, 04, 05, 09, 13, 14, 18, 19, 22, 23, 27, 28, 31, 32, 36, 37, 40, 41, 45, 46, 50, 54, 55, 59, 63, 64, 68, 69, 72, 73, 77, 78, 81, 82, 86, 87, 90, 91, 95, 96 (40 số)</t>
        </is>
      </c>
      <c r="J236" s="3" t="inlineStr">
        <is>
          <t>50, 54, 55, 59, 63, 64, 68, 69, 72, 73, 77, 78, 81, 82, 86, 87, 90, 91, 95, 96 (20 số)</t>
        </is>
      </c>
      <c r="K236" s="3" t="inlineStr">
        <is>
          <t>50, 54, 55, 59, 63, 64, 68, 69, 72, 73, 77, 78, 81, 82, 86, 87, 90, 91, 95, 96 (20 số)</t>
        </is>
      </c>
    </row>
    <row r="237">
      <c r="A237" s="2" t="n">
        <v>235</v>
      </c>
      <c r="B237" s="2" t="inlineStr">
        <is>
          <t>Thứ năm ngày 27-08-2026</t>
        </is>
      </c>
      <c r="C237" s="3" t="inlineStr">
        <is>
          <t>68 (Trúng)</t>
        </is>
      </c>
      <c r="D237" s="3" t="inlineStr">
        <is>
          <t>37 (Không)</t>
        </is>
      </c>
      <c r="E237" s="3" t="inlineStr">
        <is>
          <t>72 (Không)</t>
        </is>
      </c>
      <c r="F237" s="3" t="inlineStr">
        <is>
          <t>---</t>
        </is>
      </c>
      <c r="G237" s="6" t="inlineStr">
        <is>
          <t>03, 45 (TRƯỢT ❌)</t>
        </is>
      </c>
      <c r="H237" s="7" t="inlineStr">
        <is>
          <t>TRÚNG N1 🎯</t>
        </is>
      </c>
      <c r="I23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237" s="3" t="inlineStr">
        <is>
          <t>02, 03, 04, 07, 08, 09, 11, 12, 13, 16, 17, 18, 20, 21, 22, 25, 26, 27, 30, 31, 34, 35, 36, 39, 40, 43, 44, 45, 48, 49 (30 số)</t>
        </is>
      </c>
      <c r="K237" s="3" t="inlineStr">
        <is>
          <t>02, 03, 04, 07, 08, 09, 11, 12, 13, 16, 17, 18, 20, 21, 22, 25, 26, 27, 30, 31, 34, 35, 36, 39, 40, 43, 44, 45, 48, 49 (30 số)</t>
        </is>
      </c>
    </row>
    <row r="238">
      <c r="A238" s="2" t="n">
        <v>236</v>
      </c>
      <c r="B238" s="2" t="inlineStr">
        <is>
          <t>Thứ sáu ngày 28-08-2026</t>
        </is>
      </c>
      <c r="C238" s="3" t="inlineStr">
        <is>
          <t>37 (Trúng)</t>
        </is>
      </c>
      <c r="D238" s="3" t="inlineStr">
        <is>
          <t>72 (Trúng)</t>
        </is>
      </c>
      <c r="E238" s="3" t="inlineStr">
        <is>
          <t>44 (Không)</t>
        </is>
      </c>
      <c r="F238" s="3" t="inlineStr">
        <is>
          <t>---</t>
        </is>
      </c>
      <c r="G238" s="6" t="inlineStr">
        <is>
          <t>07, 59 (TRƯỢT ❌)</t>
        </is>
      </c>
      <c r="H238" s="7" t="inlineStr">
        <is>
          <t>TRÚNG N1 🎯</t>
        </is>
      </c>
      <c r="I23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238" s="3" t="inlineStr">
        <is>
          <t>50, 52, 54, 55, 57, 59, 61, 63, 64, 66, 68, 69, 70, 72, 73, 75, 77, 78, 81, 82, 84, 86, 87, 89, 90, 91, 93, 95, 96, 98 (30 số)</t>
        </is>
      </c>
      <c r="K238" s="3" t="inlineStr">
        <is>
          <t>50, 52, 54, 55, 57, 59, 61, 63, 64, 66, 68, 69, 70, 72, 73, 75, 77, 78, 81, 82, 84, 86, 87, 89, 90, 91, 93, 95, 96, 98 (30 số)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4" customWidth="1" min="3" max="3"/>
    <col width="12" customWidth="1" min="4" max="4"/>
    <col width="15" customWidth="1" min="5" max="5"/>
    <col width="19" customWidth="1" min="6" max="6"/>
    <col width="14" customWidth="1" min="7" max="7"/>
    <col width="30" customWidth="1" min="8" max="8"/>
  </cols>
  <sheetData>
    <row r="1">
      <c r="A1" s="1" t="inlineStr">
        <is>
          <t>Thứ Hạng</t>
        </is>
      </c>
      <c r="B1" s="1" t="inlineStr">
        <is>
          <t>Loại Số</t>
        </is>
      </c>
      <c r="C1" s="1" t="inlineStr">
        <is>
          <t>Số Dự Đoán</t>
        </is>
      </c>
      <c r="D1" s="1" t="inlineStr">
        <is>
          <t>Càng Đầu</t>
        </is>
      </c>
      <c r="E1" s="1" t="inlineStr">
        <is>
          <t>Gốc 2D / 3D</t>
        </is>
      </c>
      <c r="F1" s="1" t="inlineStr">
        <is>
          <t>Điểm Đồng Thuận</t>
        </is>
      </c>
      <c r="G1" s="1" t="inlineStr">
        <is>
          <t>Phân Loại</t>
        </is>
      </c>
      <c r="H1" s="1" t="inlineStr">
        <is>
          <t>Khuyến Nghị</t>
        </is>
      </c>
    </row>
    <row r="2">
      <c r="A2" s="2" t="inlineStr">
        <is>
          <t>🥇 TOP 20 BA CÀNG (3D) MẠNH NHẤT</t>
        </is>
      </c>
      <c r="B2" s="2" t="inlineStr">
        <is>
          <t>Ba Càng 3D</t>
        </is>
      </c>
      <c r="C2" s="3" t="inlineStr">
        <is>
          <t>---</t>
        </is>
      </c>
      <c r="D2" s="3" t="inlineStr">
        <is>
          <t>---</t>
        </is>
      </c>
      <c r="E2" s="3" t="inlineStr">
        <is>
          <t>---</t>
        </is>
      </c>
      <c r="F2" s="3" t="inlineStr">
        <is>
          <t>---</t>
        </is>
      </c>
      <c r="G2" s="3" t="inlineStr">
        <is>
          <t>MẠNH NHẤT</t>
        </is>
      </c>
      <c r="H2" s="3" t="inlineStr">
        <is>
          <t>Bắt nhịp hỏa lực 3D Top 20</t>
        </is>
      </c>
    </row>
    <row r="3">
      <c r="A3" s="2" t="inlineStr">
        <is>
          <t>Top 01</t>
        </is>
      </c>
      <c r="B3" s="2" t="inlineStr">
        <is>
          <t>Ba Càng (3D)</t>
        </is>
      </c>
      <c r="C3" s="3" t="inlineStr">
        <is>
          <t>039</t>
        </is>
      </c>
      <c r="D3" s="3" t="inlineStr">
        <is>
          <t>Càng 0</t>
        </is>
      </c>
      <c r="E3" s="3" t="inlineStr">
        <is>
          <t>Đề 39</t>
        </is>
      </c>
      <c r="F3" s="3" t="n">
        <v>54</v>
      </c>
      <c r="G3" s="3" t="inlineStr">
        <is>
          <t>MẠNH</t>
        </is>
      </c>
      <c r="H3" s="3" t="inlineStr">
        <is>
          <t>Ưu tiên dàn chính hỏa lực</t>
        </is>
      </c>
    </row>
    <row r="4">
      <c r="A4" s="2" t="inlineStr">
        <is>
          <t>Top 02</t>
        </is>
      </c>
      <c r="B4" s="2" t="inlineStr">
        <is>
          <t>Ba Càng (3D)</t>
        </is>
      </c>
      <c r="C4" s="3" t="inlineStr">
        <is>
          <t>239</t>
        </is>
      </c>
      <c r="D4" s="3" t="inlineStr">
        <is>
          <t>Càng 2</t>
        </is>
      </c>
      <c r="E4" s="3" t="inlineStr">
        <is>
          <t>Đề 39</t>
        </is>
      </c>
      <c r="F4" s="3" t="n">
        <v>54</v>
      </c>
      <c r="G4" s="3" t="inlineStr">
        <is>
          <t>MẠNH</t>
        </is>
      </c>
      <c r="H4" s="3" t="inlineStr">
        <is>
          <t>Ưu tiên dàn chính hỏa lực</t>
        </is>
      </c>
    </row>
    <row r="5">
      <c r="A5" s="2" t="inlineStr">
        <is>
          <t>Top 03</t>
        </is>
      </c>
      <c r="B5" s="2" t="inlineStr">
        <is>
          <t>Ba Càng (3D)</t>
        </is>
      </c>
      <c r="C5" s="3" t="inlineStr">
        <is>
          <t>439</t>
        </is>
      </c>
      <c r="D5" s="3" t="inlineStr">
        <is>
          <t>Càng 4</t>
        </is>
      </c>
      <c r="E5" s="3" t="inlineStr">
        <is>
          <t>Đề 39</t>
        </is>
      </c>
      <c r="F5" s="3" t="n">
        <v>54</v>
      </c>
      <c r="G5" s="3" t="inlineStr">
        <is>
          <t>MẠNH</t>
        </is>
      </c>
      <c r="H5" s="3" t="inlineStr">
        <is>
          <t>Ưu tiên dàn chính hỏa lực</t>
        </is>
      </c>
    </row>
    <row r="6">
      <c r="A6" s="2" t="inlineStr">
        <is>
          <t>Top 04</t>
        </is>
      </c>
      <c r="B6" s="2" t="inlineStr">
        <is>
          <t>Ba Càng (3D)</t>
        </is>
      </c>
      <c r="C6" s="3" t="inlineStr">
        <is>
          <t>539</t>
        </is>
      </c>
      <c r="D6" s="3" t="inlineStr">
        <is>
          <t>Càng 5</t>
        </is>
      </c>
      <c r="E6" s="3" t="inlineStr">
        <is>
          <t>Đề 39</t>
        </is>
      </c>
      <c r="F6" s="3" t="n">
        <v>54</v>
      </c>
      <c r="G6" s="3" t="inlineStr">
        <is>
          <t>MẠNH</t>
        </is>
      </c>
      <c r="H6" s="3" t="inlineStr">
        <is>
          <t>Khung lót bổ trợ</t>
        </is>
      </c>
    </row>
    <row r="7">
      <c r="A7" s="2" t="inlineStr">
        <is>
          <t>Top 05</t>
        </is>
      </c>
      <c r="B7" s="2" t="inlineStr">
        <is>
          <t>Ba Càng (3D)</t>
        </is>
      </c>
      <c r="C7" s="3" t="inlineStr">
        <is>
          <t>739</t>
        </is>
      </c>
      <c r="D7" s="3" t="inlineStr">
        <is>
          <t>Càng 7</t>
        </is>
      </c>
      <c r="E7" s="3" t="inlineStr">
        <is>
          <t>Đề 39</t>
        </is>
      </c>
      <c r="F7" s="3" t="n">
        <v>54</v>
      </c>
      <c r="G7" s="3" t="inlineStr">
        <is>
          <t>MẠNH</t>
        </is>
      </c>
      <c r="H7" s="3" t="inlineStr">
        <is>
          <t>Khung lót bổ trợ</t>
        </is>
      </c>
    </row>
    <row r="8">
      <c r="A8" s="2" t="inlineStr">
        <is>
          <t>Top 06</t>
        </is>
      </c>
      <c r="B8" s="2" t="inlineStr">
        <is>
          <t>Ba Càng (3D)</t>
        </is>
      </c>
      <c r="C8" s="3" t="inlineStr">
        <is>
          <t>013</t>
        </is>
      </c>
      <c r="D8" s="3" t="inlineStr">
        <is>
          <t>Càng 0</t>
        </is>
      </c>
      <c r="E8" s="3" t="inlineStr">
        <is>
          <t>Đề 13</t>
        </is>
      </c>
      <c r="F8" s="3" t="n">
        <v>49.2</v>
      </c>
      <c r="G8" s="3" t="inlineStr">
        <is>
          <t>TRUNG BÌNH</t>
        </is>
      </c>
      <c r="H8" s="3" t="inlineStr">
        <is>
          <t>Khung lót bổ trợ</t>
        </is>
      </c>
    </row>
    <row r="9">
      <c r="A9" s="2" t="inlineStr">
        <is>
          <t>Top 07</t>
        </is>
      </c>
      <c r="B9" s="2" t="inlineStr">
        <is>
          <t>Ba Càng (3D)</t>
        </is>
      </c>
      <c r="C9" s="3" t="inlineStr">
        <is>
          <t>213</t>
        </is>
      </c>
      <c r="D9" s="3" t="inlineStr">
        <is>
          <t>Càng 2</t>
        </is>
      </c>
      <c r="E9" s="3" t="inlineStr">
        <is>
          <t>Đề 13</t>
        </is>
      </c>
      <c r="F9" s="3" t="n">
        <v>49.2</v>
      </c>
      <c r="G9" s="3" t="inlineStr">
        <is>
          <t>TRUNG BÌNH</t>
        </is>
      </c>
      <c r="H9" s="3" t="inlineStr">
        <is>
          <t>Khung lót bổ trợ</t>
        </is>
      </c>
    </row>
    <row r="10">
      <c r="A10" s="2" t="inlineStr">
        <is>
          <t>Top 08</t>
        </is>
      </c>
      <c r="B10" s="2" t="inlineStr">
        <is>
          <t>Ba Càng (3D)</t>
        </is>
      </c>
      <c r="C10" s="3" t="inlineStr">
        <is>
          <t>413</t>
        </is>
      </c>
      <c r="D10" s="3" t="inlineStr">
        <is>
          <t>Càng 4</t>
        </is>
      </c>
      <c r="E10" s="3" t="inlineStr">
        <is>
          <t>Đề 13</t>
        </is>
      </c>
      <c r="F10" s="3" t="n">
        <v>49.2</v>
      </c>
      <c r="G10" s="3" t="inlineStr">
        <is>
          <t>TRUNG BÌNH</t>
        </is>
      </c>
      <c r="H10" s="3" t="inlineStr">
        <is>
          <t>Khung lót bổ trợ</t>
        </is>
      </c>
    </row>
    <row r="11">
      <c r="A11" s="2" t="inlineStr">
        <is>
          <t>Top 09</t>
        </is>
      </c>
      <c r="B11" s="2" t="inlineStr">
        <is>
          <t>Ba Càng (3D)</t>
        </is>
      </c>
      <c r="C11" s="3" t="inlineStr">
        <is>
          <t>513</t>
        </is>
      </c>
      <c r="D11" s="3" t="inlineStr">
        <is>
          <t>Càng 5</t>
        </is>
      </c>
      <c r="E11" s="3" t="inlineStr">
        <is>
          <t>Đề 13</t>
        </is>
      </c>
      <c r="F11" s="3" t="n">
        <v>49.2</v>
      </c>
      <c r="G11" s="3" t="inlineStr">
        <is>
          <t>TRUNG BÌNH</t>
        </is>
      </c>
      <c r="H11" s="3" t="inlineStr">
        <is>
          <t>Khung lót bổ trợ</t>
        </is>
      </c>
    </row>
    <row r="12">
      <c r="A12" s="2" t="inlineStr">
        <is>
          <t>Top 10</t>
        </is>
      </c>
      <c r="B12" s="2" t="inlineStr">
        <is>
          <t>Ba Càng (3D)</t>
        </is>
      </c>
      <c r="C12" s="3" t="inlineStr">
        <is>
          <t>713</t>
        </is>
      </c>
      <c r="D12" s="3" t="inlineStr">
        <is>
          <t>Càng 7</t>
        </is>
      </c>
      <c r="E12" s="3" t="inlineStr">
        <is>
          <t>Đề 13</t>
        </is>
      </c>
      <c r="F12" s="3" t="n">
        <v>49.2</v>
      </c>
      <c r="G12" s="3" t="inlineStr">
        <is>
          <t>TRUNG BÌNH</t>
        </is>
      </c>
      <c r="H12" s="3" t="inlineStr">
        <is>
          <t>Khung lót bổ trợ</t>
        </is>
      </c>
    </row>
    <row r="13">
      <c r="A13" s="2" t="inlineStr">
        <is>
          <t>Top 11</t>
        </is>
      </c>
      <c r="B13" s="2" t="inlineStr">
        <is>
          <t>Ba Càng (3D)</t>
        </is>
      </c>
      <c r="C13" s="3" t="inlineStr">
        <is>
          <t>022</t>
        </is>
      </c>
      <c r="D13" s="3" t="inlineStr">
        <is>
          <t>Càng 0</t>
        </is>
      </c>
      <c r="E13" s="3" t="inlineStr">
        <is>
          <t>Đề 22</t>
        </is>
      </c>
      <c r="F13" s="3" t="n">
        <v>49.2</v>
      </c>
      <c r="G13" s="3" t="inlineStr">
        <is>
          <t>DÀN LÓT</t>
        </is>
      </c>
      <c r="H13" s="3" t="inlineStr">
        <is>
          <t>Khung lót bổ trợ</t>
        </is>
      </c>
    </row>
    <row r="14">
      <c r="A14" s="2" t="inlineStr">
        <is>
          <t>Top 12</t>
        </is>
      </c>
      <c r="B14" s="2" t="inlineStr">
        <is>
          <t>Ba Càng (3D)</t>
        </is>
      </c>
      <c r="C14" s="3" t="inlineStr">
        <is>
          <t>222</t>
        </is>
      </c>
      <c r="D14" s="3" t="inlineStr">
        <is>
          <t>Càng 2</t>
        </is>
      </c>
      <c r="E14" s="3" t="inlineStr">
        <is>
          <t>Đề 22</t>
        </is>
      </c>
      <c r="F14" s="3" t="n">
        <v>49.2</v>
      </c>
      <c r="G14" s="3" t="inlineStr">
        <is>
          <t>DÀN LÓT</t>
        </is>
      </c>
      <c r="H14" s="3" t="inlineStr">
        <is>
          <t>Khung lót bổ trợ</t>
        </is>
      </c>
    </row>
    <row r="15">
      <c r="A15" s="2" t="inlineStr">
        <is>
          <t>Top 13</t>
        </is>
      </c>
      <c r="B15" s="2" t="inlineStr">
        <is>
          <t>Ba Càng (3D)</t>
        </is>
      </c>
      <c r="C15" s="3" t="inlineStr">
        <is>
          <t>422</t>
        </is>
      </c>
      <c r="D15" s="3" t="inlineStr">
        <is>
          <t>Càng 4</t>
        </is>
      </c>
      <c r="E15" s="3" t="inlineStr">
        <is>
          <t>Đề 22</t>
        </is>
      </c>
      <c r="F15" s="3" t="n">
        <v>49.2</v>
      </c>
      <c r="G15" s="3" t="inlineStr">
        <is>
          <t>DÀN LÓT</t>
        </is>
      </c>
      <c r="H15" s="3" t="inlineStr">
        <is>
          <t>Khung lót bổ trợ</t>
        </is>
      </c>
    </row>
    <row r="16">
      <c r="A16" s="2" t="inlineStr">
        <is>
          <t>Top 14</t>
        </is>
      </c>
      <c r="B16" s="2" t="inlineStr">
        <is>
          <t>Ba Càng (3D)</t>
        </is>
      </c>
      <c r="C16" s="3" t="inlineStr">
        <is>
          <t>522</t>
        </is>
      </c>
      <c r="D16" s="3" t="inlineStr">
        <is>
          <t>Càng 5</t>
        </is>
      </c>
      <c r="E16" s="3" t="inlineStr">
        <is>
          <t>Đề 22</t>
        </is>
      </c>
      <c r="F16" s="3" t="n">
        <v>49.2</v>
      </c>
      <c r="G16" s="3" t="inlineStr">
        <is>
          <t>DÀN LÓT</t>
        </is>
      </c>
      <c r="H16" s="3" t="inlineStr">
        <is>
          <t>Khung lót bổ trợ</t>
        </is>
      </c>
    </row>
    <row r="17">
      <c r="A17" s="2" t="inlineStr">
        <is>
          <t>Top 15</t>
        </is>
      </c>
      <c r="B17" s="2" t="inlineStr">
        <is>
          <t>Ba Càng (3D)</t>
        </is>
      </c>
      <c r="C17" s="3" t="inlineStr">
        <is>
          <t>722</t>
        </is>
      </c>
      <c r="D17" s="3" t="inlineStr">
        <is>
          <t>Càng 7</t>
        </is>
      </c>
      <c r="E17" s="3" t="inlineStr">
        <is>
          <t>Đề 22</t>
        </is>
      </c>
      <c r="F17" s="3" t="n">
        <v>49.2</v>
      </c>
      <c r="G17" s="3" t="inlineStr">
        <is>
          <t>DÀN LÓT</t>
        </is>
      </c>
      <c r="H17" s="3" t="inlineStr">
        <is>
          <t>Khung lót bổ trợ</t>
        </is>
      </c>
    </row>
    <row r="18">
      <c r="A18" s="2" t="inlineStr">
        <is>
          <t>Top 16</t>
        </is>
      </c>
      <c r="B18" s="2" t="inlineStr">
        <is>
          <t>Ba Càng (3D)</t>
        </is>
      </c>
      <c r="C18" s="3" t="inlineStr">
        <is>
          <t>043</t>
        </is>
      </c>
      <c r="D18" s="3" t="inlineStr">
        <is>
          <t>Càng 0</t>
        </is>
      </c>
      <c r="E18" s="3" t="inlineStr">
        <is>
          <t>Đề 43</t>
        </is>
      </c>
      <c r="F18" s="3" t="n">
        <v>49.2</v>
      </c>
      <c r="G18" s="3" t="inlineStr">
        <is>
          <t>DÀN LÓT</t>
        </is>
      </c>
      <c r="H18" s="3" t="inlineStr">
        <is>
          <t>Khung lót bổ trợ</t>
        </is>
      </c>
    </row>
    <row r="19">
      <c r="A19" s="2" t="inlineStr">
        <is>
          <t>Top 17</t>
        </is>
      </c>
      <c r="B19" s="2" t="inlineStr">
        <is>
          <t>Ba Càng (3D)</t>
        </is>
      </c>
      <c r="C19" s="3" t="inlineStr">
        <is>
          <t>243</t>
        </is>
      </c>
      <c r="D19" s="3" t="inlineStr">
        <is>
          <t>Càng 2</t>
        </is>
      </c>
      <c r="E19" s="3" t="inlineStr">
        <is>
          <t>Đề 43</t>
        </is>
      </c>
      <c r="F19" s="3" t="n">
        <v>49.2</v>
      </c>
      <c r="G19" s="3" t="inlineStr">
        <is>
          <t>DÀN LÓT</t>
        </is>
      </c>
      <c r="H19" s="3" t="inlineStr">
        <is>
          <t>Khung lót bổ trợ</t>
        </is>
      </c>
    </row>
    <row r="20">
      <c r="A20" s="2" t="inlineStr">
        <is>
          <t>Top 18</t>
        </is>
      </c>
      <c r="B20" s="2" t="inlineStr">
        <is>
          <t>Ba Càng (3D)</t>
        </is>
      </c>
      <c r="C20" s="3" t="inlineStr">
        <is>
          <t>443</t>
        </is>
      </c>
      <c r="D20" s="3" t="inlineStr">
        <is>
          <t>Càng 4</t>
        </is>
      </c>
      <c r="E20" s="3" t="inlineStr">
        <is>
          <t>Đề 43</t>
        </is>
      </c>
      <c r="F20" s="3" t="n">
        <v>49.2</v>
      </c>
      <c r="G20" s="3" t="inlineStr">
        <is>
          <t>DÀN LÓT</t>
        </is>
      </c>
      <c r="H20" s="3" t="inlineStr">
        <is>
          <t>Khung lót bổ trợ</t>
        </is>
      </c>
    </row>
    <row r="21">
      <c r="A21" s="2" t="inlineStr">
        <is>
          <t>Top 19</t>
        </is>
      </c>
      <c r="B21" s="2" t="inlineStr">
        <is>
          <t>Ba Càng (3D)</t>
        </is>
      </c>
      <c r="C21" s="3" t="inlineStr">
        <is>
          <t>543</t>
        </is>
      </c>
      <c r="D21" s="3" t="inlineStr">
        <is>
          <t>Càng 5</t>
        </is>
      </c>
      <c r="E21" s="3" t="inlineStr">
        <is>
          <t>Đề 43</t>
        </is>
      </c>
      <c r="F21" s="3" t="n">
        <v>49.2</v>
      </c>
      <c r="G21" s="3" t="inlineStr">
        <is>
          <t>DÀN LÓT</t>
        </is>
      </c>
      <c r="H21" s="3" t="inlineStr">
        <is>
          <t>Khung lót bổ trợ</t>
        </is>
      </c>
    </row>
    <row r="22">
      <c r="A22" s="2" t="inlineStr">
        <is>
          <t>Top 20</t>
        </is>
      </c>
      <c r="B22" s="2" t="inlineStr">
        <is>
          <t>Ba Càng (3D)</t>
        </is>
      </c>
      <c r="C22" s="3" t="inlineStr">
        <is>
          <t>743</t>
        </is>
      </c>
      <c r="D22" s="3" t="inlineStr">
        <is>
          <t>Càng 7</t>
        </is>
      </c>
      <c r="E22" s="3" t="inlineStr">
        <is>
          <t>Đề 43</t>
        </is>
      </c>
      <c r="F22" s="3" t="n">
        <v>49.2</v>
      </c>
      <c r="G22" s="3" t="inlineStr">
        <is>
          <t>DÀN LÓT</t>
        </is>
      </c>
      <c r="H22" s="3" t="inlineStr">
        <is>
          <t>Khung lót bổ trợ</t>
        </is>
      </c>
    </row>
    <row r="23">
      <c r="A23" s="2" t="inlineStr">
        <is>
          <t>⚡ TOP 20 BỐN CÀNG (4D) MẠNH NHẤT</t>
        </is>
      </c>
      <c r="B23" s="2" t="inlineStr">
        <is>
          <t>Bốn Càng 4D</t>
        </is>
      </c>
      <c r="C23" s="3" t="inlineStr">
        <is>
          <t>---</t>
        </is>
      </c>
      <c r="D23" s="3" t="inlineStr">
        <is>
          <t>---</t>
        </is>
      </c>
      <c r="E23" s="3" t="inlineStr">
        <is>
          <t>---</t>
        </is>
      </c>
      <c r="F23" s="3" t="inlineStr">
        <is>
          <t>---</t>
        </is>
      </c>
      <c r="G23" s="3" t="inlineStr">
        <is>
          <t>MẠNH NHẤT</t>
        </is>
      </c>
      <c r="H23" s="3" t="inlineStr">
        <is>
          <t>Bắt nhịp hỏa lực 4D Top 20</t>
        </is>
      </c>
    </row>
    <row r="24">
      <c r="A24" s="2" t="inlineStr">
        <is>
          <t>Top 01</t>
        </is>
      </c>
      <c r="B24" s="2" t="inlineStr">
        <is>
          <t>Bốn Càng (4D)</t>
        </is>
      </c>
      <c r="C24" s="3" t="inlineStr">
        <is>
          <t>0039</t>
        </is>
      </c>
      <c r="D24" s="3" t="inlineStr">
        <is>
          <t>Càng 0</t>
        </is>
      </c>
      <c r="E24" s="3" t="inlineStr">
        <is>
          <t>Ba Càng 039</t>
        </is>
      </c>
      <c r="F24" s="3" t="n">
        <v>59.4</v>
      </c>
      <c r="G24" s="3" t="inlineStr">
        <is>
          <t>MẠNH</t>
        </is>
      </c>
      <c r="H24" s="3" t="inlineStr">
        <is>
          <t>Ưu tiên dàn chính hỏa lực</t>
        </is>
      </c>
    </row>
    <row r="25">
      <c r="A25" s="2" t="inlineStr">
        <is>
          <t>Top 02</t>
        </is>
      </c>
      <c r="B25" s="2" t="inlineStr">
        <is>
          <t>Bốn Càng (4D)</t>
        </is>
      </c>
      <c r="C25" s="3" t="inlineStr">
        <is>
          <t>2039</t>
        </is>
      </c>
      <c r="D25" s="3" t="inlineStr">
        <is>
          <t>Càng 2</t>
        </is>
      </c>
      <c r="E25" s="3" t="inlineStr">
        <is>
          <t>Ba Càng 039</t>
        </is>
      </c>
      <c r="F25" s="3" t="n">
        <v>59.4</v>
      </c>
      <c r="G25" s="3" t="inlineStr">
        <is>
          <t>MẠNH</t>
        </is>
      </c>
      <c r="H25" s="3" t="inlineStr">
        <is>
          <t>Ưu tiên dàn chính hỏa lực</t>
        </is>
      </c>
    </row>
    <row r="26">
      <c r="A26" s="2" t="inlineStr">
        <is>
          <t>Top 03</t>
        </is>
      </c>
      <c r="B26" s="2" t="inlineStr">
        <is>
          <t>Bốn Càng (4D)</t>
        </is>
      </c>
      <c r="C26" s="3" t="inlineStr">
        <is>
          <t>0239</t>
        </is>
      </c>
      <c r="D26" s="3" t="inlineStr">
        <is>
          <t>Càng 0</t>
        </is>
      </c>
      <c r="E26" s="3" t="inlineStr">
        <is>
          <t>Ba Càng 239</t>
        </is>
      </c>
      <c r="F26" s="3" t="n">
        <v>59.4</v>
      </c>
      <c r="G26" s="3" t="inlineStr">
        <is>
          <t>MẠNH</t>
        </is>
      </c>
      <c r="H26" s="3" t="inlineStr">
        <is>
          <t>Ưu tiên dàn chính hỏa lực</t>
        </is>
      </c>
    </row>
    <row r="27">
      <c r="A27" s="2" t="inlineStr">
        <is>
          <t>Top 04</t>
        </is>
      </c>
      <c r="B27" s="2" t="inlineStr">
        <is>
          <t>Bốn Càng (4D)</t>
        </is>
      </c>
      <c r="C27" s="3" t="inlineStr">
        <is>
          <t>2239</t>
        </is>
      </c>
      <c r="D27" s="3" t="inlineStr">
        <is>
          <t>Càng 2</t>
        </is>
      </c>
      <c r="E27" s="3" t="inlineStr">
        <is>
          <t>Ba Càng 239</t>
        </is>
      </c>
      <c r="F27" s="3" t="n">
        <v>59.4</v>
      </c>
      <c r="G27" s="3" t="inlineStr">
        <is>
          <t>MẠNH</t>
        </is>
      </c>
      <c r="H27" s="3" t="inlineStr">
        <is>
          <t>Khung lót bổ trợ</t>
        </is>
      </c>
    </row>
    <row r="28">
      <c r="A28" s="2" t="inlineStr">
        <is>
          <t>Top 05</t>
        </is>
      </c>
      <c r="B28" s="2" t="inlineStr">
        <is>
          <t>Bốn Càng (4D)</t>
        </is>
      </c>
      <c r="C28" s="3" t="inlineStr">
        <is>
          <t>0439</t>
        </is>
      </c>
      <c r="D28" s="3" t="inlineStr">
        <is>
          <t>Càng 0</t>
        </is>
      </c>
      <c r="E28" s="3" t="inlineStr">
        <is>
          <t>Ba Càng 439</t>
        </is>
      </c>
      <c r="F28" s="3" t="n">
        <v>59.4</v>
      </c>
      <c r="G28" s="3" t="inlineStr">
        <is>
          <t>MẠNH</t>
        </is>
      </c>
      <c r="H28" s="3" t="inlineStr">
        <is>
          <t>Khung lót bổ trợ</t>
        </is>
      </c>
    </row>
    <row r="29">
      <c r="A29" s="2" t="inlineStr">
        <is>
          <t>Top 06</t>
        </is>
      </c>
      <c r="B29" s="2" t="inlineStr">
        <is>
          <t>Bốn Càng (4D)</t>
        </is>
      </c>
      <c r="C29" s="3" t="inlineStr">
        <is>
          <t>2439</t>
        </is>
      </c>
      <c r="D29" s="3" t="inlineStr">
        <is>
          <t>Càng 2</t>
        </is>
      </c>
      <c r="E29" s="3" t="inlineStr">
        <is>
          <t>Ba Càng 439</t>
        </is>
      </c>
      <c r="F29" s="3" t="n">
        <v>59.4</v>
      </c>
      <c r="G29" s="3" t="inlineStr">
        <is>
          <t>TRUNG BÌNH</t>
        </is>
      </c>
      <c r="H29" s="3" t="inlineStr">
        <is>
          <t>Khung lót bổ trợ</t>
        </is>
      </c>
    </row>
    <row r="30">
      <c r="A30" s="2" t="inlineStr">
        <is>
          <t>Top 07</t>
        </is>
      </c>
      <c r="B30" s="2" t="inlineStr">
        <is>
          <t>Bốn Càng (4D)</t>
        </is>
      </c>
      <c r="C30" s="3" t="inlineStr">
        <is>
          <t>0539</t>
        </is>
      </c>
      <c r="D30" s="3" t="inlineStr">
        <is>
          <t>Càng 0</t>
        </is>
      </c>
      <c r="E30" s="3" t="inlineStr">
        <is>
          <t>Ba Càng 539</t>
        </is>
      </c>
      <c r="F30" s="3" t="n">
        <v>59.4</v>
      </c>
      <c r="G30" s="3" t="inlineStr">
        <is>
          <t>TRUNG BÌNH</t>
        </is>
      </c>
      <c r="H30" s="3" t="inlineStr">
        <is>
          <t>Khung lót bổ trợ</t>
        </is>
      </c>
    </row>
    <row r="31">
      <c r="A31" s="2" t="inlineStr">
        <is>
          <t>Top 08</t>
        </is>
      </c>
      <c r="B31" s="2" t="inlineStr">
        <is>
          <t>Bốn Càng (4D)</t>
        </is>
      </c>
      <c r="C31" s="3" t="inlineStr">
        <is>
          <t>2539</t>
        </is>
      </c>
      <c r="D31" s="3" t="inlineStr">
        <is>
          <t>Càng 2</t>
        </is>
      </c>
      <c r="E31" s="3" t="inlineStr">
        <is>
          <t>Ba Càng 539</t>
        </is>
      </c>
      <c r="F31" s="3" t="n">
        <v>59.4</v>
      </c>
      <c r="G31" s="3" t="inlineStr">
        <is>
          <t>TRUNG BÌNH</t>
        </is>
      </c>
      <c r="H31" s="3" t="inlineStr">
        <is>
          <t>Khung lót bổ trợ</t>
        </is>
      </c>
    </row>
    <row r="32">
      <c r="A32" s="2" t="inlineStr">
        <is>
          <t>Top 09</t>
        </is>
      </c>
      <c r="B32" s="2" t="inlineStr">
        <is>
          <t>Bốn Càng (4D)</t>
        </is>
      </c>
      <c r="C32" s="3" t="inlineStr">
        <is>
          <t>0739</t>
        </is>
      </c>
      <c r="D32" s="3" t="inlineStr">
        <is>
          <t>Càng 0</t>
        </is>
      </c>
      <c r="E32" s="3" t="inlineStr">
        <is>
          <t>Ba Càng 739</t>
        </is>
      </c>
      <c r="F32" s="3" t="n">
        <v>59.4</v>
      </c>
      <c r="G32" s="3" t="inlineStr">
        <is>
          <t>TRUNG BÌNH</t>
        </is>
      </c>
      <c r="H32" s="3" t="inlineStr">
        <is>
          <t>Khung lót bổ trợ</t>
        </is>
      </c>
    </row>
    <row r="33">
      <c r="A33" s="2" t="inlineStr">
        <is>
          <t>Top 10</t>
        </is>
      </c>
      <c r="B33" s="2" t="inlineStr">
        <is>
          <t>Bốn Càng (4D)</t>
        </is>
      </c>
      <c r="C33" s="3" t="inlineStr">
        <is>
          <t>2739</t>
        </is>
      </c>
      <c r="D33" s="3" t="inlineStr">
        <is>
          <t>Càng 2</t>
        </is>
      </c>
      <c r="E33" s="3" t="inlineStr">
        <is>
          <t>Ba Càng 739</t>
        </is>
      </c>
      <c r="F33" s="3" t="n">
        <v>59.4</v>
      </c>
      <c r="G33" s="3" t="inlineStr">
        <is>
          <t>TRUNG BÌNH</t>
        </is>
      </c>
      <c r="H33" s="3" t="inlineStr">
        <is>
          <t>Khung lót bổ trợ</t>
        </is>
      </c>
    </row>
    <row r="34">
      <c r="A34" s="2" t="inlineStr">
        <is>
          <t>Top 11</t>
        </is>
      </c>
      <c r="B34" s="2" t="inlineStr">
        <is>
          <t>Bốn Càng (4D)</t>
        </is>
      </c>
      <c r="C34" s="3" t="inlineStr">
        <is>
          <t>0013</t>
        </is>
      </c>
      <c r="D34" s="3" t="inlineStr">
        <is>
          <t>Càng 0</t>
        </is>
      </c>
      <c r="E34" s="3" t="inlineStr">
        <is>
          <t>Ba Càng 013</t>
        </is>
      </c>
      <c r="F34" s="3" t="n">
        <v>54.1</v>
      </c>
      <c r="G34" s="3" t="inlineStr">
        <is>
          <t>DÀN LÓT</t>
        </is>
      </c>
      <c r="H34" s="3" t="inlineStr">
        <is>
          <t>Khung lót bổ trợ</t>
        </is>
      </c>
    </row>
    <row r="35">
      <c r="A35" s="2" t="inlineStr">
        <is>
          <t>Top 12</t>
        </is>
      </c>
      <c r="B35" s="2" t="inlineStr">
        <is>
          <t>Bốn Càng (4D)</t>
        </is>
      </c>
      <c r="C35" s="3" t="inlineStr">
        <is>
          <t>2013</t>
        </is>
      </c>
      <c r="D35" s="3" t="inlineStr">
        <is>
          <t>Càng 2</t>
        </is>
      </c>
      <c r="E35" s="3" t="inlineStr">
        <is>
          <t>Ba Càng 013</t>
        </is>
      </c>
      <c r="F35" s="3" t="n">
        <v>54.1</v>
      </c>
      <c r="G35" s="3" t="inlineStr">
        <is>
          <t>DÀN LÓT</t>
        </is>
      </c>
      <c r="H35" s="3" t="inlineStr">
        <is>
          <t>Khung lót bổ trợ</t>
        </is>
      </c>
    </row>
    <row r="36">
      <c r="A36" s="2" t="inlineStr">
        <is>
          <t>Top 13</t>
        </is>
      </c>
      <c r="B36" s="2" t="inlineStr">
        <is>
          <t>Bốn Càng (4D)</t>
        </is>
      </c>
      <c r="C36" s="3" t="inlineStr">
        <is>
          <t>0213</t>
        </is>
      </c>
      <c r="D36" s="3" t="inlineStr">
        <is>
          <t>Càng 0</t>
        </is>
      </c>
      <c r="E36" s="3" t="inlineStr">
        <is>
          <t>Ba Càng 213</t>
        </is>
      </c>
      <c r="F36" s="3" t="n">
        <v>54.1</v>
      </c>
      <c r="G36" s="3" t="inlineStr">
        <is>
          <t>DÀN LÓT</t>
        </is>
      </c>
      <c r="H36" s="3" t="inlineStr">
        <is>
          <t>Khung lót bổ trợ</t>
        </is>
      </c>
    </row>
    <row r="37">
      <c r="A37" s="2" t="inlineStr">
        <is>
          <t>Top 14</t>
        </is>
      </c>
      <c r="B37" s="2" t="inlineStr">
        <is>
          <t>Bốn Càng (4D)</t>
        </is>
      </c>
      <c r="C37" s="3" t="inlineStr">
        <is>
          <t>2213</t>
        </is>
      </c>
      <c r="D37" s="3" t="inlineStr">
        <is>
          <t>Càng 2</t>
        </is>
      </c>
      <c r="E37" s="3" t="inlineStr">
        <is>
          <t>Ba Càng 213</t>
        </is>
      </c>
      <c r="F37" s="3" t="n">
        <v>54.1</v>
      </c>
      <c r="G37" s="3" t="inlineStr">
        <is>
          <t>DÀN LÓT</t>
        </is>
      </c>
      <c r="H37" s="3" t="inlineStr">
        <is>
          <t>Khung lót bổ trợ</t>
        </is>
      </c>
    </row>
    <row r="38">
      <c r="A38" s="2" t="inlineStr">
        <is>
          <t>Top 15</t>
        </is>
      </c>
      <c r="B38" s="2" t="inlineStr">
        <is>
          <t>Bốn Càng (4D)</t>
        </is>
      </c>
      <c r="C38" s="3" t="inlineStr">
        <is>
          <t>0413</t>
        </is>
      </c>
      <c r="D38" s="3" t="inlineStr">
        <is>
          <t>Càng 0</t>
        </is>
      </c>
      <c r="E38" s="3" t="inlineStr">
        <is>
          <t>Ba Càng 413</t>
        </is>
      </c>
      <c r="F38" s="3" t="n">
        <v>54.1</v>
      </c>
      <c r="G38" s="3" t="inlineStr">
        <is>
          <t>DÀN LÓT</t>
        </is>
      </c>
      <c r="H38" s="3" t="inlineStr">
        <is>
          <t>Khung lót bổ trợ</t>
        </is>
      </c>
    </row>
    <row r="39">
      <c r="A39" s="2" t="inlineStr">
        <is>
          <t>Top 16</t>
        </is>
      </c>
      <c r="B39" s="2" t="inlineStr">
        <is>
          <t>Bốn Càng (4D)</t>
        </is>
      </c>
      <c r="C39" s="3" t="inlineStr">
        <is>
          <t>2413</t>
        </is>
      </c>
      <c r="D39" s="3" t="inlineStr">
        <is>
          <t>Càng 2</t>
        </is>
      </c>
      <c r="E39" s="3" t="inlineStr">
        <is>
          <t>Ba Càng 413</t>
        </is>
      </c>
      <c r="F39" s="3" t="n">
        <v>54.1</v>
      </c>
      <c r="G39" s="3" t="inlineStr">
        <is>
          <t>DÀN LÓT</t>
        </is>
      </c>
      <c r="H39" s="3" t="inlineStr">
        <is>
          <t>Khung lót bổ trợ</t>
        </is>
      </c>
    </row>
    <row r="40">
      <c r="A40" s="2" t="inlineStr">
        <is>
          <t>Top 17</t>
        </is>
      </c>
      <c r="B40" s="2" t="inlineStr">
        <is>
          <t>Bốn Càng (4D)</t>
        </is>
      </c>
      <c r="C40" s="3" t="inlineStr">
        <is>
          <t>0513</t>
        </is>
      </c>
      <c r="D40" s="3" t="inlineStr">
        <is>
          <t>Càng 0</t>
        </is>
      </c>
      <c r="E40" s="3" t="inlineStr">
        <is>
          <t>Ba Càng 513</t>
        </is>
      </c>
      <c r="F40" s="3" t="n">
        <v>54.1</v>
      </c>
      <c r="G40" s="3" t="inlineStr">
        <is>
          <t>DÀN LÓT</t>
        </is>
      </c>
      <c r="H40" s="3" t="inlineStr">
        <is>
          <t>Khung lót bổ trợ</t>
        </is>
      </c>
    </row>
    <row r="41">
      <c r="A41" s="2" t="inlineStr">
        <is>
          <t>Top 18</t>
        </is>
      </c>
      <c r="B41" s="2" t="inlineStr">
        <is>
          <t>Bốn Càng (4D)</t>
        </is>
      </c>
      <c r="C41" s="3" t="inlineStr">
        <is>
          <t>2513</t>
        </is>
      </c>
      <c r="D41" s="3" t="inlineStr">
        <is>
          <t>Càng 2</t>
        </is>
      </c>
      <c r="E41" s="3" t="inlineStr">
        <is>
          <t>Ba Càng 513</t>
        </is>
      </c>
      <c r="F41" s="3" t="n">
        <v>54.1</v>
      </c>
      <c r="G41" s="3" t="inlineStr">
        <is>
          <t>DÀN LÓT</t>
        </is>
      </c>
      <c r="H41" s="3" t="inlineStr">
        <is>
          <t>Khung lót bổ trợ</t>
        </is>
      </c>
    </row>
    <row r="42">
      <c r="A42" s="2" t="inlineStr">
        <is>
          <t>Top 19</t>
        </is>
      </c>
      <c r="B42" s="2" t="inlineStr">
        <is>
          <t>Bốn Càng (4D)</t>
        </is>
      </c>
      <c r="C42" s="3" t="inlineStr">
        <is>
          <t>0713</t>
        </is>
      </c>
      <c r="D42" s="3" t="inlineStr">
        <is>
          <t>Càng 0</t>
        </is>
      </c>
      <c r="E42" s="3" t="inlineStr">
        <is>
          <t>Ba Càng 713</t>
        </is>
      </c>
      <c r="F42" s="3" t="n">
        <v>54.1</v>
      </c>
      <c r="G42" s="3" t="inlineStr">
        <is>
          <t>DÀN LÓT</t>
        </is>
      </c>
      <c r="H42" s="3" t="inlineStr">
        <is>
          <t>Khung lót bổ trợ</t>
        </is>
      </c>
    </row>
    <row r="43">
      <c r="A43" s="2" t="inlineStr">
        <is>
          <t>Top 20</t>
        </is>
      </c>
      <c r="B43" s="2" t="inlineStr">
        <is>
          <t>Bốn Càng (4D)</t>
        </is>
      </c>
      <c r="C43" s="3" t="inlineStr">
        <is>
          <t>2713</t>
        </is>
      </c>
      <c r="D43" s="3" t="inlineStr">
        <is>
          <t>Càng 2</t>
        </is>
      </c>
      <c r="E43" s="3" t="inlineStr">
        <is>
          <t>Ba Càng 713</t>
        </is>
      </c>
      <c r="F43" s="3" t="n">
        <v>54.1</v>
      </c>
      <c r="G43" s="3" t="inlineStr">
        <is>
          <t>DÀN LÓT</t>
        </is>
      </c>
      <c r="H43" s="3" t="inlineStr">
        <is>
          <t>Khung lót bổ trợ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3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7" customWidth="1" min="3" max="3"/>
    <col width="23" customWidth="1" min="4" max="4"/>
    <col width="23" customWidth="1" min="5" max="5"/>
    <col width="64" customWidth="1" min="6" max="6"/>
    <col width="21" customWidth="1" min="7" max="7"/>
    <col width="30" customWidth="1" min="8" max="8"/>
    <col width="25" customWidth="1" min="9" max="9"/>
    <col width="21" customWidth="1" min="10" max="10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</t>
        </is>
      </c>
      <c r="D1" s="1" t="inlineStr">
        <is>
          <t>Thực Tế 3D (3 Càng)</t>
        </is>
      </c>
      <c r="E1" s="1" t="inlineStr">
        <is>
          <t>Thực Tế 4D (4 Càng)</t>
        </is>
      </c>
      <c r="F1" s="1" t="inlineStr">
        <is>
          <t>Dàn Top 20 3D Dự Đoán</t>
        </is>
      </c>
      <c r="G1" s="1" t="inlineStr">
        <is>
          <t>Kết Quả 3D Top 20</t>
        </is>
      </c>
      <c r="H1" s="1" t="inlineStr">
        <is>
          <t>Kết Quả 3D Matrix (200 số)</t>
        </is>
      </c>
      <c r="I1" s="1" t="inlineStr">
        <is>
          <t>Dàn Top 20 4D Dự Đoán</t>
        </is>
      </c>
      <c r="J1" s="1" t="inlineStr">
        <is>
          <t>Kết Quả 4D Top 20</t>
        </is>
      </c>
    </row>
    <row r="2">
      <c r="A2" s="2" t="n">
        <v>1</v>
      </c>
      <c r="B2" s="2" t="inlineStr">
        <is>
          <t>Thứ năm ngày 01-01-2026</t>
        </is>
      </c>
      <c r="C2" s="3" t="inlineStr">
        <is>
          <t>45748</t>
        </is>
      </c>
      <c r="D2" s="3" t="inlineStr">
        <is>
          <t>748</t>
        </is>
      </c>
      <c r="E2" s="3" t="inlineStr">
        <is>
          <t>5748</t>
        </is>
      </c>
      <c r="F2" s="3" t="inlineStr">
        <is>
          <t>001, 002, 005, 006, 007, 009, 010, 011, 012, 013... (100 số)</t>
        </is>
      </c>
      <c r="G2" s="3" t="inlineStr">
        <is>
          <t>TRƯỢT ❌</t>
        </is>
      </c>
      <c r="H2" s="3" t="inlineStr">
        <is>
          <t>TRƯỢT ❌</t>
        </is>
      </c>
      <c r="I2" s="3" t="inlineStr">
        <is>
          <t>... (200 số)</t>
        </is>
      </c>
      <c r="J2" s="3" t="inlineStr">
        <is>
          <t>TRƯỢT ❌</t>
        </is>
      </c>
    </row>
    <row r="3">
      <c r="A3" s="2" t="n">
        <v>2</v>
      </c>
      <c r="B3" s="2" t="inlineStr">
        <is>
          <t>Thứ sáu ngày 02-01-2026</t>
        </is>
      </c>
      <c r="C3" s="3" t="inlineStr">
        <is>
          <t>00949</t>
        </is>
      </c>
      <c r="D3" s="3" t="inlineStr">
        <is>
          <t>949</t>
        </is>
      </c>
      <c r="E3" s="3" t="inlineStr">
        <is>
          <t>0949</t>
        </is>
      </c>
      <c r="F3" s="3" t="inlineStr">
        <is>
          <t>002, 003, 004, 008, 009, 012, 013, 014, 018, 019... (100 số)</t>
        </is>
      </c>
      <c r="G3" s="3" t="inlineStr">
        <is>
          <t>TRƯỢT ❌</t>
        </is>
      </c>
      <c r="H3" s="3" t="inlineStr">
        <is>
          <t>TRƯỢT ❌</t>
        </is>
      </c>
      <c r="I3" s="3" t="inlineStr">
        <is>
          <t>... (200 số)</t>
        </is>
      </c>
      <c r="J3" s="3" t="inlineStr">
        <is>
          <t>TRƯỢT ❌</t>
        </is>
      </c>
    </row>
    <row r="4">
      <c r="A4" s="2" t="n">
        <v>3</v>
      </c>
      <c r="B4" s="2" t="inlineStr">
        <is>
          <t>Thứ bảy ngày 03-01-2026</t>
        </is>
      </c>
      <c r="C4" s="3" t="inlineStr">
        <is>
          <t>72397</t>
        </is>
      </c>
      <c r="D4" s="3" t="inlineStr">
        <is>
          <t>397</t>
        </is>
      </c>
      <c r="E4" s="3" t="inlineStr">
        <is>
          <t>2397</t>
        </is>
      </c>
      <c r="F4" s="3" t="inlineStr">
        <is>
          <t>002, 003, 004, 006, 008, 009, 012, 013, 014, 016... (100 số)</t>
        </is>
      </c>
      <c r="G4" s="3" t="inlineStr">
        <is>
          <t>TRƯỢT ❌</t>
        </is>
      </c>
      <c r="H4" s="3" t="inlineStr">
        <is>
          <t>TRƯỢT ❌</t>
        </is>
      </c>
      <c r="I4" s="3" t="inlineStr">
        <is>
          <t>... (200 số)</t>
        </is>
      </c>
      <c r="J4" s="3" t="inlineStr">
        <is>
          <t>TRƯỢT ❌</t>
        </is>
      </c>
    </row>
    <row r="5">
      <c r="A5" s="2" t="n">
        <v>4</v>
      </c>
      <c r="B5" s="2" t="inlineStr">
        <is>
          <t>Chủ nhật ngày 04-01-2026</t>
        </is>
      </c>
      <c r="C5" s="3" t="inlineStr">
        <is>
          <t>70505</t>
        </is>
      </c>
      <c r="D5" s="3" t="inlineStr">
        <is>
          <t>505</t>
        </is>
      </c>
      <c r="E5" s="3" t="inlineStr">
        <is>
          <t>0505</t>
        </is>
      </c>
      <c r="F5" s="3" t="inlineStr">
        <is>
          <t>002, 003, 004, 005, 006, 007, 008, 012, 013, 014... (100 số)</t>
        </is>
      </c>
      <c r="G5" s="3" t="inlineStr">
        <is>
          <t>TRÚNG 🎯</t>
        </is>
      </c>
      <c r="H5" s="3" t="inlineStr">
        <is>
          <t>TRÚNG 🎯</t>
        </is>
      </c>
      <c r="I5" s="3" t="inlineStr">
        <is>
          <t>... (200 số)</t>
        </is>
      </c>
      <c r="J5" s="3" t="inlineStr">
        <is>
          <t>TRÚNG 🎯</t>
        </is>
      </c>
    </row>
    <row r="6">
      <c r="A6" s="2" t="n">
        <v>5</v>
      </c>
      <c r="B6" s="2" t="inlineStr">
        <is>
          <t>Thứ hai ngày 05-01-2026</t>
        </is>
      </c>
      <c r="C6" s="3" t="inlineStr">
        <is>
          <t>78447</t>
        </is>
      </c>
      <c r="D6" s="3" t="inlineStr">
        <is>
          <t>447</t>
        </is>
      </c>
      <c r="E6" s="3" t="inlineStr">
        <is>
          <t>8447</t>
        </is>
      </c>
      <c r="F6" s="3" t="inlineStr">
        <is>
          <t>002, 003, 004, 005, 006, 007, 012, 013, 014, 015... (100 số)</t>
        </is>
      </c>
      <c r="G6" s="3" t="inlineStr">
        <is>
          <t>TRƯỢT ❌</t>
        </is>
      </c>
      <c r="H6" s="3" t="inlineStr">
        <is>
          <t>TRƯỢT ❌</t>
        </is>
      </c>
      <c r="I6" s="3" t="inlineStr">
        <is>
          <t>... (200 số)</t>
        </is>
      </c>
      <c r="J6" s="3" t="inlineStr">
        <is>
          <t>TRƯỢT ❌</t>
        </is>
      </c>
    </row>
    <row r="7">
      <c r="A7" s="2" t="n">
        <v>6</v>
      </c>
      <c r="B7" s="2" t="inlineStr">
        <is>
          <t>Thứ ba ngày 06-01-2026</t>
        </is>
      </c>
      <c r="C7" s="3" t="inlineStr">
        <is>
          <t>14389</t>
        </is>
      </c>
      <c r="D7" s="3" t="inlineStr">
        <is>
          <t>389</t>
        </is>
      </c>
      <c r="E7" s="3" t="inlineStr">
        <is>
          <t>4389</t>
        </is>
      </c>
      <c r="F7" s="3" t="inlineStr">
        <is>
          <t>000, 001, 002, 003, 004, 005, 006, 007, 008, 009... (100 số)</t>
        </is>
      </c>
      <c r="G7" s="3" t="inlineStr">
        <is>
          <t>TRƯỢT ❌</t>
        </is>
      </c>
      <c r="H7" s="3" t="inlineStr">
        <is>
          <t>TRƯỢT ❌</t>
        </is>
      </c>
      <c r="I7" s="3" t="inlineStr">
        <is>
          <t>... (200 số)</t>
        </is>
      </c>
      <c r="J7" s="3" t="inlineStr">
        <is>
          <t>TRƯỢT ❌</t>
        </is>
      </c>
    </row>
    <row r="8">
      <c r="A8" s="2" t="n">
        <v>7</v>
      </c>
      <c r="B8" s="2" t="inlineStr">
        <is>
          <t>Thứ tư ngày 07-01-2026</t>
        </is>
      </c>
      <c r="C8" s="3" t="inlineStr">
        <is>
          <t>40162</t>
        </is>
      </c>
      <c r="D8" s="3" t="inlineStr">
        <is>
          <t>162</t>
        </is>
      </c>
      <c r="E8" s="3" t="inlineStr">
        <is>
          <t>0162</t>
        </is>
      </c>
      <c r="F8" s="3" t="inlineStr">
        <is>
          <t>002, 003, 004, 005, 006, 007, 009, 012, 013, 014... (100 số)</t>
        </is>
      </c>
      <c r="G8" s="3" t="inlineStr">
        <is>
          <t>TRƯỢT ❌</t>
        </is>
      </c>
      <c r="H8" s="3" t="inlineStr">
        <is>
          <t>TRƯỢT ❌</t>
        </is>
      </c>
      <c r="I8" s="3" t="inlineStr">
        <is>
          <t>... (200 số)</t>
        </is>
      </c>
      <c r="J8" s="3" t="inlineStr">
        <is>
          <t>TRƯỢT ❌</t>
        </is>
      </c>
    </row>
    <row r="9">
      <c r="A9" s="2" t="n">
        <v>8</v>
      </c>
      <c r="B9" s="2" t="inlineStr">
        <is>
          <t>Thứ năm ngày 08-01-2026</t>
        </is>
      </c>
      <c r="C9" s="3" t="inlineStr">
        <is>
          <t>39523</t>
        </is>
      </c>
      <c r="D9" s="3" t="inlineStr">
        <is>
          <t>523</t>
        </is>
      </c>
      <c r="E9" s="3" t="inlineStr">
        <is>
          <t>9523</t>
        </is>
      </c>
      <c r="F9" s="3" t="inlineStr">
        <is>
          <t>001, 002, 003, 004, 005, 008, 010, 011, 012, 013... (100 số)</t>
        </is>
      </c>
      <c r="G9" s="3" t="inlineStr">
        <is>
          <t>TRƯỢT ❌</t>
        </is>
      </c>
      <c r="H9" s="3" t="inlineStr">
        <is>
          <t>TRƯỢT ❌</t>
        </is>
      </c>
      <c r="I9" s="3" t="inlineStr">
        <is>
          <t>... (200 số)</t>
        </is>
      </c>
      <c r="J9" s="3" t="inlineStr">
        <is>
          <t>TRƯỢT ❌</t>
        </is>
      </c>
    </row>
    <row r="10">
      <c r="A10" s="2" t="n">
        <v>9</v>
      </c>
      <c r="B10" s="2" t="inlineStr">
        <is>
          <t>Thứ sáu ngày 09-01-2026</t>
        </is>
      </c>
      <c r="C10" s="3" t="inlineStr">
        <is>
          <t>67793</t>
        </is>
      </c>
      <c r="D10" s="3" t="inlineStr">
        <is>
          <t>793</t>
        </is>
      </c>
      <c r="E10" s="3" t="inlineStr">
        <is>
          <t>7793</t>
        </is>
      </c>
      <c r="F10" s="3" t="inlineStr">
        <is>
          <t>002, 004, 005, 006, 007, 008, 012, 014, 015, 016... (100 số)</t>
        </is>
      </c>
      <c r="G10" s="3" t="inlineStr">
        <is>
          <t>TRƯỢT ❌</t>
        </is>
      </c>
      <c r="H10" s="3" t="inlineStr">
        <is>
          <t>TRƯỢT ❌</t>
        </is>
      </c>
      <c r="I10" s="3" t="inlineStr">
        <is>
          <t>... (200 số)</t>
        </is>
      </c>
      <c r="J10" s="3" t="inlineStr">
        <is>
          <t>TRƯỢT ❌</t>
        </is>
      </c>
    </row>
    <row r="11">
      <c r="A11" s="2" t="n">
        <v>10</v>
      </c>
      <c r="B11" s="2" t="inlineStr">
        <is>
          <t>Thứ bảy ngày 10-01-2026</t>
        </is>
      </c>
      <c r="C11" s="3" t="inlineStr">
        <is>
          <t>82438</t>
        </is>
      </c>
      <c r="D11" s="3" t="inlineStr">
        <is>
          <t>438</t>
        </is>
      </c>
      <c r="E11" s="3" t="inlineStr">
        <is>
          <t>2438</t>
        </is>
      </c>
      <c r="F11" s="3" t="inlineStr">
        <is>
          <t>000, 001, 002, 003, 004, 005, 006, 007, 008, 009... (100 số)</t>
        </is>
      </c>
      <c r="G11" s="3" t="inlineStr">
        <is>
          <t>TRƯỢT ❌</t>
        </is>
      </c>
      <c r="H11" s="3" t="inlineStr">
        <is>
          <t>TRƯỢT ❌</t>
        </is>
      </c>
      <c r="I11" s="3" t="inlineStr">
        <is>
          <t>... (200 số)</t>
        </is>
      </c>
      <c r="J11" s="3" t="inlineStr">
        <is>
          <t>TRƯỢT ❌</t>
        </is>
      </c>
    </row>
    <row r="12">
      <c r="A12" s="2" t="n">
        <v>11</v>
      </c>
      <c r="B12" s="2" t="inlineStr">
        <is>
          <t>Chủ nhật ngày 11-01-2026</t>
        </is>
      </c>
      <c r="C12" s="3" t="inlineStr">
        <is>
          <t>31894</t>
        </is>
      </c>
      <c r="D12" s="3" t="inlineStr">
        <is>
          <t>894</t>
        </is>
      </c>
      <c r="E12" s="3" t="inlineStr">
        <is>
          <t>1894</t>
        </is>
      </c>
      <c r="F12" s="3" t="inlineStr">
        <is>
          <t>000, 001, 002, 003, 004, 005, 006, 007, 008, 009... (100 số)</t>
        </is>
      </c>
      <c r="G12" s="3" t="inlineStr">
        <is>
          <t>TRƯỢT ❌</t>
        </is>
      </c>
      <c r="H12" s="3" t="inlineStr">
        <is>
          <t>TRƯỢT ❌</t>
        </is>
      </c>
      <c r="I12" s="3" t="inlineStr">
        <is>
          <t>... (200 số)</t>
        </is>
      </c>
      <c r="J12" s="3" t="inlineStr">
        <is>
          <t>TRƯỢT ❌</t>
        </is>
      </c>
    </row>
    <row r="13">
      <c r="A13" s="2" t="n">
        <v>12</v>
      </c>
      <c r="B13" s="2" t="inlineStr">
        <is>
          <t>Thứ hai ngày 12-01-2026</t>
        </is>
      </c>
      <c r="C13" s="3" t="inlineStr">
        <is>
          <t>28027</t>
        </is>
      </c>
      <c r="D13" s="3" t="inlineStr">
        <is>
          <t>027</t>
        </is>
      </c>
      <c r="E13" s="3" t="inlineStr">
        <is>
          <t>8027</t>
        </is>
      </c>
      <c r="F13" s="3" t="inlineStr">
        <is>
          <t>000, 001, 002, 003, 004, 005, 006, 007, 008, 023... (100 số)</t>
        </is>
      </c>
      <c r="G13" s="3" t="inlineStr">
        <is>
          <t>TRƯỢT ❌</t>
        </is>
      </c>
      <c r="H13" s="3" t="inlineStr">
        <is>
          <t>TRƯỢT ❌</t>
        </is>
      </c>
      <c r="I13" s="3" t="inlineStr">
        <is>
          <t>... (200 số)</t>
        </is>
      </c>
      <c r="J13" s="3" t="inlineStr">
        <is>
          <t>TRƯỢT ❌</t>
        </is>
      </c>
    </row>
    <row r="14">
      <c r="A14" s="2" t="n">
        <v>13</v>
      </c>
      <c r="B14" s="2" t="inlineStr">
        <is>
          <t>Thứ ba ngày 13-01-2026</t>
        </is>
      </c>
      <c r="C14" s="3" t="inlineStr">
        <is>
          <t>02817</t>
        </is>
      </c>
      <c r="D14" s="3" t="inlineStr">
        <is>
          <t>817</t>
        </is>
      </c>
      <c r="E14" s="3" t="inlineStr">
        <is>
          <t>2817</t>
        </is>
      </c>
      <c r="F14" s="3" t="inlineStr">
        <is>
          <t>001, 002, 004, 005, 006, 008, 010, 011, 023, 027... (100 số)</t>
        </is>
      </c>
      <c r="G14" s="3" t="inlineStr">
        <is>
          <t>TRƯỢT ❌</t>
        </is>
      </c>
      <c r="H14" s="3" t="inlineStr">
        <is>
          <t>TRƯỢT ❌</t>
        </is>
      </c>
      <c r="I14" s="3" t="inlineStr">
        <is>
          <t>... (200 số)</t>
        </is>
      </c>
      <c r="J14" s="3" t="inlineStr">
        <is>
          <t>TRƯỢT ❌</t>
        </is>
      </c>
    </row>
    <row r="15">
      <c r="A15" s="2" t="n">
        <v>14</v>
      </c>
      <c r="B15" s="2" t="inlineStr">
        <is>
          <t>Thứ tư ngày 14-01-2026</t>
        </is>
      </c>
      <c r="C15" s="3" t="inlineStr">
        <is>
          <t>84522</t>
        </is>
      </c>
      <c r="D15" s="3" t="inlineStr">
        <is>
          <t>522</t>
        </is>
      </c>
      <c r="E15" s="3" t="inlineStr">
        <is>
          <t>4522</t>
        </is>
      </c>
      <c r="F15" s="3" t="inlineStr">
        <is>
          <t>001, 002, 005, 009, 010, 011, 012, 017, 023, 027... (100 số)</t>
        </is>
      </c>
      <c r="G15" s="3" t="inlineStr">
        <is>
          <t>TRƯỢT ❌</t>
        </is>
      </c>
      <c r="H15" s="3" t="inlineStr">
        <is>
          <t>TRƯỢT ❌</t>
        </is>
      </c>
      <c r="I15" s="3" t="inlineStr">
        <is>
          <t>... (200 số)</t>
        </is>
      </c>
      <c r="J15" s="3" t="inlineStr">
        <is>
          <t>TRƯỢT ❌</t>
        </is>
      </c>
    </row>
    <row r="16">
      <c r="A16" s="2" t="n">
        <v>15</v>
      </c>
      <c r="B16" s="2" t="inlineStr">
        <is>
          <t>Thứ năm ngày 15-01-2026</t>
        </is>
      </c>
      <c r="C16" s="3" t="inlineStr">
        <is>
          <t>90128</t>
        </is>
      </c>
      <c r="D16" s="3" t="inlineStr">
        <is>
          <t>128</t>
        </is>
      </c>
      <c r="E16" s="3" t="inlineStr">
        <is>
          <t>0128</t>
        </is>
      </c>
      <c r="F16" s="3" t="inlineStr">
        <is>
          <t>000, 001, 002, 003, 004, 005, 017, 022, 023, 027... (100 số)</t>
        </is>
      </c>
      <c r="G16" s="3" t="inlineStr">
        <is>
          <t>TRƯỢT ❌</t>
        </is>
      </c>
      <c r="H16" s="3" t="inlineStr">
        <is>
          <t>TRƯỢT ❌</t>
        </is>
      </c>
      <c r="I16" s="3" t="inlineStr">
        <is>
          <t>... (200 số)</t>
        </is>
      </c>
      <c r="J16" s="3" t="inlineStr">
        <is>
          <t>TRƯỢT ❌</t>
        </is>
      </c>
    </row>
    <row r="17">
      <c r="A17" s="2" t="n">
        <v>16</v>
      </c>
      <c r="B17" s="2" t="inlineStr">
        <is>
          <t>Thứ sáu ngày 16-01-2026</t>
        </is>
      </c>
      <c r="C17" s="3" t="inlineStr">
        <is>
          <t>09824</t>
        </is>
      </c>
      <c r="D17" s="3" t="inlineStr">
        <is>
          <t>824</t>
        </is>
      </c>
      <c r="E17" s="3" t="inlineStr">
        <is>
          <t>9824</t>
        </is>
      </c>
      <c r="F17" s="3" t="inlineStr">
        <is>
          <t>000, 001, 002, 003, 005, 017, 022, 023, 027, 028... (100 số)</t>
        </is>
      </c>
      <c r="G17" s="3" t="inlineStr">
        <is>
          <t>TRƯỢT ❌</t>
        </is>
      </c>
      <c r="H17" s="3" t="inlineStr">
        <is>
          <t>TRƯỢT ❌</t>
        </is>
      </c>
      <c r="I17" s="3" t="inlineStr">
        <is>
          <t>... (200 số)</t>
        </is>
      </c>
      <c r="J17" s="3" t="inlineStr">
        <is>
          <t>TRƯỢT ❌</t>
        </is>
      </c>
    </row>
    <row r="18">
      <c r="A18" s="2" t="n">
        <v>17</v>
      </c>
      <c r="B18" s="2" t="inlineStr">
        <is>
          <t>Thứ bảy ngày 17-01-2026</t>
        </is>
      </c>
      <c r="C18" s="3" t="inlineStr">
        <is>
          <t>17151</t>
        </is>
      </c>
      <c r="D18" s="3" t="inlineStr">
        <is>
          <t>151</t>
        </is>
      </c>
      <c r="E18" s="3" t="inlineStr">
        <is>
          <t>7151</t>
        </is>
      </c>
      <c r="F18" s="3" t="inlineStr">
        <is>
          <t>003, 004, 005, 006, 017, 022, 023, 024, 027, 028... (100 số)</t>
        </is>
      </c>
      <c r="G18" s="3" t="inlineStr">
        <is>
          <t>TRƯỢT ❌</t>
        </is>
      </c>
      <c r="H18" s="3" t="inlineStr">
        <is>
          <t>TRƯỢT ❌</t>
        </is>
      </c>
      <c r="I18" s="3" t="inlineStr">
        <is>
          <t>... (200 số)</t>
        </is>
      </c>
      <c r="J18" s="3" t="inlineStr">
        <is>
          <t>TRƯỢT ❌</t>
        </is>
      </c>
    </row>
    <row r="19">
      <c r="A19" s="2" t="n">
        <v>18</v>
      </c>
      <c r="B19" s="2" t="inlineStr">
        <is>
          <t>Chủ nhật ngày 18-01-2026</t>
        </is>
      </c>
      <c r="C19" s="3" t="inlineStr">
        <is>
          <t>88286</t>
        </is>
      </c>
      <c r="D19" s="3" t="inlineStr">
        <is>
          <t>286</t>
        </is>
      </c>
      <c r="E19" s="3" t="inlineStr">
        <is>
          <t>8286</t>
        </is>
      </c>
      <c r="F19" s="3" t="inlineStr">
        <is>
          <t>001, 002, 005, 017, 022, 023, 024, 027, 028, 038... (100 số)</t>
        </is>
      </c>
      <c r="G19" s="3" t="inlineStr">
        <is>
          <t>TRƯỢT ❌</t>
        </is>
      </c>
      <c r="H19" s="3" t="inlineStr">
        <is>
          <t>TRƯỢT ❌</t>
        </is>
      </c>
      <c r="I19" s="3" t="inlineStr">
        <is>
          <t>... (200 số)</t>
        </is>
      </c>
      <c r="J19" s="3" t="inlineStr">
        <is>
          <t>TRƯỢT ❌</t>
        </is>
      </c>
    </row>
    <row r="20">
      <c r="A20" s="2" t="n">
        <v>19</v>
      </c>
      <c r="B20" s="2" t="inlineStr">
        <is>
          <t>Thứ hai ngày 19-01-2026</t>
        </is>
      </c>
      <c r="C20" s="3" t="inlineStr">
        <is>
          <t>56878</t>
        </is>
      </c>
      <c r="D20" s="3" t="inlineStr">
        <is>
          <t>878</t>
        </is>
      </c>
      <c r="E20" s="3" t="inlineStr">
        <is>
          <t>6878</t>
        </is>
      </c>
      <c r="F20" s="3" t="inlineStr">
        <is>
          <t>002, 005, 017, 022, 023, 024, 027, 028, 038, 047... (100 số)</t>
        </is>
      </c>
      <c r="G20" s="3" t="inlineStr">
        <is>
          <t>TRƯỢT ❌</t>
        </is>
      </c>
      <c r="H20" s="3" t="inlineStr">
        <is>
          <t>TRƯỢT ❌</t>
        </is>
      </c>
      <c r="I20" s="3" t="inlineStr">
        <is>
          <t>... (200 số)</t>
        </is>
      </c>
      <c r="J20" s="3" t="inlineStr">
        <is>
          <t>TRƯỢT ❌</t>
        </is>
      </c>
    </row>
    <row r="21">
      <c r="A21" s="2" t="n">
        <v>20</v>
      </c>
      <c r="B21" s="2" t="inlineStr">
        <is>
          <t>Thứ ba ngày 20-01-2026</t>
        </is>
      </c>
      <c r="C21" s="3" t="inlineStr">
        <is>
          <t>06186</t>
        </is>
      </c>
      <c r="D21" s="3" t="inlineStr">
        <is>
          <t>186</t>
        </is>
      </c>
      <c r="E21" s="3" t="inlineStr">
        <is>
          <t>6186</t>
        </is>
      </c>
      <c r="F21" s="3" t="inlineStr">
        <is>
          <t>005, 017, 022, 023, 024, 027, 028, 038, 047, 048... (100 số)</t>
        </is>
      </c>
      <c r="G21" s="3" t="inlineStr">
        <is>
          <t>TRƯỢT ❌</t>
        </is>
      </c>
      <c r="H21" s="3" t="inlineStr">
        <is>
          <t>TRƯỢT ❌</t>
        </is>
      </c>
      <c r="I21" s="3" t="inlineStr">
        <is>
          <t>... (200 số)</t>
        </is>
      </c>
      <c r="J21" s="3" t="inlineStr">
        <is>
          <t>TRƯỢT ❌</t>
        </is>
      </c>
    </row>
    <row r="22">
      <c r="A22" s="2" t="n">
        <v>21</v>
      </c>
      <c r="B22" s="2" t="inlineStr">
        <is>
          <t>Thứ tư ngày 21-01-2026</t>
        </is>
      </c>
      <c r="C22" s="3" t="inlineStr">
        <is>
          <t>84063</t>
        </is>
      </c>
      <c r="D22" s="3" t="inlineStr">
        <is>
          <t>063</t>
        </is>
      </c>
      <c r="E22" s="3" t="inlineStr">
        <is>
          <t>4063</t>
        </is>
      </c>
      <c r="F22" s="3" t="inlineStr">
        <is>
          <t>005, 017, 022, 023, 024, 027, 028, 038, 047, 048... (100 số)</t>
        </is>
      </c>
      <c r="G22" s="3" t="inlineStr">
        <is>
          <t>TRƯỢT ❌</t>
        </is>
      </c>
      <c r="H22" s="3" t="inlineStr">
        <is>
          <t>TRƯỢT ❌</t>
        </is>
      </c>
      <c r="I22" s="3" t="inlineStr">
        <is>
          <t>... (200 số)</t>
        </is>
      </c>
      <c r="J22" s="3" t="inlineStr">
        <is>
          <t>TRƯỢT ❌</t>
        </is>
      </c>
    </row>
    <row r="23">
      <c r="A23" s="2" t="n">
        <v>22</v>
      </c>
      <c r="B23" s="2" t="inlineStr">
        <is>
          <t>Thứ năm ngày 22-01-2026</t>
        </is>
      </c>
      <c r="C23" s="3" t="inlineStr">
        <is>
          <t>57022</t>
        </is>
      </c>
      <c r="D23" s="3" t="inlineStr">
        <is>
          <t>022</t>
        </is>
      </c>
      <c r="E23" s="3" t="inlineStr">
        <is>
          <t>7022</t>
        </is>
      </c>
      <c r="F23" s="3" t="inlineStr">
        <is>
          <t>005, 017, 022, 023, 024, 027, 028, 038, 047, 048... (100 số)</t>
        </is>
      </c>
      <c r="G23" s="3" t="inlineStr">
        <is>
          <t>TRÚNG 🎯</t>
        </is>
      </c>
      <c r="H23" s="3" t="inlineStr">
        <is>
          <t>TRÚNG 🎯</t>
        </is>
      </c>
      <c r="I23" s="3" t="inlineStr">
        <is>
          <t>... (200 số)</t>
        </is>
      </c>
      <c r="J23" s="3" t="inlineStr">
        <is>
          <t>TRƯỢT ❌</t>
        </is>
      </c>
    </row>
    <row r="24">
      <c r="A24" s="2" t="n">
        <v>23</v>
      </c>
      <c r="B24" s="2" t="inlineStr">
        <is>
          <t>Thứ sáu ngày 23-01-2026</t>
        </is>
      </c>
      <c r="C24" s="3" t="inlineStr">
        <is>
          <t>52062</t>
        </is>
      </c>
      <c r="D24" s="3" t="inlineStr">
        <is>
          <t>062</t>
        </is>
      </c>
      <c r="E24" s="3" t="inlineStr">
        <is>
          <t>2062</t>
        </is>
      </c>
      <c r="F24" s="3" t="inlineStr">
        <is>
          <t>005, 017, 022, 023, 027, 028, 038, 047, 048, 049... (100 số)</t>
        </is>
      </c>
      <c r="G24" s="3" t="inlineStr">
        <is>
          <t>TRÚNG 🎯</t>
        </is>
      </c>
      <c r="H24" s="3" t="inlineStr">
        <is>
          <t>TRÚNG 🎯</t>
        </is>
      </c>
      <c r="I24" s="3" t="inlineStr">
        <is>
          <t>... (200 số)</t>
        </is>
      </c>
      <c r="J24" s="3" t="inlineStr">
        <is>
          <t>TRÚNG 🎯</t>
        </is>
      </c>
    </row>
    <row r="25">
      <c r="A25" s="2" t="n">
        <v>24</v>
      </c>
      <c r="B25" s="2" t="inlineStr">
        <is>
          <t>Thứ bảy ngày 24-01-2026</t>
        </is>
      </c>
      <c r="C25" s="3" t="inlineStr">
        <is>
          <t>08230</t>
        </is>
      </c>
      <c r="D25" s="3" t="inlineStr">
        <is>
          <t>230</t>
        </is>
      </c>
      <c r="E25" s="3" t="inlineStr">
        <is>
          <t>8230</t>
        </is>
      </c>
      <c r="F25" s="3" t="inlineStr">
        <is>
          <t>005, 017, 022, 023, 024, 028, 038, 047, 048, 049... (100 số)</t>
        </is>
      </c>
      <c r="G25" s="3" t="inlineStr">
        <is>
          <t>TRƯỢT ❌</t>
        </is>
      </c>
      <c r="H25" s="3" t="inlineStr">
        <is>
          <t>TRƯỢT ❌</t>
        </is>
      </c>
      <c r="I25" s="3" t="inlineStr">
        <is>
          <t>... (200 số)</t>
        </is>
      </c>
      <c r="J25" s="3" t="inlineStr">
        <is>
          <t>TRƯỢT ❌</t>
        </is>
      </c>
    </row>
    <row r="26">
      <c r="A26" s="2" t="n">
        <v>25</v>
      </c>
      <c r="B26" s="2" t="inlineStr">
        <is>
          <t>Chủ nhật ngày 25-01-2026</t>
        </is>
      </c>
      <c r="C26" s="3" t="inlineStr">
        <is>
          <t>00974</t>
        </is>
      </c>
      <c r="D26" s="3" t="inlineStr">
        <is>
          <t>974</t>
        </is>
      </c>
      <c r="E26" s="3" t="inlineStr">
        <is>
          <t>0974</t>
        </is>
      </c>
      <c r="F26" s="3" t="inlineStr">
        <is>
          <t>005, 017, 022, 023, 027, 028, 030, 038, 047, 048... (100 số)</t>
        </is>
      </c>
      <c r="G26" s="3" t="inlineStr">
        <is>
          <t>TRƯỢT ❌</t>
        </is>
      </c>
      <c r="H26" s="3" t="inlineStr">
        <is>
          <t>TRƯỢT ❌</t>
        </is>
      </c>
      <c r="I26" s="3" t="inlineStr">
        <is>
          <t>... (200 số)</t>
        </is>
      </c>
      <c r="J26" s="3" t="inlineStr">
        <is>
          <t>TRƯỢT ❌</t>
        </is>
      </c>
    </row>
    <row r="27">
      <c r="A27" s="2" t="n">
        <v>26</v>
      </c>
      <c r="B27" s="2" t="inlineStr">
        <is>
          <t>Thứ hai ngày 26-01-2026</t>
        </is>
      </c>
      <c r="C27" s="3" t="inlineStr">
        <is>
          <t>39380</t>
        </is>
      </c>
      <c r="D27" s="3" t="inlineStr">
        <is>
          <t>380</t>
        </is>
      </c>
      <c r="E27" s="3" t="inlineStr">
        <is>
          <t>9380</t>
        </is>
      </c>
      <c r="F27" s="3" t="inlineStr">
        <is>
          <t>005, 017, 022, 023, 027, 028, 030, 038, 047, 048... (100 số)</t>
        </is>
      </c>
      <c r="G27" s="3" t="inlineStr">
        <is>
          <t>TRƯỢT ❌</t>
        </is>
      </c>
      <c r="H27" s="3" t="inlineStr">
        <is>
          <t>TRƯỢT ❌</t>
        </is>
      </c>
      <c r="I27" s="3" t="inlineStr">
        <is>
          <t>... (200 số)</t>
        </is>
      </c>
      <c r="J27" s="3" t="inlineStr">
        <is>
          <t>TRƯỢT ❌</t>
        </is>
      </c>
    </row>
    <row r="28">
      <c r="A28" s="2" t="n">
        <v>27</v>
      </c>
      <c r="B28" s="2" t="inlineStr">
        <is>
          <t>Thứ ba ngày 27-01-2026</t>
        </is>
      </c>
      <c r="C28" s="3" t="inlineStr">
        <is>
          <t>24121</t>
        </is>
      </c>
      <c r="D28" s="3" t="inlineStr">
        <is>
          <t>121</t>
        </is>
      </c>
      <c r="E28" s="3" t="inlineStr">
        <is>
          <t>4121</t>
        </is>
      </c>
      <c r="F28" s="3" t="inlineStr">
        <is>
          <t>005, 017, 022, 023, 024, 027, 028, 030, 038, 047... (100 số)</t>
        </is>
      </c>
      <c r="G28" s="3" t="inlineStr">
        <is>
          <t>TRƯỢT ❌</t>
        </is>
      </c>
      <c r="H28" s="3" t="inlineStr">
        <is>
          <t>TRƯỢT ❌</t>
        </is>
      </c>
      <c r="I28" s="3" t="inlineStr">
        <is>
          <t>... (200 số)</t>
        </is>
      </c>
      <c r="J28" s="3" t="inlineStr">
        <is>
          <t>TRƯỢT ❌</t>
        </is>
      </c>
    </row>
    <row r="29">
      <c r="A29" s="2" t="n">
        <v>28</v>
      </c>
      <c r="B29" s="2" t="inlineStr">
        <is>
          <t>Thứ tư ngày 28-01-2026</t>
        </is>
      </c>
      <c r="C29" s="3" t="inlineStr">
        <is>
          <t>38814</t>
        </is>
      </c>
      <c r="D29" s="3" t="inlineStr">
        <is>
          <t>814</t>
        </is>
      </c>
      <c r="E29" s="3" t="inlineStr">
        <is>
          <t>8814</t>
        </is>
      </c>
      <c r="F29" s="3" t="inlineStr">
        <is>
          <t>005, 017, 021, 022, 023, 024, 027, 028, 047, 048... (100 số)</t>
        </is>
      </c>
      <c r="G29" s="3" t="inlineStr">
        <is>
          <t>TRƯỢT ❌</t>
        </is>
      </c>
      <c r="H29" s="3" t="inlineStr">
        <is>
          <t>TRƯỢT ❌</t>
        </is>
      </c>
      <c r="I29" s="3" t="inlineStr">
        <is>
          <t>... (200 số)</t>
        </is>
      </c>
      <c r="J29" s="3" t="inlineStr">
        <is>
          <t>TRƯỢT ❌</t>
        </is>
      </c>
    </row>
    <row r="30">
      <c r="A30" s="2" t="n">
        <v>29</v>
      </c>
      <c r="B30" s="2" t="inlineStr">
        <is>
          <t>Thứ năm ngày 29-01-2026</t>
        </is>
      </c>
      <c r="C30" s="3" t="inlineStr">
        <is>
          <t>32845</t>
        </is>
      </c>
      <c r="D30" s="3" t="inlineStr">
        <is>
          <t>845</t>
        </is>
      </c>
      <c r="E30" s="3" t="inlineStr">
        <is>
          <t>2845</t>
        </is>
      </c>
      <c r="F30" s="3" t="inlineStr">
        <is>
          <t>005, 014, 017, 021, 022, 023, 024, 027, 028, 030... (100 số)</t>
        </is>
      </c>
      <c r="G30" s="3" t="inlineStr">
        <is>
          <t>TRƯỢT ❌</t>
        </is>
      </c>
      <c r="H30" s="3" t="inlineStr">
        <is>
          <t>TRƯỢT ❌</t>
        </is>
      </c>
      <c r="I30" s="3" t="inlineStr">
        <is>
          <t>... (200 số)</t>
        </is>
      </c>
      <c r="J30" s="3" t="inlineStr">
        <is>
          <t>TRƯỢT ❌</t>
        </is>
      </c>
    </row>
    <row r="31">
      <c r="A31" s="2" t="n">
        <v>30</v>
      </c>
      <c r="B31" s="2" t="inlineStr">
        <is>
          <t>Thứ sáu ngày 30-01-2026</t>
        </is>
      </c>
      <c r="C31" s="3" t="inlineStr">
        <is>
          <t>42754</t>
        </is>
      </c>
      <c r="D31" s="3" t="inlineStr">
        <is>
          <t>754</t>
        </is>
      </c>
      <c r="E31" s="3" t="inlineStr">
        <is>
          <t>2754</t>
        </is>
      </c>
      <c r="F31" s="3" t="inlineStr">
        <is>
          <t>005, 014, 017, 021, 022, 023, 024, 027, 028, 030... (100 số)</t>
        </is>
      </c>
      <c r="G31" s="3" t="inlineStr">
        <is>
          <t>TRƯỢT ❌</t>
        </is>
      </c>
      <c r="H31" s="3" t="inlineStr">
        <is>
          <t>TRƯỢT ❌</t>
        </is>
      </c>
      <c r="I31" s="3" t="inlineStr">
        <is>
          <t>... (200 số)</t>
        </is>
      </c>
      <c r="J31" s="3" t="inlineStr">
        <is>
          <t>TRƯỢT ❌</t>
        </is>
      </c>
    </row>
    <row r="32">
      <c r="A32" s="2" t="n">
        <v>31</v>
      </c>
      <c r="B32" s="2" t="inlineStr">
        <is>
          <t>Thứ bảy ngày 31-01-2026</t>
        </is>
      </c>
      <c r="C32" s="3" t="inlineStr">
        <is>
          <t>01377</t>
        </is>
      </c>
      <c r="D32" s="3" t="inlineStr">
        <is>
          <t>377</t>
        </is>
      </c>
      <c r="E32" s="3" t="inlineStr">
        <is>
          <t>1377</t>
        </is>
      </c>
      <c r="F32" s="3" t="inlineStr">
        <is>
          <t>005, 014, 017, 021, 022, 024, 027, 045, 047, 048... (100 số)</t>
        </is>
      </c>
      <c r="G32" s="3" t="inlineStr">
        <is>
          <t>TRƯỢT ❌</t>
        </is>
      </c>
      <c r="H32" s="3" t="inlineStr">
        <is>
          <t>TRƯỢT ❌</t>
        </is>
      </c>
      <c r="I32" s="3" t="inlineStr">
        <is>
          <t>... (200 số)</t>
        </is>
      </c>
      <c r="J32" s="3" t="inlineStr">
        <is>
          <t>TRƯỢT ❌</t>
        </is>
      </c>
    </row>
    <row r="33">
      <c r="A33" s="2" t="n">
        <v>32</v>
      </c>
      <c r="B33" s="2" t="inlineStr">
        <is>
          <t>Chủ nhật ngày 01-02-2026</t>
        </is>
      </c>
      <c r="C33" s="3" t="inlineStr">
        <is>
          <t>73461</t>
        </is>
      </c>
      <c r="D33" s="3" t="inlineStr">
        <is>
          <t>461</t>
        </is>
      </c>
      <c r="E33" s="3" t="inlineStr">
        <is>
          <t>3461</t>
        </is>
      </c>
      <c r="F33" s="3" t="inlineStr">
        <is>
          <t>005, 014, 017, 022, 023, 024, 027, 028, 030, 038... (100 số)</t>
        </is>
      </c>
      <c r="G33" s="3" t="inlineStr">
        <is>
          <t>TRƯỢT ❌</t>
        </is>
      </c>
      <c r="H33" s="3" t="inlineStr">
        <is>
          <t>TRƯỢT ❌</t>
        </is>
      </c>
      <c r="I33" s="3" t="inlineStr">
        <is>
          <t>... (200 số)</t>
        </is>
      </c>
      <c r="J33" s="3" t="inlineStr">
        <is>
          <t>TRƯỢT ❌</t>
        </is>
      </c>
    </row>
    <row r="34">
      <c r="A34" s="2" t="n">
        <v>33</v>
      </c>
      <c r="B34" s="2" t="inlineStr">
        <is>
          <t>Thứ hai ngày 02-02-2026</t>
        </is>
      </c>
      <c r="C34" s="3" t="inlineStr">
        <is>
          <t>97648</t>
        </is>
      </c>
      <c r="D34" s="3" t="inlineStr">
        <is>
          <t>648</t>
        </is>
      </c>
      <c r="E34" s="3" t="inlineStr">
        <is>
          <t>7648</t>
        </is>
      </c>
      <c r="F34" s="3" t="inlineStr">
        <is>
          <t>005, 014, 017, 021, 022, 023, 024, 027, 028, 030... (100 số)</t>
        </is>
      </c>
      <c r="G34" s="3" t="inlineStr">
        <is>
          <t>TRƯỢT ❌</t>
        </is>
      </c>
      <c r="H34" s="3" t="inlineStr">
        <is>
          <t>TRƯỢT ❌</t>
        </is>
      </c>
      <c r="I34" s="3" t="inlineStr">
        <is>
          <t>... (200 số)</t>
        </is>
      </c>
      <c r="J34" s="3" t="inlineStr">
        <is>
          <t>TRƯỢT ❌</t>
        </is>
      </c>
    </row>
    <row r="35">
      <c r="A35" s="2" t="n">
        <v>34</v>
      </c>
      <c r="B35" s="2" t="inlineStr">
        <is>
          <t>Thứ ba ngày 03-02-2026</t>
        </is>
      </c>
      <c r="C35" s="3" t="inlineStr">
        <is>
          <t>06517</t>
        </is>
      </c>
      <c r="D35" s="3" t="inlineStr">
        <is>
          <t>517</t>
        </is>
      </c>
      <c r="E35" s="3" t="inlineStr">
        <is>
          <t>6517</t>
        </is>
      </c>
      <c r="F35" s="3" t="inlineStr">
        <is>
          <t>014, 017, 021, 022, 024, 027, 028, 038, 045, 047... (100 số)</t>
        </is>
      </c>
      <c r="G35" s="3" t="inlineStr">
        <is>
          <t>TRÚNG 🎯</t>
        </is>
      </c>
      <c r="H35" s="3" t="inlineStr">
        <is>
          <t>TRÚNG 🎯</t>
        </is>
      </c>
      <c r="I35" s="3" t="inlineStr">
        <is>
          <t>... (200 số)</t>
        </is>
      </c>
      <c r="J35" s="3" t="inlineStr">
        <is>
          <t>TRƯỢT ❌</t>
        </is>
      </c>
    </row>
    <row r="36">
      <c r="A36" s="2" t="n">
        <v>35</v>
      </c>
      <c r="B36" s="2" t="inlineStr">
        <is>
          <t>Thứ tư ngày 04-02-2026</t>
        </is>
      </c>
      <c r="C36" s="3" t="inlineStr">
        <is>
          <t>10268</t>
        </is>
      </c>
      <c r="D36" s="3" t="inlineStr">
        <is>
          <t>268</t>
        </is>
      </c>
      <c r="E36" s="3" t="inlineStr">
        <is>
          <t>0268</t>
        </is>
      </c>
      <c r="F36" s="3" t="inlineStr">
        <is>
          <t>005, 017, 022, 023, 028, 030, 038, 045, 048, 051... (100 số)</t>
        </is>
      </c>
      <c r="G36" s="3" t="inlineStr">
        <is>
          <t>TRÚNG 🎯</t>
        </is>
      </c>
      <c r="H36" s="3" t="inlineStr">
        <is>
          <t>TRÚNG 🎯</t>
        </is>
      </c>
      <c r="I36" s="3" t="inlineStr">
        <is>
          <t>... (200 số)</t>
        </is>
      </c>
      <c r="J36" s="3" t="inlineStr">
        <is>
          <t>TRÚNG 🎯</t>
        </is>
      </c>
    </row>
    <row r="37">
      <c r="A37" s="2" t="n">
        <v>36</v>
      </c>
      <c r="B37" s="2" t="inlineStr">
        <is>
          <t>Thứ năm ngày 05-02-2026</t>
        </is>
      </c>
      <c r="C37" s="3" t="inlineStr">
        <is>
          <t>06133</t>
        </is>
      </c>
      <c r="D37" s="3" t="inlineStr">
        <is>
          <t>133</t>
        </is>
      </c>
      <c r="E37" s="3" t="inlineStr">
        <is>
          <t>6133</t>
        </is>
      </c>
      <c r="F37" s="3" t="inlineStr">
        <is>
          <t>017, 022, 023, 027, 028, 030, 038, 045, 048, 051... (100 số)</t>
        </is>
      </c>
      <c r="G37" s="3" t="inlineStr">
        <is>
          <t>TRƯỢT ❌</t>
        </is>
      </c>
      <c r="H37" s="3" t="inlineStr">
        <is>
          <t>TRƯỢT ❌</t>
        </is>
      </c>
      <c r="I37" s="3" t="inlineStr">
        <is>
          <t>... (200 số)</t>
        </is>
      </c>
      <c r="J37" s="3" t="inlineStr">
        <is>
          <t>TRƯỢT ❌</t>
        </is>
      </c>
    </row>
    <row r="38">
      <c r="A38" s="2" t="n">
        <v>37</v>
      </c>
      <c r="B38" s="2" t="inlineStr">
        <is>
          <t>Thứ sáu ngày 06-02-2026</t>
        </is>
      </c>
      <c r="C38" s="3" t="inlineStr">
        <is>
          <t>38385</t>
        </is>
      </c>
      <c r="D38" s="3" t="inlineStr">
        <is>
          <t>385</t>
        </is>
      </c>
      <c r="E38" s="3" t="inlineStr">
        <is>
          <t>8385</t>
        </is>
      </c>
      <c r="F38" s="3" t="inlineStr">
        <is>
          <t>005, 014, 017, 021, 022, 028, 030, 038, 045, 048... (100 số)</t>
        </is>
      </c>
      <c r="G38" s="3" t="inlineStr">
        <is>
          <t>TRƯỢT ❌</t>
        </is>
      </c>
      <c r="H38" s="3" t="inlineStr">
        <is>
          <t>TRƯỢT ❌</t>
        </is>
      </c>
      <c r="I38" s="3" t="inlineStr">
        <is>
          <t>... (200 số)</t>
        </is>
      </c>
      <c r="J38" s="3" t="inlineStr">
        <is>
          <t>TRƯỢT ❌</t>
        </is>
      </c>
    </row>
    <row r="39">
      <c r="A39" s="2" t="n">
        <v>38</v>
      </c>
      <c r="B39" s="2" t="inlineStr">
        <is>
          <t>Thứ bảy ngày 07-02-2026</t>
        </is>
      </c>
      <c r="C39" s="3" t="inlineStr">
        <is>
          <t>57977</t>
        </is>
      </c>
      <c r="D39" s="3" t="inlineStr">
        <is>
          <t>977</t>
        </is>
      </c>
      <c r="E39" s="3" t="inlineStr">
        <is>
          <t>7977</t>
        </is>
      </c>
      <c r="F39" s="3" t="inlineStr">
        <is>
          <t>014, 017, 021, 022, 023, 024, 027, 030, 033, 038... (100 số)</t>
        </is>
      </c>
      <c r="G39" s="3" t="inlineStr">
        <is>
          <t>TRƯỢT ❌</t>
        </is>
      </c>
      <c r="H39" s="3" t="inlineStr">
        <is>
          <t>TRƯỢT ❌</t>
        </is>
      </c>
      <c r="I39" s="3" t="inlineStr">
        <is>
          <t>... (200 số)</t>
        </is>
      </c>
      <c r="J39" s="3" t="inlineStr">
        <is>
          <t>TRƯỢT ❌</t>
        </is>
      </c>
    </row>
    <row r="40">
      <c r="A40" s="2" t="n">
        <v>39</v>
      </c>
      <c r="B40" s="2" t="inlineStr">
        <is>
          <t>Chủ nhật ngày 08-02-2026</t>
        </is>
      </c>
      <c r="C40" s="3" t="inlineStr">
        <is>
          <t>05901</t>
        </is>
      </c>
      <c r="D40" s="3" t="inlineStr">
        <is>
          <t>901</t>
        </is>
      </c>
      <c r="E40" s="3" t="inlineStr">
        <is>
          <t>5901</t>
        </is>
      </c>
      <c r="F40" s="3" t="inlineStr">
        <is>
          <t>014, 017, 022, 024, 028, 030, 033, 038, 045, 048... (100 số)</t>
        </is>
      </c>
      <c r="G40" s="3" t="inlineStr">
        <is>
          <t>TRƯỢT ❌</t>
        </is>
      </c>
      <c r="H40" s="3" t="inlineStr">
        <is>
          <t>TRƯỢT ❌</t>
        </is>
      </c>
      <c r="I40" s="3" t="inlineStr">
        <is>
          <t>... (200 số)</t>
        </is>
      </c>
      <c r="J40" s="3" t="inlineStr">
        <is>
          <t>TRƯỢT ❌</t>
        </is>
      </c>
    </row>
    <row r="41">
      <c r="A41" s="2" t="n">
        <v>40</v>
      </c>
      <c r="B41" s="2" t="inlineStr">
        <is>
          <t>Thứ hai ngày 09-02-2026</t>
        </is>
      </c>
      <c r="C41" s="3" t="inlineStr">
        <is>
          <t>65390</t>
        </is>
      </c>
      <c r="D41" s="3" t="inlineStr">
        <is>
          <t>390</t>
        </is>
      </c>
      <c r="E41" s="3" t="inlineStr">
        <is>
          <t>5390</t>
        </is>
      </c>
      <c r="F41" s="3" t="inlineStr">
        <is>
          <t>001, 014, 017, 021, 022, 024, 027, 028, 045, 048... (100 số)</t>
        </is>
      </c>
      <c r="G41" s="3" t="inlineStr">
        <is>
          <t>TRƯỢT ❌</t>
        </is>
      </c>
      <c r="H41" s="3" t="inlineStr">
        <is>
          <t>TRƯỢT ❌</t>
        </is>
      </c>
      <c r="I41" s="3" t="inlineStr">
        <is>
          <t>... (200 số)</t>
        </is>
      </c>
      <c r="J41" s="3" t="inlineStr">
        <is>
          <t>TRƯỢT ❌</t>
        </is>
      </c>
    </row>
    <row r="42">
      <c r="A42" s="2" t="n">
        <v>41</v>
      </c>
      <c r="B42" s="2" t="inlineStr">
        <is>
          <t>Thứ ba ngày 10-02-2026</t>
        </is>
      </c>
      <c r="C42" s="3" t="inlineStr">
        <is>
          <t>20692</t>
        </is>
      </c>
      <c r="D42" s="3" t="inlineStr">
        <is>
          <t>692</t>
        </is>
      </c>
      <c r="E42" s="3" t="inlineStr">
        <is>
          <t>0692</t>
        </is>
      </c>
      <c r="F42" s="3" t="inlineStr">
        <is>
          <t>001, 014, 017, 021, 022, 024, 045, 048, 051, 054... (100 số)</t>
        </is>
      </c>
      <c r="G42" s="3" t="inlineStr">
        <is>
          <t>TRƯỢT ❌</t>
        </is>
      </c>
      <c r="H42" s="3" t="inlineStr">
        <is>
          <t>TRƯỢT ❌</t>
        </is>
      </c>
      <c r="I42" s="3" t="inlineStr">
        <is>
          <t>... (200 số)</t>
        </is>
      </c>
      <c r="J42" s="3" t="inlineStr">
        <is>
          <t>TRƯỢT ❌</t>
        </is>
      </c>
    </row>
    <row r="43">
      <c r="A43" s="2" t="n">
        <v>42</v>
      </c>
      <c r="B43" s="2" t="inlineStr">
        <is>
          <t>Thứ tư ngày 11-02-2026</t>
        </is>
      </c>
      <c r="C43" s="3" t="inlineStr">
        <is>
          <t>81475</t>
        </is>
      </c>
      <c r="D43" s="3" t="inlineStr">
        <is>
          <t>475</t>
        </is>
      </c>
      <c r="E43" s="3" t="inlineStr">
        <is>
          <t>1475</t>
        </is>
      </c>
      <c r="F43" s="3" t="inlineStr">
        <is>
          <t>014, 017, 021, 022, 024, 027, 028, 030, 033, 045... (100 số)</t>
        </is>
      </c>
      <c r="G43" s="3" t="inlineStr">
        <is>
          <t>TRƯỢT ❌</t>
        </is>
      </c>
      <c r="H43" s="3" t="inlineStr">
        <is>
          <t>TRƯỢT ❌</t>
        </is>
      </c>
      <c r="I43" s="3" t="inlineStr">
        <is>
          <t>... (200 số)</t>
        </is>
      </c>
      <c r="J43" s="3" t="inlineStr">
        <is>
          <t>TRƯỢT ❌</t>
        </is>
      </c>
    </row>
    <row r="44">
      <c r="A44" s="2" t="n">
        <v>43</v>
      </c>
      <c r="B44" s="2" t="inlineStr">
        <is>
          <t>Thứ năm ngày 12-02-2026</t>
        </is>
      </c>
      <c r="C44" s="3" t="inlineStr">
        <is>
          <t>93177</t>
        </is>
      </c>
      <c r="D44" s="3" t="inlineStr">
        <is>
          <t>177</t>
        </is>
      </c>
      <c r="E44" s="3" t="inlineStr">
        <is>
          <t>3177</t>
        </is>
      </c>
      <c r="F44" s="3" t="inlineStr">
        <is>
          <t>001, 014, 017, 021, 022, 028, 030, 045, 048, 051... (100 số)</t>
        </is>
      </c>
      <c r="G44" s="3" t="inlineStr">
        <is>
          <t>TRƯỢT ❌</t>
        </is>
      </c>
      <c r="H44" s="3" t="inlineStr">
        <is>
          <t>TRƯỢT ❌</t>
        </is>
      </c>
      <c r="I44" s="3" t="inlineStr">
        <is>
          <t>... (200 số)</t>
        </is>
      </c>
      <c r="J44" s="3" t="inlineStr">
        <is>
          <t>TRƯỢT ❌</t>
        </is>
      </c>
    </row>
    <row r="45">
      <c r="A45" s="2" t="n">
        <v>44</v>
      </c>
      <c r="B45" s="2" t="inlineStr">
        <is>
          <t>Thứ sáu ngày 13-02-2026</t>
        </is>
      </c>
      <c r="C45" s="3" t="inlineStr">
        <is>
          <t>90630</t>
        </is>
      </c>
      <c r="D45" s="3" t="inlineStr">
        <is>
          <t>630</t>
        </is>
      </c>
      <c r="E45" s="3" t="inlineStr">
        <is>
          <t>0630</t>
        </is>
      </c>
      <c r="F45" s="3" t="inlineStr">
        <is>
          <t>001, 014, 017, 021, 022, 030, 033, 048, 051, 061... (100 số)</t>
        </is>
      </c>
      <c r="G45" s="3" t="inlineStr">
        <is>
          <t>TRƯỢT ❌</t>
        </is>
      </c>
      <c r="H45" s="3" t="inlineStr">
        <is>
          <t>TRƯỢT ❌</t>
        </is>
      </c>
      <c r="I45" s="3" t="inlineStr">
        <is>
          <t>... (200 số)</t>
        </is>
      </c>
      <c r="J45" s="3" t="inlineStr">
        <is>
          <t>TRƯỢT ❌</t>
        </is>
      </c>
    </row>
    <row r="46">
      <c r="A46" s="2" t="n">
        <v>45</v>
      </c>
      <c r="B46" s="2" t="inlineStr">
        <is>
          <t>Thứ bảy ngày 14-02-2026</t>
        </is>
      </c>
      <c r="C46" s="3" t="inlineStr">
        <is>
          <t>22601</t>
        </is>
      </c>
      <c r="D46" s="3" t="inlineStr">
        <is>
          <t>601</t>
        </is>
      </c>
      <c r="E46" s="3" t="inlineStr">
        <is>
          <t>2601</t>
        </is>
      </c>
      <c r="F46" s="3" t="inlineStr">
        <is>
          <t>001, 014, 017, 021, 022, 028, 030, 048, 051, 061... (100 số)</t>
        </is>
      </c>
      <c r="G46" s="3" t="inlineStr">
        <is>
          <t>TRƯỢT ❌</t>
        </is>
      </c>
      <c r="H46" s="3" t="inlineStr">
        <is>
          <t>TRƯỢT ❌</t>
        </is>
      </c>
      <c r="I46" s="3" t="inlineStr">
        <is>
          <t>... (200 số)</t>
        </is>
      </c>
      <c r="J46" s="3" t="inlineStr">
        <is>
          <t>TRƯỢT ❌</t>
        </is>
      </c>
    </row>
    <row r="47">
      <c r="A47" s="2" t="n">
        <v>46</v>
      </c>
      <c r="B47" s="2" t="inlineStr">
        <is>
          <t>Chủ nhật ngày 15-02-2026</t>
        </is>
      </c>
      <c r="C47" s="3" t="inlineStr">
        <is>
          <t>36481</t>
        </is>
      </c>
      <c r="D47" s="3" t="inlineStr">
        <is>
          <t>481</t>
        </is>
      </c>
      <c r="E47" s="3" t="inlineStr">
        <is>
          <t>6481</t>
        </is>
      </c>
      <c r="F47" s="3" t="inlineStr">
        <is>
          <t>001, 014, 017, 024, 030, 033, 045, 048, 051, 054... (100 số)</t>
        </is>
      </c>
      <c r="G47" s="3" t="inlineStr">
        <is>
          <t>TRƯỢT ❌</t>
        </is>
      </c>
      <c r="H47" s="3" t="inlineStr">
        <is>
          <t>TRƯỢT ❌</t>
        </is>
      </c>
      <c r="I47" s="3" t="inlineStr">
        <is>
          <t>... (200 số)</t>
        </is>
      </c>
      <c r="J47" s="3" t="inlineStr">
        <is>
          <t>TRƯỢT ❌</t>
        </is>
      </c>
    </row>
    <row r="48">
      <c r="A48" s="2" t="n">
        <v>47</v>
      </c>
      <c r="B48" s="2" t="inlineStr">
        <is>
          <t>Thứ sáu ngày 20-02-2026</t>
        </is>
      </c>
      <c r="C48" s="3" t="inlineStr">
        <is>
          <t>44413</t>
        </is>
      </c>
      <c r="D48" s="3" t="inlineStr">
        <is>
          <t>413</t>
        </is>
      </c>
      <c r="E48" s="3" t="inlineStr">
        <is>
          <t>4413</t>
        </is>
      </c>
      <c r="F48" s="3" t="inlineStr">
        <is>
          <t>001, 014, 017, 021, 022, 030, 045, 048, 051, 054... (100 số)</t>
        </is>
      </c>
      <c r="G48" s="3" t="inlineStr">
        <is>
          <t>TRƯỢT ❌</t>
        </is>
      </c>
      <c r="H48" s="3" t="inlineStr">
        <is>
          <t>TRƯỢT ❌</t>
        </is>
      </c>
      <c r="I48" s="3" t="inlineStr">
        <is>
          <t>... (200 số)</t>
        </is>
      </c>
      <c r="J48" s="3" t="inlineStr">
        <is>
          <t>TRƯỢT ❌</t>
        </is>
      </c>
    </row>
    <row r="49">
      <c r="A49" s="2" t="n">
        <v>48</v>
      </c>
      <c r="B49" s="2" t="inlineStr">
        <is>
          <t>Thứ bảy ngày 21-02-2026</t>
        </is>
      </c>
      <c r="C49" s="3" t="inlineStr">
        <is>
          <t>64512</t>
        </is>
      </c>
      <c r="D49" s="3" t="inlineStr">
        <is>
          <t>512</t>
        </is>
      </c>
      <c r="E49" s="3" t="inlineStr">
        <is>
          <t>4512</t>
        </is>
      </c>
      <c r="F49" s="3" t="inlineStr">
        <is>
          <t>001, 013, 014, 017, 021, 030, 045, 048, 054, 061... (100 số)</t>
        </is>
      </c>
      <c r="G49" s="3" t="inlineStr">
        <is>
          <t>TRƯỢT ❌</t>
        </is>
      </c>
      <c r="H49" s="3" t="inlineStr">
        <is>
          <t>TRƯỢT ❌</t>
        </is>
      </c>
      <c r="I49" s="3" t="inlineStr">
        <is>
          <t>... (200 số)</t>
        </is>
      </c>
      <c r="J49" s="3" t="inlineStr">
        <is>
          <t>TRƯỢT ❌</t>
        </is>
      </c>
    </row>
    <row r="50">
      <c r="A50" s="2" t="n">
        <v>49</v>
      </c>
      <c r="B50" s="2" t="inlineStr">
        <is>
          <t>Chủ nhật ngày 22-02-2026</t>
        </is>
      </c>
      <c r="C50" s="3" t="inlineStr">
        <is>
          <t>67655</t>
        </is>
      </c>
      <c r="D50" s="3" t="inlineStr">
        <is>
          <t>655</t>
        </is>
      </c>
      <c r="E50" s="3" t="inlineStr">
        <is>
          <t>7655</t>
        </is>
      </c>
      <c r="F50" s="3" t="inlineStr">
        <is>
          <t>001, 005, 013, 017, 022, 023, 030, 033, 048, 062... (100 số)</t>
        </is>
      </c>
      <c r="G50" s="3" t="inlineStr">
        <is>
          <t>TRƯỢT ❌</t>
        </is>
      </c>
      <c r="H50" s="3" t="inlineStr">
        <is>
          <t>TRƯỢT ❌</t>
        </is>
      </c>
      <c r="I50" s="3" t="inlineStr">
        <is>
          <t>... (200 số)</t>
        </is>
      </c>
      <c r="J50" s="3" t="inlineStr">
        <is>
          <t>TRƯỢT ❌</t>
        </is>
      </c>
    </row>
    <row r="51">
      <c r="A51" s="2" t="n">
        <v>50</v>
      </c>
      <c r="B51" s="2" t="inlineStr">
        <is>
          <t>Thứ hai ngày 23-02-2026</t>
        </is>
      </c>
      <c r="C51" s="3" t="inlineStr">
        <is>
          <t>65037</t>
        </is>
      </c>
      <c r="D51" s="3" t="inlineStr">
        <is>
          <t>037</t>
        </is>
      </c>
      <c r="E51" s="3" t="inlineStr">
        <is>
          <t>5037</t>
        </is>
      </c>
      <c r="F51" s="3" t="inlineStr">
        <is>
          <t>001, 013, 014, 017, 022, 030, 033, 045, 048, 054... (100 số)</t>
        </is>
      </c>
      <c r="G51" s="3" t="inlineStr">
        <is>
          <t>TRƯỢT ❌</t>
        </is>
      </c>
      <c r="H51" s="3" t="inlineStr">
        <is>
          <t>TRƯỢT ❌</t>
        </is>
      </c>
      <c r="I51" s="3" t="inlineStr">
        <is>
          <t>... (200 số)</t>
        </is>
      </c>
      <c r="J51" s="3" t="inlineStr">
        <is>
          <t>TRƯỢT ❌</t>
        </is>
      </c>
    </row>
    <row r="52">
      <c r="A52" s="2" t="n">
        <v>51</v>
      </c>
      <c r="B52" s="2" t="inlineStr">
        <is>
          <t>Thứ ba ngày 24-02-2026</t>
        </is>
      </c>
      <c r="C52" s="3" t="inlineStr">
        <is>
          <t>48153</t>
        </is>
      </c>
      <c r="D52" s="3" t="inlineStr">
        <is>
          <t>153</t>
        </is>
      </c>
      <c r="E52" s="3" t="inlineStr">
        <is>
          <t>8153</t>
        </is>
      </c>
      <c r="F52" s="3" t="inlineStr">
        <is>
          <t>001, 012, 013, 014, 017, 021, 022, 030, 033, 037... (100 số)</t>
        </is>
      </c>
      <c r="G52" s="3" t="inlineStr">
        <is>
          <t>TRƯỢT ❌</t>
        </is>
      </c>
      <c r="H52" s="3" t="inlineStr">
        <is>
          <t>TRƯỢT ❌</t>
        </is>
      </c>
      <c r="I52" s="3" t="inlineStr">
        <is>
          <t>... (200 số)</t>
        </is>
      </c>
      <c r="J52" s="3" t="inlineStr">
        <is>
          <t>TRƯỢT ❌</t>
        </is>
      </c>
    </row>
    <row r="53">
      <c r="A53" s="2" t="n">
        <v>52</v>
      </c>
      <c r="B53" s="2" t="inlineStr">
        <is>
          <t>Thứ tư ngày 25-02-2026</t>
        </is>
      </c>
      <c r="C53" s="3" t="inlineStr">
        <is>
          <t>86408</t>
        </is>
      </c>
      <c r="D53" s="3" t="inlineStr">
        <is>
          <t>408</t>
        </is>
      </c>
      <c r="E53" s="3" t="inlineStr">
        <is>
          <t>6408</t>
        </is>
      </c>
      <c r="F53" s="3" t="inlineStr">
        <is>
          <t>001, 012, 013, 014, 017, 021, 030, 033, 037, 045... (100 số)</t>
        </is>
      </c>
      <c r="G53" s="3" t="inlineStr">
        <is>
          <t>TRƯỢT ❌</t>
        </is>
      </c>
      <c r="H53" s="3" t="inlineStr">
        <is>
          <t>TRƯỢT ❌</t>
        </is>
      </c>
      <c r="I53" s="3" t="inlineStr">
        <is>
          <t>... (200 số)</t>
        </is>
      </c>
      <c r="J53" s="3" t="inlineStr">
        <is>
          <t>TRƯỢT ❌</t>
        </is>
      </c>
    </row>
    <row r="54">
      <c r="A54" s="2" t="n">
        <v>53</v>
      </c>
      <c r="B54" s="2" t="inlineStr">
        <is>
          <t>Thứ năm ngày 26-02-2026</t>
        </is>
      </c>
      <c r="C54" s="3" t="inlineStr">
        <is>
          <t>13283</t>
        </is>
      </c>
      <c r="D54" s="3" t="inlineStr">
        <is>
          <t>283</t>
        </is>
      </c>
      <c r="E54" s="3" t="inlineStr">
        <is>
          <t>3283</t>
        </is>
      </c>
      <c r="F54" s="3" t="inlineStr">
        <is>
          <t>001, 008, 012, 013, 014, 017, 021, 030, 045, 048... (100 số)</t>
        </is>
      </c>
      <c r="G54" s="3" t="inlineStr">
        <is>
          <t>TRƯỢT ❌</t>
        </is>
      </c>
      <c r="H54" s="3" t="inlineStr">
        <is>
          <t>TRƯỢT ❌</t>
        </is>
      </c>
      <c r="I54" s="3" t="inlineStr">
        <is>
          <t>... (200 số)</t>
        </is>
      </c>
      <c r="J54" s="3" t="inlineStr">
        <is>
          <t>TRƯỢT ❌</t>
        </is>
      </c>
    </row>
    <row r="55">
      <c r="A55" s="2" t="n">
        <v>54</v>
      </c>
      <c r="B55" s="2" t="inlineStr">
        <is>
          <t>Thứ sáu ngày 27-02-2026</t>
        </is>
      </c>
      <c r="C55" s="3" t="inlineStr">
        <is>
          <t>47891</t>
        </is>
      </c>
      <c r="D55" s="3" t="inlineStr">
        <is>
          <t>891</t>
        </is>
      </c>
      <c r="E55" s="3" t="inlineStr">
        <is>
          <t>7891</t>
        </is>
      </c>
      <c r="F55" s="3" t="inlineStr">
        <is>
          <t>001, 012, 013, 014, 017, 021, 022, 030, 033, 037... (100 số)</t>
        </is>
      </c>
      <c r="G55" s="3" t="inlineStr">
        <is>
          <t>TRƯỢT ❌</t>
        </is>
      </c>
      <c r="H55" s="3" t="inlineStr">
        <is>
          <t>TRƯỢT ❌</t>
        </is>
      </c>
      <c r="I55" s="3" t="inlineStr">
        <is>
          <t>... (200 số)</t>
        </is>
      </c>
      <c r="J55" s="3" t="inlineStr">
        <is>
          <t>TRƯỢT ❌</t>
        </is>
      </c>
    </row>
    <row r="56">
      <c r="A56" s="2" t="n">
        <v>55</v>
      </c>
      <c r="B56" s="2" t="inlineStr">
        <is>
          <t>Thứ bảy ngày 28-02-2026</t>
        </is>
      </c>
      <c r="C56" s="3" t="inlineStr">
        <is>
          <t>90148</t>
        </is>
      </c>
      <c r="D56" s="3" t="inlineStr">
        <is>
          <t>148</t>
        </is>
      </c>
      <c r="E56" s="3" t="inlineStr">
        <is>
          <t>0148</t>
        </is>
      </c>
      <c r="F56" s="3" t="inlineStr">
        <is>
          <t>001, 008, 012, 017, 021, 022, 030, 037, 045, 048... (100 số)</t>
        </is>
      </c>
      <c r="G56" s="3" t="inlineStr">
        <is>
          <t>TRƯỢT ❌</t>
        </is>
      </c>
      <c r="H56" s="3" t="inlineStr">
        <is>
          <t>TRƯỢT ❌</t>
        </is>
      </c>
      <c r="I56" s="3" t="inlineStr">
        <is>
          <t>... (200 số)</t>
        </is>
      </c>
      <c r="J56" s="3" t="inlineStr">
        <is>
          <t>TRƯỢT ❌</t>
        </is>
      </c>
    </row>
    <row r="57">
      <c r="A57" s="2" t="n">
        <v>56</v>
      </c>
      <c r="B57" s="2" t="inlineStr">
        <is>
          <t>Chủ nhật ngày 01-03-2026</t>
        </is>
      </c>
      <c r="C57" s="3" t="inlineStr">
        <is>
          <t>75257</t>
        </is>
      </c>
      <c r="D57" s="3" t="inlineStr">
        <is>
          <t>257</t>
        </is>
      </c>
      <c r="E57" s="3" t="inlineStr">
        <is>
          <t>5257</t>
        </is>
      </c>
      <c r="F57" s="3" t="inlineStr">
        <is>
          <t>001, 008, 012, 013, 017, 021, 022, 030, 033, 037... (100 số)</t>
        </is>
      </c>
      <c r="G57" s="3" t="inlineStr">
        <is>
          <t>TRƯỢT ❌</t>
        </is>
      </c>
      <c r="H57" s="3" t="inlineStr">
        <is>
          <t>TRƯỢT ❌</t>
        </is>
      </c>
      <c r="I57" s="3" t="inlineStr">
        <is>
          <t>... (200 số)</t>
        </is>
      </c>
      <c r="J57" s="3" t="inlineStr">
        <is>
          <t>TRƯỢT ❌</t>
        </is>
      </c>
    </row>
    <row r="58">
      <c r="A58" s="2" t="n">
        <v>57</v>
      </c>
      <c r="B58" s="2" t="inlineStr">
        <is>
          <t>Thứ hai ngày 02-03-2026</t>
        </is>
      </c>
      <c r="C58" s="3" t="inlineStr">
        <is>
          <t>70078</t>
        </is>
      </c>
      <c r="D58" s="3" t="inlineStr">
        <is>
          <t>078</t>
        </is>
      </c>
      <c r="E58" s="3" t="inlineStr">
        <is>
          <t>0078</t>
        </is>
      </c>
      <c r="F58" s="3" t="inlineStr">
        <is>
          <t>001, 008, 012, 013, 014, 017, 021, 030, 045, 048... (100 số)</t>
        </is>
      </c>
      <c r="G58" s="3" t="inlineStr">
        <is>
          <t>TRƯỢT ❌</t>
        </is>
      </c>
      <c r="H58" s="3" t="inlineStr">
        <is>
          <t>TRƯỢT ❌</t>
        </is>
      </c>
      <c r="I58" s="3" t="inlineStr">
        <is>
          <t>... (200 số)</t>
        </is>
      </c>
      <c r="J58" s="3" t="inlineStr">
        <is>
          <t>TRƯỢT ❌</t>
        </is>
      </c>
    </row>
    <row r="59">
      <c r="A59" s="2" t="n">
        <v>58</v>
      </c>
      <c r="B59" s="2" t="inlineStr">
        <is>
          <t>Thứ ba ngày 03-03-2026</t>
        </is>
      </c>
      <c r="C59" s="3" t="inlineStr">
        <is>
          <t>10619</t>
        </is>
      </c>
      <c r="D59" s="3" t="inlineStr">
        <is>
          <t>619</t>
        </is>
      </c>
      <c r="E59" s="3" t="inlineStr">
        <is>
          <t>0619</t>
        </is>
      </c>
      <c r="F59" s="3" t="inlineStr">
        <is>
          <t>001, 012, 013, 014, 017, 022, 030, 033, 037, 048... (100 số)</t>
        </is>
      </c>
      <c r="G59" s="3" t="inlineStr">
        <is>
          <t>TRƯỢT ❌</t>
        </is>
      </c>
      <c r="H59" s="3" t="inlineStr">
        <is>
          <t>TRƯỢT ❌</t>
        </is>
      </c>
      <c r="I59" s="3" t="inlineStr">
        <is>
          <t>... (200 số)</t>
        </is>
      </c>
      <c r="J59" s="3" t="inlineStr">
        <is>
          <t>TRƯỢT ❌</t>
        </is>
      </c>
    </row>
    <row r="60">
      <c r="A60" s="2" t="n">
        <v>59</v>
      </c>
      <c r="B60" s="2" t="inlineStr">
        <is>
          <t>Thứ tư ngày 04-03-2026</t>
        </is>
      </c>
      <c r="C60" s="3" t="inlineStr">
        <is>
          <t>16659</t>
        </is>
      </c>
      <c r="D60" s="3" t="inlineStr">
        <is>
          <t>659</t>
        </is>
      </c>
      <c r="E60" s="3" t="inlineStr">
        <is>
          <t>6659</t>
        </is>
      </c>
      <c r="F60" s="3" t="inlineStr">
        <is>
          <t>001, 008, 012, 013, 017, 019, 022, 030, 033, 037... (100 số)</t>
        </is>
      </c>
      <c r="G60" s="3" t="inlineStr">
        <is>
          <t>TRƯỢT ❌</t>
        </is>
      </c>
      <c r="H60" s="3" t="inlineStr">
        <is>
          <t>TRƯỢT ❌</t>
        </is>
      </c>
      <c r="I60" s="3" t="inlineStr">
        <is>
          <t>... (200 số)</t>
        </is>
      </c>
      <c r="J60" s="3" t="inlineStr">
        <is>
          <t>TRƯỢT ❌</t>
        </is>
      </c>
    </row>
    <row r="61">
      <c r="A61" s="2" t="n">
        <v>60</v>
      </c>
      <c r="B61" s="2" t="inlineStr">
        <is>
          <t>Thứ năm ngày 05-03-2026</t>
        </is>
      </c>
      <c r="C61" s="3" t="inlineStr">
        <is>
          <t>38249</t>
        </is>
      </c>
      <c r="D61" s="3" t="inlineStr">
        <is>
          <t>249</t>
        </is>
      </c>
      <c r="E61" s="3" t="inlineStr">
        <is>
          <t>8249</t>
        </is>
      </c>
      <c r="F61" s="3" t="inlineStr">
        <is>
          <t>001, 008, 012, 013, 017, 019, 030, 048, 054, 059... (100 số)</t>
        </is>
      </c>
      <c r="G61" s="3" t="inlineStr">
        <is>
          <t>TRƯỢT ❌</t>
        </is>
      </c>
      <c r="H61" s="3" t="inlineStr">
        <is>
          <t>TRƯỢT ❌</t>
        </is>
      </c>
      <c r="I61" s="3" t="inlineStr">
        <is>
          <t>... (200 số)</t>
        </is>
      </c>
      <c r="J61" s="3" t="inlineStr">
        <is>
          <t>TRƯỢT ❌</t>
        </is>
      </c>
    </row>
    <row r="62">
      <c r="A62" s="2" t="n">
        <v>61</v>
      </c>
      <c r="B62" s="2" t="inlineStr">
        <is>
          <t>Thứ sáu ngày 06-03-2026</t>
        </is>
      </c>
      <c r="C62" s="3" t="inlineStr">
        <is>
          <t>51951</t>
        </is>
      </c>
      <c r="D62" s="3" t="inlineStr">
        <is>
          <t>951</t>
        </is>
      </c>
      <c r="E62" s="3" t="inlineStr">
        <is>
          <t>1951</t>
        </is>
      </c>
      <c r="F62" s="3" t="inlineStr">
        <is>
          <t>001, 008, 012, 013, 017, 019, 030, 037, 048, 049... (100 số)</t>
        </is>
      </c>
      <c r="G62" s="3" t="inlineStr">
        <is>
          <t>TRƯỢT ❌</t>
        </is>
      </c>
      <c r="H62" s="3" t="inlineStr">
        <is>
          <t>TRƯỢT ❌</t>
        </is>
      </c>
      <c r="I62" s="3" t="inlineStr">
        <is>
          <t>... (200 số)</t>
        </is>
      </c>
      <c r="J62" s="3" t="inlineStr">
        <is>
          <t>TRƯỢT ❌</t>
        </is>
      </c>
    </row>
    <row r="63">
      <c r="A63" s="2" t="n">
        <v>62</v>
      </c>
      <c r="B63" s="2" t="inlineStr">
        <is>
          <t>Thứ bảy ngày 07-03-2026</t>
        </is>
      </c>
      <c r="C63" s="3" t="inlineStr">
        <is>
          <t>81336</t>
        </is>
      </c>
      <c r="D63" s="3" t="inlineStr">
        <is>
          <t>336</t>
        </is>
      </c>
      <c r="E63" s="3" t="inlineStr">
        <is>
          <t>1336</t>
        </is>
      </c>
      <c r="F63" s="3" t="inlineStr">
        <is>
          <t>001, 008, 012, 013, 017, 019, 022, 030, 033, 037... (100 số)</t>
        </is>
      </c>
      <c r="G63" s="3" t="inlineStr">
        <is>
          <t>TRƯỢT ❌</t>
        </is>
      </c>
      <c r="H63" s="3" t="inlineStr">
        <is>
          <t>TRƯỢT ❌</t>
        </is>
      </c>
      <c r="I63" s="3" t="inlineStr">
        <is>
          <t>... (200 số)</t>
        </is>
      </c>
      <c r="J63" s="3" t="inlineStr">
        <is>
          <t>TRƯỢT ❌</t>
        </is>
      </c>
    </row>
    <row r="64">
      <c r="A64" s="2" t="n">
        <v>63</v>
      </c>
      <c r="B64" s="2" t="inlineStr">
        <is>
          <t>Chủ nhật ngày 08-03-2026</t>
        </is>
      </c>
      <c r="C64" s="3" t="inlineStr">
        <is>
          <t>90580</t>
        </is>
      </c>
      <c r="D64" s="3" t="inlineStr">
        <is>
          <t>580</t>
        </is>
      </c>
      <c r="E64" s="3" t="inlineStr">
        <is>
          <t>0580</t>
        </is>
      </c>
      <c r="F64" s="3" t="inlineStr">
        <is>
          <t>001, 012, 014, 017, 021, 022, 023, 024, 027, 030... (100 số)</t>
        </is>
      </c>
      <c r="G64" s="3" t="inlineStr">
        <is>
          <t>TRƯỢT ❌</t>
        </is>
      </c>
      <c r="H64" s="3" t="inlineStr">
        <is>
          <t>TRƯỢT ❌</t>
        </is>
      </c>
      <c r="I64" s="3" t="inlineStr">
        <is>
          <t>... (200 số)</t>
        </is>
      </c>
      <c r="J64" s="3" t="inlineStr">
        <is>
          <t>TRƯỢT ❌</t>
        </is>
      </c>
    </row>
    <row r="65">
      <c r="A65" s="2" t="n">
        <v>64</v>
      </c>
      <c r="B65" s="2" t="inlineStr">
        <is>
          <t>Thứ hai ngày 09-03-2026</t>
        </is>
      </c>
      <c r="C65" s="3" t="inlineStr">
        <is>
          <t>22342</t>
        </is>
      </c>
      <c r="D65" s="3" t="inlineStr">
        <is>
          <t>342</t>
        </is>
      </c>
      <c r="E65" s="3" t="inlineStr">
        <is>
          <t>2342</t>
        </is>
      </c>
      <c r="F65" s="3" t="inlineStr">
        <is>
          <t>001, 008, 012, 013, 022, 030, 033, 036, 037, 051... (100 số)</t>
        </is>
      </c>
      <c r="G65" s="3" t="inlineStr">
        <is>
          <t>TRƯỢT ❌</t>
        </is>
      </c>
      <c r="H65" s="3" t="inlineStr">
        <is>
          <t>TRƯỢT ❌</t>
        </is>
      </c>
      <c r="I65" s="3" t="inlineStr">
        <is>
          <t>... (200 số)</t>
        </is>
      </c>
      <c r="J65" s="3" t="inlineStr">
        <is>
          <t>TRƯỢT ❌</t>
        </is>
      </c>
    </row>
    <row r="66">
      <c r="A66" s="2" t="n">
        <v>65</v>
      </c>
      <c r="B66" s="2" t="inlineStr">
        <is>
          <t>Thứ ba ngày 10-03-2026</t>
        </is>
      </c>
      <c r="C66" s="3" t="inlineStr">
        <is>
          <t>30368</t>
        </is>
      </c>
      <c r="D66" s="3" t="inlineStr">
        <is>
          <t>368</t>
        </is>
      </c>
      <c r="E66" s="3" t="inlineStr">
        <is>
          <t>0368</t>
        </is>
      </c>
      <c r="F66" s="3" t="inlineStr">
        <is>
          <t>001, 008, 012, 013, 017, 019, 030, 033, 036, 037... (100 số)</t>
        </is>
      </c>
      <c r="G66" s="3" t="inlineStr">
        <is>
          <t>TRƯỢT ❌</t>
        </is>
      </c>
      <c r="H66" s="3" t="inlineStr">
        <is>
          <t>TRƯỢT ❌</t>
        </is>
      </c>
      <c r="I66" s="3" t="inlineStr">
        <is>
          <t>... (200 số)</t>
        </is>
      </c>
      <c r="J66" s="3" t="inlineStr">
        <is>
          <t>TRƯỢT ❌</t>
        </is>
      </c>
    </row>
    <row r="67">
      <c r="A67" s="2" t="n">
        <v>66</v>
      </c>
      <c r="B67" s="2" t="inlineStr">
        <is>
          <t>Thứ tư ngày 11-03-2026</t>
        </is>
      </c>
      <c r="C67" s="3" t="inlineStr">
        <is>
          <t>72124</t>
        </is>
      </c>
      <c r="D67" s="3" t="inlineStr">
        <is>
          <t>124</t>
        </is>
      </c>
      <c r="E67" s="3" t="inlineStr">
        <is>
          <t>2124</t>
        </is>
      </c>
      <c r="F67" s="3" t="inlineStr">
        <is>
          <t>001, 008, 012, 013, 017, 019, 030, 033, 036, 037... (100 số)</t>
        </is>
      </c>
      <c r="G67" s="3" t="inlineStr">
        <is>
          <t>TRƯỢT ❌</t>
        </is>
      </c>
      <c r="H67" s="3" t="inlineStr">
        <is>
          <t>TRƯỢT ❌</t>
        </is>
      </c>
      <c r="I67" s="3" t="inlineStr">
        <is>
          <t>... (200 số)</t>
        </is>
      </c>
      <c r="J67" s="3" t="inlineStr">
        <is>
          <t>TRƯỢT ❌</t>
        </is>
      </c>
    </row>
    <row r="68">
      <c r="A68" s="2" t="n">
        <v>67</v>
      </c>
      <c r="B68" s="2" t="inlineStr">
        <is>
          <t>Thứ năm ngày 12-03-2026</t>
        </is>
      </c>
      <c r="C68" s="3" t="inlineStr">
        <is>
          <t>86759</t>
        </is>
      </c>
      <c r="D68" s="3" t="inlineStr">
        <is>
          <t>759</t>
        </is>
      </c>
      <c r="E68" s="3" t="inlineStr">
        <is>
          <t>6759</t>
        </is>
      </c>
      <c r="F68" s="3" t="inlineStr">
        <is>
          <t>001, 008, 019, 024, 030, 036, 042, 048, 049, 051... (100 số)</t>
        </is>
      </c>
      <c r="G68" s="3" t="inlineStr">
        <is>
          <t>TRÚNG 🎯</t>
        </is>
      </c>
      <c r="H68" s="3" t="inlineStr">
        <is>
          <t>TRÚNG 🎯</t>
        </is>
      </c>
      <c r="I68" s="3" t="inlineStr">
        <is>
          <t>... (200 số)</t>
        </is>
      </c>
      <c r="J68" s="3" t="inlineStr">
        <is>
          <t>TRƯỢT ❌</t>
        </is>
      </c>
    </row>
    <row r="69">
      <c r="A69" s="2" t="n">
        <v>68</v>
      </c>
      <c r="B69" s="2" t="inlineStr">
        <is>
          <t>Thứ sáu ngày 13-03-2026</t>
        </is>
      </c>
      <c r="C69" s="3" t="inlineStr">
        <is>
          <t>56848</t>
        </is>
      </c>
      <c r="D69" s="3" t="inlineStr">
        <is>
          <t>848</t>
        </is>
      </c>
      <c r="E69" s="3" t="inlineStr">
        <is>
          <t>6848</t>
        </is>
      </c>
      <c r="F69" s="3" t="inlineStr">
        <is>
          <t>001, 008, 012, 013, 017, 019, 030, 036, 048, 049... (100 số)</t>
        </is>
      </c>
      <c r="G69" s="3" t="inlineStr">
        <is>
          <t>TRƯỢT ❌</t>
        </is>
      </c>
      <c r="H69" s="3" t="inlineStr">
        <is>
          <t>TRƯỢT ❌</t>
        </is>
      </c>
      <c r="I69" s="3" t="inlineStr">
        <is>
          <t>... (200 số)</t>
        </is>
      </c>
      <c r="J69" s="3" t="inlineStr">
        <is>
          <t>TRƯỢT ❌</t>
        </is>
      </c>
    </row>
    <row r="70">
      <c r="A70" s="2" t="n">
        <v>69</v>
      </c>
      <c r="B70" s="2" t="inlineStr">
        <is>
          <t>Thứ bảy ngày 14-03-2026</t>
        </is>
      </c>
      <c r="C70" s="3" t="inlineStr">
        <is>
          <t>01770</t>
        </is>
      </c>
      <c r="D70" s="3" t="inlineStr">
        <is>
          <t>770</t>
        </is>
      </c>
      <c r="E70" s="3" t="inlineStr">
        <is>
          <t>1770</t>
        </is>
      </c>
      <c r="F70" s="3" t="inlineStr">
        <is>
          <t>001, 012, 013, 017, 019, 022, 024, 042, 048, 049... (100 số)</t>
        </is>
      </c>
      <c r="G70" s="3" t="inlineStr">
        <is>
          <t>TRƯỢT ❌</t>
        </is>
      </c>
      <c r="H70" s="3" t="inlineStr">
        <is>
          <t>TRƯỢT ❌</t>
        </is>
      </c>
      <c r="I70" s="3" t="inlineStr">
        <is>
          <t>... (200 số)</t>
        </is>
      </c>
      <c r="J70" s="3" t="inlineStr">
        <is>
          <t>TRƯỢT ❌</t>
        </is>
      </c>
    </row>
    <row r="71">
      <c r="A71" s="2" t="n">
        <v>70</v>
      </c>
      <c r="B71" s="2" t="inlineStr">
        <is>
          <t>Chủ nhật ngày 15-03-2026</t>
        </is>
      </c>
      <c r="C71" s="3" t="inlineStr">
        <is>
          <t>77552</t>
        </is>
      </c>
      <c r="D71" s="3" t="inlineStr">
        <is>
          <t>552</t>
        </is>
      </c>
      <c r="E71" s="3" t="inlineStr">
        <is>
          <t>7552</t>
        </is>
      </c>
      <c r="F71" s="3" t="inlineStr">
        <is>
          <t>008, 013, 017, 024, 030, 036, 037, 042, 048, 049... (100 số)</t>
        </is>
      </c>
      <c r="G71" s="3" t="inlineStr">
        <is>
          <t>TRƯỢT ❌</t>
        </is>
      </c>
      <c r="H71" s="3" t="inlineStr">
        <is>
          <t>TRƯỢT ❌</t>
        </is>
      </c>
      <c r="I71" s="3" t="inlineStr">
        <is>
          <t>... (200 số)</t>
        </is>
      </c>
      <c r="J71" s="3" t="inlineStr">
        <is>
          <t>TRƯỢT ❌</t>
        </is>
      </c>
    </row>
    <row r="72">
      <c r="A72" s="2" t="n">
        <v>71</v>
      </c>
      <c r="B72" s="2" t="inlineStr">
        <is>
          <t>Thứ hai ngày 16-03-2026</t>
        </is>
      </c>
      <c r="C72" s="3" t="inlineStr">
        <is>
          <t>07969</t>
        </is>
      </c>
      <c r="D72" s="3" t="inlineStr">
        <is>
          <t>969</t>
        </is>
      </c>
      <c r="E72" s="3" t="inlineStr">
        <is>
          <t>7969</t>
        </is>
      </c>
      <c r="F72" s="3" t="inlineStr">
        <is>
          <t>001, 008, 012, 013, 017, 019, 022, 024, 030, 036... (100 số)</t>
        </is>
      </c>
      <c r="G72" s="3" t="inlineStr">
        <is>
          <t>TRƯỢT ❌</t>
        </is>
      </c>
      <c r="H72" s="3" t="inlineStr">
        <is>
          <t>TRƯỢT ❌</t>
        </is>
      </c>
      <c r="I72" s="3" t="inlineStr">
        <is>
          <t>... (200 số)</t>
        </is>
      </c>
      <c r="J72" s="3" t="inlineStr">
        <is>
          <t>TRƯỢT ❌</t>
        </is>
      </c>
    </row>
    <row r="73">
      <c r="A73" s="2" t="n">
        <v>72</v>
      </c>
      <c r="B73" s="2" t="inlineStr">
        <is>
          <t>Thứ ba ngày 17-03-2026</t>
        </is>
      </c>
      <c r="C73" s="3" t="inlineStr">
        <is>
          <t>25287</t>
        </is>
      </c>
      <c r="D73" s="3" t="inlineStr">
        <is>
          <t>287</t>
        </is>
      </c>
      <c r="E73" s="3" t="inlineStr">
        <is>
          <t>5287</t>
        </is>
      </c>
      <c r="F73" s="3" t="inlineStr">
        <is>
          <t>001, 008, 012, 013, 017, 019, 022, 024, 030, 036... (100 số)</t>
        </is>
      </c>
      <c r="G73" s="3" t="inlineStr">
        <is>
          <t>TRƯỢT ❌</t>
        </is>
      </c>
      <c r="H73" s="3" t="inlineStr">
        <is>
          <t>TRƯỢT ❌</t>
        </is>
      </c>
      <c r="I73" s="3" t="inlineStr">
        <is>
          <t>... (200 số)</t>
        </is>
      </c>
      <c r="J73" s="3" t="inlineStr">
        <is>
          <t>TRƯỢT ❌</t>
        </is>
      </c>
    </row>
    <row r="74">
      <c r="A74" s="2" t="n">
        <v>73</v>
      </c>
      <c r="B74" s="2" t="inlineStr">
        <is>
          <t>Thứ tư ngày 18-03-2026</t>
        </is>
      </c>
      <c r="C74" s="3" t="inlineStr">
        <is>
          <t>75495</t>
        </is>
      </c>
      <c r="D74" s="3" t="inlineStr">
        <is>
          <t>495</t>
        </is>
      </c>
      <c r="E74" s="3" t="inlineStr">
        <is>
          <t>5495</t>
        </is>
      </c>
      <c r="F74" s="3" t="inlineStr">
        <is>
          <t>001, 008, 012, 013, 017, 019, 022, 024, 030, 036... (100 số)</t>
        </is>
      </c>
      <c r="G74" s="3" t="inlineStr">
        <is>
          <t>TRƯỢT ❌</t>
        </is>
      </c>
      <c r="H74" s="3" t="inlineStr">
        <is>
          <t>TRƯỢT ❌</t>
        </is>
      </c>
      <c r="I74" s="3" t="inlineStr">
        <is>
          <t>... (200 số)</t>
        </is>
      </c>
      <c r="J74" s="3" t="inlineStr">
        <is>
          <t>TRƯỢT ❌</t>
        </is>
      </c>
    </row>
    <row r="75">
      <c r="A75" s="2" t="n">
        <v>74</v>
      </c>
      <c r="B75" s="2" t="inlineStr">
        <is>
          <t>Thứ năm ngày 19-03-2026</t>
        </is>
      </c>
      <c r="C75" s="3" t="inlineStr">
        <is>
          <t>81124</t>
        </is>
      </c>
      <c r="D75" s="3" t="inlineStr">
        <is>
          <t>124</t>
        </is>
      </c>
      <c r="E75" s="3" t="inlineStr">
        <is>
          <t>1124</t>
        </is>
      </c>
      <c r="F75" s="3" t="inlineStr">
        <is>
          <t>001, 008, 012, 013, 019, 022, 024, 030, 036, 042... (100 số)</t>
        </is>
      </c>
      <c r="G75" s="3" t="inlineStr">
        <is>
          <t>TRƯỢT ❌</t>
        </is>
      </c>
      <c r="H75" s="3" t="inlineStr">
        <is>
          <t>TRƯỢT ❌</t>
        </is>
      </c>
      <c r="I75" s="3" t="inlineStr">
        <is>
          <t>... (200 số)</t>
        </is>
      </c>
      <c r="J75" s="3" t="inlineStr">
        <is>
          <t>TRƯỢT ❌</t>
        </is>
      </c>
    </row>
    <row r="76">
      <c r="A76" s="2" t="n">
        <v>75</v>
      </c>
      <c r="B76" s="2" t="inlineStr">
        <is>
          <t>Thứ sáu ngày 20-03-2026</t>
        </is>
      </c>
      <c r="C76" s="3" t="inlineStr">
        <is>
          <t>88594</t>
        </is>
      </c>
      <c r="D76" s="3" t="inlineStr">
        <is>
          <t>594</t>
        </is>
      </c>
      <c r="E76" s="3" t="inlineStr">
        <is>
          <t>8594</t>
        </is>
      </c>
      <c r="F76" s="3" t="inlineStr">
        <is>
          <t>001, 008, 012, 013, 024, 030, 036, 037, 042, 048... (100 số)</t>
        </is>
      </c>
      <c r="G76" s="3" t="inlineStr">
        <is>
          <t>TRƯỢT ❌</t>
        </is>
      </c>
      <c r="H76" s="3" t="inlineStr">
        <is>
          <t>TRƯỢT ❌</t>
        </is>
      </c>
      <c r="I76" s="3" t="inlineStr">
        <is>
          <t>... (200 số)</t>
        </is>
      </c>
      <c r="J76" s="3" t="inlineStr">
        <is>
          <t>TRƯỢT ❌</t>
        </is>
      </c>
    </row>
    <row r="77">
      <c r="A77" s="2" t="n">
        <v>76</v>
      </c>
      <c r="B77" s="2" t="inlineStr">
        <is>
          <t>Thứ bảy ngày 21-03-2026</t>
        </is>
      </c>
      <c r="C77" s="3" t="inlineStr">
        <is>
          <t>58646</t>
        </is>
      </c>
      <c r="D77" s="3" t="inlineStr">
        <is>
          <t>646</t>
        </is>
      </c>
      <c r="E77" s="3" t="inlineStr">
        <is>
          <t>8646</t>
        </is>
      </c>
      <c r="F77" s="3" t="inlineStr">
        <is>
          <t>001, 008, 012, 013, 019, 024, 030, 036, 037, 042... (100 số)</t>
        </is>
      </c>
      <c r="G77" s="3" t="inlineStr">
        <is>
          <t>TRƯỢT ❌</t>
        </is>
      </c>
      <c r="H77" s="3" t="inlineStr">
        <is>
          <t>TRƯỢT ❌</t>
        </is>
      </c>
      <c r="I77" s="3" t="inlineStr">
        <is>
          <t>... (200 số)</t>
        </is>
      </c>
      <c r="J77" s="3" t="inlineStr">
        <is>
          <t>TRƯỢT ❌</t>
        </is>
      </c>
    </row>
    <row r="78">
      <c r="A78" s="2" t="n">
        <v>77</v>
      </c>
      <c r="B78" s="2" t="inlineStr">
        <is>
          <t>Chủ nhật ngày 22-03-2026</t>
        </is>
      </c>
      <c r="C78" s="3" t="inlineStr">
        <is>
          <t>77514</t>
        </is>
      </c>
      <c r="D78" s="3" t="inlineStr">
        <is>
          <t>514</t>
        </is>
      </c>
      <c r="E78" s="3" t="inlineStr">
        <is>
          <t>7514</t>
        </is>
      </c>
      <c r="F78" s="3" t="inlineStr">
        <is>
          <t>001, 008, 012, 013, 019, 024, 030, 036, 037, 042... (100 số)</t>
        </is>
      </c>
      <c r="G78" s="3" t="inlineStr">
        <is>
          <t>TRƯỢT ❌</t>
        </is>
      </c>
      <c r="H78" s="3" t="inlineStr">
        <is>
          <t>TRƯỢT ❌</t>
        </is>
      </c>
      <c r="I78" s="3" t="inlineStr">
        <is>
          <t>... (200 số)</t>
        </is>
      </c>
      <c r="J78" s="3" t="inlineStr">
        <is>
          <t>TRƯỢT ❌</t>
        </is>
      </c>
    </row>
    <row r="79">
      <c r="A79" s="2" t="n">
        <v>78</v>
      </c>
      <c r="B79" s="2" t="inlineStr">
        <is>
          <t>Thứ hai ngày 23-03-2026</t>
        </is>
      </c>
      <c r="C79" s="3" t="inlineStr">
        <is>
          <t>03829</t>
        </is>
      </c>
      <c r="D79" s="3" t="inlineStr">
        <is>
          <t>829</t>
        </is>
      </c>
      <c r="E79" s="3" t="inlineStr">
        <is>
          <t>3829</t>
        </is>
      </c>
      <c r="F79" s="3" t="inlineStr">
        <is>
          <t>008, 012, 014, 019, 024, 042, 046, 048, 049, 052... (100 số)</t>
        </is>
      </c>
      <c r="G79" s="3" t="inlineStr">
        <is>
          <t>TRƯỢT ❌</t>
        </is>
      </c>
      <c r="H79" s="3" t="inlineStr">
        <is>
          <t>TRƯỢT ❌</t>
        </is>
      </c>
      <c r="I79" s="3" t="inlineStr">
        <is>
          <t>... (200 số)</t>
        </is>
      </c>
      <c r="J79" s="3" t="inlineStr">
        <is>
          <t>TRƯỢT ❌</t>
        </is>
      </c>
    </row>
    <row r="80">
      <c r="A80" s="2" t="n">
        <v>79</v>
      </c>
      <c r="B80" s="2" t="inlineStr">
        <is>
          <t>Thứ ba ngày 24-03-2026</t>
        </is>
      </c>
      <c r="C80" s="3" t="inlineStr">
        <is>
          <t>53988</t>
        </is>
      </c>
      <c r="D80" s="3" t="inlineStr">
        <is>
          <t>988</t>
        </is>
      </c>
      <c r="E80" s="3" t="inlineStr">
        <is>
          <t>3988</t>
        </is>
      </c>
      <c r="F80" s="3" t="inlineStr">
        <is>
          <t>001, 008, 014, 019, 024, 029, 030, 036, 037, 042... (100 số)</t>
        </is>
      </c>
      <c r="G80" s="3" t="inlineStr">
        <is>
          <t>TRƯỢT ❌</t>
        </is>
      </c>
      <c r="H80" s="3" t="inlineStr">
        <is>
          <t>TRƯỢT ❌</t>
        </is>
      </c>
      <c r="I80" s="3" t="inlineStr">
        <is>
          <t>... (200 số)</t>
        </is>
      </c>
      <c r="J80" s="3" t="inlineStr">
        <is>
          <t>TRƯỢT ❌</t>
        </is>
      </c>
    </row>
    <row r="81">
      <c r="A81" s="2" t="n">
        <v>80</v>
      </c>
      <c r="B81" s="2" t="inlineStr">
        <is>
          <t>Thứ tư ngày 25-03-2026</t>
        </is>
      </c>
      <c r="C81" s="3" t="inlineStr">
        <is>
          <t>44693</t>
        </is>
      </c>
      <c r="D81" s="3" t="inlineStr">
        <is>
          <t>693</t>
        </is>
      </c>
      <c r="E81" s="3" t="inlineStr">
        <is>
          <t>4693</t>
        </is>
      </c>
      <c r="F81" s="3" t="inlineStr">
        <is>
          <t>001, 008, 014, 019, 024, 029, 030, 037, 042, 046... (100 số)</t>
        </is>
      </c>
      <c r="G81" s="3" t="inlineStr">
        <is>
          <t>TRƯỢT ❌</t>
        </is>
      </c>
      <c r="H81" s="3" t="inlineStr">
        <is>
          <t>TRƯỢT ❌</t>
        </is>
      </c>
      <c r="I81" s="3" t="inlineStr">
        <is>
          <t>... (200 số)</t>
        </is>
      </c>
      <c r="J81" s="3" t="inlineStr">
        <is>
          <t>TRƯỢT ❌</t>
        </is>
      </c>
    </row>
    <row r="82">
      <c r="A82" s="2" t="n">
        <v>81</v>
      </c>
      <c r="B82" s="2" t="inlineStr">
        <is>
          <t>Thứ năm ngày 26-03-2026</t>
        </is>
      </c>
      <c r="C82" s="3" t="inlineStr">
        <is>
          <t>61332</t>
        </is>
      </c>
      <c r="D82" s="3" t="inlineStr">
        <is>
          <t>332</t>
        </is>
      </c>
      <c r="E82" s="3" t="inlineStr">
        <is>
          <t>1332</t>
        </is>
      </c>
      <c r="F82" s="3" t="inlineStr">
        <is>
          <t>001, 008, 014, 019, 024, 029, 042, 046, 048, 049... (100 số)</t>
        </is>
      </c>
      <c r="G82" s="3" t="inlineStr">
        <is>
          <t>TRƯỢT ❌</t>
        </is>
      </c>
      <c r="H82" s="3" t="inlineStr">
        <is>
          <t>TRƯỢT ❌</t>
        </is>
      </c>
      <c r="I82" s="3" t="inlineStr">
        <is>
          <t>... (200 số)</t>
        </is>
      </c>
      <c r="J82" s="3" t="inlineStr">
        <is>
          <t>TRƯỢT ❌</t>
        </is>
      </c>
    </row>
    <row r="83">
      <c r="A83" s="2" t="n">
        <v>82</v>
      </c>
      <c r="B83" s="2" t="inlineStr">
        <is>
          <t>Thứ sáu ngày 27-03-2026</t>
        </is>
      </c>
      <c r="C83" s="3" t="inlineStr">
        <is>
          <t>96422</t>
        </is>
      </c>
      <c r="D83" s="3" t="inlineStr">
        <is>
          <t>422</t>
        </is>
      </c>
      <c r="E83" s="3" t="inlineStr">
        <is>
          <t>6422</t>
        </is>
      </c>
      <c r="F83" s="3" t="inlineStr">
        <is>
          <t>001, 008, 014, 019, 024, 030, 036, 042, 046, 048... (100 số)</t>
        </is>
      </c>
      <c r="G83" s="3" t="inlineStr">
        <is>
          <t>TRƯỢT ❌</t>
        </is>
      </c>
      <c r="H83" s="3" t="inlineStr">
        <is>
          <t>TRƯỢT ❌</t>
        </is>
      </c>
      <c r="I83" s="3" t="inlineStr">
        <is>
          <t>... (200 số)</t>
        </is>
      </c>
      <c r="J83" s="3" t="inlineStr">
        <is>
          <t>TRƯỢT ❌</t>
        </is>
      </c>
    </row>
    <row r="84">
      <c r="A84" s="2" t="n">
        <v>83</v>
      </c>
      <c r="B84" s="2" t="inlineStr">
        <is>
          <t>Thứ bảy ngày 28-03-2026</t>
        </is>
      </c>
      <c r="C84" s="3" t="inlineStr">
        <is>
          <t>37188</t>
        </is>
      </c>
      <c r="D84" s="3" t="inlineStr">
        <is>
          <t>188</t>
        </is>
      </c>
      <c r="E84" s="3" t="inlineStr">
        <is>
          <t>7188</t>
        </is>
      </c>
      <c r="F84" s="3" t="inlineStr">
        <is>
          <t>001, 014, 019, 024, 029, 030, 036, 046, 048, 049... (100 số)</t>
        </is>
      </c>
      <c r="G84" s="3" t="inlineStr">
        <is>
          <t>TRƯỢT ❌</t>
        </is>
      </c>
      <c r="H84" s="3" t="inlineStr">
        <is>
          <t>TRƯỢT ❌</t>
        </is>
      </c>
      <c r="I84" s="3" t="inlineStr">
        <is>
          <t>... (200 số)</t>
        </is>
      </c>
      <c r="J84" s="3" t="inlineStr">
        <is>
          <t>TRƯỢT ❌</t>
        </is>
      </c>
    </row>
    <row r="85">
      <c r="A85" s="2" t="n">
        <v>84</v>
      </c>
      <c r="B85" s="2" t="inlineStr">
        <is>
          <t>Chủ nhật ngày 29-03-2026</t>
        </is>
      </c>
      <c r="C85" s="3" t="inlineStr">
        <is>
          <t>64464</t>
        </is>
      </c>
      <c r="D85" s="3" t="inlineStr">
        <is>
          <t>464</t>
        </is>
      </c>
      <c r="E85" s="3" t="inlineStr">
        <is>
          <t>4464</t>
        </is>
      </c>
      <c r="F85" s="3" t="inlineStr">
        <is>
          <t>001, 014, 019, 024, 030, 032, 036, 046, 048, 051... (100 số)</t>
        </is>
      </c>
      <c r="G85" s="3" t="inlineStr">
        <is>
          <t>TRƯỢT ❌</t>
        </is>
      </c>
      <c r="H85" s="3" t="inlineStr">
        <is>
          <t>TRƯỢT ❌</t>
        </is>
      </c>
      <c r="I85" s="3" t="inlineStr">
        <is>
          <t>... (200 số)</t>
        </is>
      </c>
      <c r="J85" s="3" t="inlineStr">
        <is>
          <t>TRƯỢT ❌</t>
        </is>
      </c>
    </row>
    <row r="86">
      <c r="A86" s="2" t="n">
        <v>85</v>
      </c>
      <c r="B86" s="2" t="inlineStr">
        <is>
          <t>Thứ hai ngày 30-03-2026</t>
        </is>
      </c>
      <c r="C86" s="3" t="inlineStr">
        <is>
          <t>11591</t>
        </is>
      </c>
      <c r="D86" s="3" t="inlineStr">
        <is>
          <t>591</t>
        </is>
      </c>
      <c r="E86" s="3" t="inlineStr">
        <is>
          <t>1591</t>
        </is>
      </c>
      <c r="F86" s="3" t="inlineStr">
        <is>
          <t>001, 014, 022, 024, 029, 032, 036, 042, 046, 048... (100 số)</t>
        </is>
      </c>
      <c r="G86" s="3" t="inlineStr">
        <is>
          <t>TRƯỢT ❌</t>
        </is>
      </c>
      <c r="H86" s="3" t="inlineStr">
        <is>
          <t>TRƯỢT ❌</t>
        </is>
      </c>
      <c r="I86" s="3" t="inlineStr">
        <is>
          <t>... (200 số)</t>
        </is>
      </c>
      <c r="J86" s="3" t="inlineStr">
        <is>
          <t>TRƯỢT ❌</t>
        </is>
      </c>
    </row>
    <row r="87">
      <c r="A87" s="2" t="n">
        <v>86</v>
      </c>
      <c r="B87" s="2" t="inlineStr">
        <is>
          <t>Thứ ba ngày 31-03-2026</t>
        </is>
      </c>
      <c r="C87" s="3" t="inlineStr">
        <is>
          <t>31666</t>
        </is>
      </c>
      <c r="D87" s="3" t="inlineStr">
        <is>
          <t>666</t>
        </is>
      </c>
      <c r="E87" s="3" t="inlineStr">
        <is>
          <t>1666</t>
        </is>
      </c>
      <c r="F87" s="3" t="inlineStr">
        <is>
          <t>001, 014, 019, 022, 024, 029, 032, 036, 042, 048... (100 số)</t>
        </is>
      </c>
      <c r="G87" s="3" t="inlineStr">
        <is>
          <t>TRƯỢT ❌</t>
        </is>
      </c>
      <c r="H87" s="3" t="inlineStr">
        <is>
          <t>TRƯỢT ❌</t>
        </is>
      </c>
      <c r="I87" s="3" t="inlineStr">
        <is>
          <t>... (200 số)</t>
        </is>
      </c>
      <c r="J87" s="3" t="inlineStr">
        <is>
          <t>TRƯỢT ❌</t>
        </is>
      </c>
    </row>
    <row r="88">
      <c r="A88" s="2" t="n">
        <v>87</v>
      </c>
      <c r="B88" s="2" t="inlineStr">
        <is>
          <t>Thứ tư ngày 01-04-2026</t>
        </is>
      </c>
      <c r="C88" s="3" t="inlineStr">
        <is>
          <t>91267</t>
        </is>
      </c>
      <c r="D88" s="3" t="inlineStr">
        <is>
          <t>267</t>
        </is>
      </c>
      <c r="E88" s="3" t="inlineStr">
        <is>
          <t>1267</t>
        </is>
      </c>
      <c r="F88" s="3" t="inlineStr">
        <is>
          <t>001, 014, 019, 022, 024, 029, 032, 036, 042, 046... (100 số)</t>
        </is>
      </c>
      <c r="G88" s="3" t="inlineStr">
        <is>
          <t>TRƯỢT ❌</t>
        </is>
      </c>
      <c r="H88" s="3" t="inlineStr">
        <is>
          <t>TRƯỢT ❌</t>
        </is>
      </c>
      <c r="I88" s="3" t="inlineStr">
        <is>
          <t>... (200 số)</t>
        </is>
      </c>
      <c r="J88" s="3" t="inlineStr">
        <is>
          <t>TRƯỢT ❌</t>
        </is>
      </c>
    </row>
    <row r="89">
      <c r="A89" s="2" t="n">
        <v>88</v>
      </c>
      <c r="B89" s="2" t="inlineStr">
        <is>
          <t>Thứ năm ngày 02-04-2026</t>
        </is>
      </c>
      <c r="C89" s="3" t="inlineStr">
        <is>
          <t>12944</t>
        </is>
      </c>
      <c r="D89" s="3" t="inlineStr">
        <is>
          <t>944</t>
        </is>
      </c>
      <c r="E89" s="3" t="inlineStr">
        <is>
          <t>2944</t>
        </is>
      </c>
      <c r="F89" s="3" t="inlineStr">
        <is>
          <t>001, 014, 019, 024, 029, 032, 036, 042, 046, 048... (100 số)</t>
        </is>
      </c>
      <c r="G89" s="3" t="inlineStr">
        <is>
          <t>TRƯỢT ❌</t>
        </is>
      </c>
      <c r="H89" s="3" t="inlineStr">
        <is>
          <t>TRƯỢT ❌</t>
        </is>
      </c>
      <c r="I89" s="3" t="inlineStr">
        <is>
          <t>... (200 số)</t>
        </is>
      </c>
      <c r="J89" s="3" t="inlineStr">
        <is>
          <t>TRƯỢT ❌</t>
        </is>
      </c>
    </row>
    <row r="90">
      <c r="A90" s="2" t="n">
        <v>89</v>
      </c>
      <c r="B90" s="2" t="inlineStr">
        <is>
          <t>Thứ sáu ngày 03-04-2026</t>
        </is>
      </c>
      <c r="C90" s="3" t="inlineStr">
        <is>
          <t>29737</t>
        </is>
      </c>
      <c r="D90" s="3" t="inlineStr">
        <is>
          <t>737</t>
        </is>
      </c>
      <c r="E90" s="3" t="inlineStr">
        <is>
          <t>9737</t>
        </is>
      </c>
      <c r="F90" s="3" t="inlineStr">
        <is>
          <t>001, 014, 022, 024, 029, 032, 036, 042, 044, 046... (100 số)</t>
        </is>
      </c>
      <c r="G90" s="3" t="inlineStr">
        <is>
          <t>TRƯỢT ❌</t>
        </is>
      </c>
      <c r="H90" s="3" t="inlineStr">
        <is>
          <t>TRƯỢT ❌</t>
        </is>
      </c>
      <c r="I90" s="3" t="inlineStr">
        <is>
          <t>... (200 số)</t>
        </is>
      </c>
      <c r="J90" s="3" t="inlineStr">
        <is>
          <t>TRƯỢT ❌</t>
        </is>
      </c>
    </row>
    <row r="91">
      <c r="A91" s="2" t="n">
        <v>90</v>
      </c>
      <c r="B91" s="2" t="inlineStr">
        <is>
          <t>Thứ bảy ngày 04-04-2026</t>
        </is>
      </c>
      <c r="C91" s="3" t="inlineStr">
        <is>
          <t>02855</t>
        </is>
      </c>
      <c r="D91" s="3" t="inlineStr">
        <is>
          <t>855</t>
        </is>
      </c>
      <c r="E91" s="3" t="inlineStr">
        <is>
          <t>2855</t>
        </is>
      </c>
      <c r="F91" s="3" t="inlineStr">
        <is>
          <t>001, 014, 024, 029, 042, 044, 046, 048, 049, 051... (100 số)</t>
        </is>
      </c>
      <c r="G91" s="3" t="inlineStr">
        <is>
          <t>TRƯỢT ❌</t>
        </is>
      </c>
      <c r="H91" s="3" t="inlineStr">
        <is>
          <t>TRƯỢT ❌</t>
        </is>
      </c>
      <c r="I91" s="3" t="inlineStr">
        <is>
          <t>... (200 số)</t>
        </is>
      </c>
      <c r="J91" s="3" t="inlineStr">
        <is>
          <t>TRƯỢT ❌</t>
        </is>
      </c>
    </row>
    <row r="92">
      <c r="A92" s="2" t="n">
        <v>91</v>
      </c>
      <c r="B92" s="2" t="inlineStr">
        <is>
          <t>Chủ nhật ngày 05-04-2026</t>
        </is>
      </c>
      <c r="C92" s="3" t="inlineStr">
        <is>
          <t>76406</t>
        </is>
      </c>
      <c r="D92" s="3" t="inlineStr">
        <is>
          <t>406</t>
        </is>
      </c>
      <c r="E92" s="3" t="inlineStr">
        <is>
          <t>6406</t>
        </is>
      </c>
      <c r="F92" s="3" t="inlineStr">
        <is>
          <t>001, 014, 024, 029, 032, 036, 037, 042, 044, 046... (100 số)</t>
        </is>
      </c>
      <c r="G92" s="3" t="inlineStr">
        <is>
          <t>TRƯỢT ❌</t>
        </is>
      </c>
      <c r="H92" s="3" t="inlineStr">
        <is>
          <t>TRƯỢT ❌</t>
        </is>
      </c>
      <c r="I92" s="3" t="inlineStr">
        <is>
          <t>... (200 số)</t>
        </is>
      </c>
      <c r="J92" s="3" t="inlineStr">
        <is>
          <t>TRƯỢT ❌</t>
        </is>
      </c>
    </row>
    <row r="93">
      <c r="A93" s="2" t="n">
        <v>92</v>
      </c>
      <c r="B93" s="2" t="inlineStr">
        <is>
          <t>Thứ hai ngày 06-04-2026</t>
        </is>
      </c>
      <c r="C93" s="3" t="inlineStr">
        <is>
          <t>02382</t>
        </is>
      </c>
      <c r="D93" s="3" t="inlineStr">
        <is>
          <t>382</t>
        </is>
      </c>
      <c r="E93" s="3" t="inlineStr">
        <is>
          <t>2382</t>
        </is>
      </c>
      <c r="F93" s="3" t="inlineStr">
        <is>
          <t>001, 006, 014, 022, 024, 029, 032, 036, 037, 042... (100 số)</t>
        </is>
      </c>
      <c r="G93" s="3" t="inlineStr">
        <is>
          <t>TRƯỢT ❌</t>
        </is>
      </c>
      <c r="H93" s="3" t="inlineStr">
        <is>
          <t>TRƯỢT ❌</t>
        </is>
      </c>
      <c r="I93" s="3" t="inlineStr">
        <is>
          <t>... (200 số)</t>
        </is>
      </c>
      <c r="J93" s="3" t="inlineStr">
        <is>
          <t>TRƯỢT ❌</t>
        </is>
      </c>
    </row>
    <row r="94">
      <c r="A94" s="2" t="n">
        <v>93</v>
      </c>
      <c r="B94" s="2" t="inlineStr">
        <is>
          <t>Thứ ba ngày 07-04-2026</t>
        </is>
      </c>
      <c r="C94" s="3" t="inlineStr">
        <is>
          <t>27450</t>
        </is>
      </c>
      <c r="D94" s="3" t="inlineStr">
        <is>
          <t>450</t>
        </is>
      </c>
      <c r="E94" s="3" t="inlineStr">
        <is>
          <t>7450</t>
        </is>
      </c>
      <c r="F94" s="3" t="inlineStr">
        <is>
          <t>001, 006, 014, 022, 024, 029, 032, 037, 042, 048... (100 số)</t>
        </is>
      </c>
      <c r="G94" s="3" t="inlineStr">
        <is>
          <t>TRƯỢT ❌</t>
        </is>
      </c>
      <c r="H94" s="3" t="inlineStr">
        <is>
          <t>TRƯỢT ❌</t>
        </is>
      </c>
      <c r="I94" s="3" t="inlineStr">
        <is>
          <t>... (200 số)</t>
        </is>
      </c>
      <c r="J94" s="3" t="inlineStr">
        <is>
          <t>TRƯỢT ❌</t>
        </is>
      </c>
    </row>
    <row r="95">
      <c r="A95" s="2" t="n">
        <v>94</v>
      </c>
      <c r="B95" s="2" t="inlineStr">
        <is>
          <t>Thứ tư ngày 08-04-2026</t>
        </is>
      </c>
      <c r="C95" s="3" t="inlineStr">
        <is>
          <t>45625</t>
        </is>
      </c>
      <c r="D95" s="3" t="inlineStr">
        <is>
          <t>625</t>
        </is>
      </c>
      <c r="E95" s="3" t="inlineStr">
        <is>
          <t>5625</t>
        </is>
      </c>
      <c r="F95" s="3" t="inlineStr">
        <is>
          <t>001, 006, 014, 022, 024, 029, 032, 042, 044, 046... (100 số)</t>
        </is>
      </c>
      <c r="G95" s="3" t="inlineStr">
        <is>
          <t>TRƯỢT ❌</t>
        </is>
      </c>
      <c r="H95" s="3" t="inlineStr">
        <is>
          <t>TRƯỢT ❌</t>
        </is>
      </c>
      <c r="I95" s="3" t="inlineStr">
        <is>
          <t>... (200 số)</t>
        </is>
      </c>
      <c r="J95" s="3" t="inlineStr">
        <is>
          <t>TRƯỢT ❌</t>
        </is>
      </c>
    </row>
    <row r="96">
      <c r="A96" s="2" t="n">
        <v>95</v>
      </c>
      <c r="B96" s="2" t="inlineStr">
        <is>
          <t>Thứ năm ngày 09-04-2026</t>
        </is>
      </c>
      <c r="C96" s="3" t="inlineStr">
        <is>
          <t>46120</t>
        </is>
      </c>
      <c r="D96" s="3" t="inlineStr">
        <is>
          <t>120</t>
        </is>
      </c>
      <c r="E96" s="3" t="inlineStr">
        <is>
          <t>6120</t>
        </is>
      </c>
      <c r="F96" s="3" t="inlineStr">
        <is>
          <t>001, 014, 022, 024, 025, 029, 032, 037, 044, 046... (100 số)</t>
        </is>
      </c>
      <c r="G96" s="3" t="inlineStr">
        <is>
          <t>TRƯỢT ❌</t>
        </is>
      </c>
      <c r="H96" s="3" t="inlineStr">
        <is>
          <t>TRƯỢT ❌</t>
        </is>
      </c>
      <c r="I96" s="3" t="inlineStr">
        <is>
          <t>... (200 số)</t>
        </is>
      </c>
      <c r="J96" s="3" t="inlineStr">
        <is>
          <t>TRƯỢT ❌</t>
        </is>
      </c>
    </row>
    <row r="97">
      <c r="A97" s="2" t="n">
        <v>96</v>
      </c>
      <c r="B97" s="2" t="inlineStr">
        <is>
          <t>Thứ sáu ngày 10-04-2026</t>
        </is>
      </c>
      <c r="C97" s="3" t="inlineStr">
        <is>
          <t>24204</t>
        </is>
      </c>
      <c r="D97" s="3" t="inlineStr">
        <is>
          <t>204</t>
        </is>
      </c>
      <c r="E97" s="3" t="inlineStr">
        <is>
          <t>4204</t>
        </is>
      </c>
      <c r="F97" s="3" t="inlineStr">
        <is>
          <t>001, 006, 014, 020, 022, 024, 025, 029, 032, 037... (100 số)</t>
        </is>
      </c>
      <c r="G97" s="3" t="inlineStr">
        <is>
          <t>TRƯỢT ❌</t>
        </is>
      </c>
      <c r="H97" s="3" t="inlineStr">
        <is>
          <t>TRƯỢT ❌</t>
        </is>
      </c>
      <c r="I97" s="3" t="inlineStr">
        <is>
          <t>... (200 số)</t>
        </is>
      </c>
      <c r="J97" s="3" t="inlineStr">
        <is>
          <t>TRƯỢT ❌</t>
        </is>
      </c>
    </row>
    <row r="98">
      <c r="A98" s="2" t="n">
        <v>97</v>
      </c>
      <c r="B98" s="2" t="inlineStr">
        <is>
          <t>Thứ bảy ngày 11-04-2026</t>
        </is>
      </c>
      <c r="C98" s="3" t="inlineStr">
        <is>
          <t>12000</t>
        </is>
      </c>
      <c r="D98" s="3" t="inlineStr">
        <is>
          <t>000</t>
        </is>
      </c>
      <c r="E98" s="3" t="inlineStr">
        <is>
          <t>2000</t>
        </is>
      </c>
      <c r="F98" s="3" t="inlineStr">
        <is>
          <t>001, 004, 006, 014, 020, 025, 037, 046, 048, 050... (100 số)</t>
        </is>
      </c>
      <c r="G98" s="3" t="inlineStr">
        <is>
          <t>TRƯỢT ❌</t>
        </is>
      </c>
      <c r="H98" s="3" t="inlineStr">
        <is>
          <t>TRƯỢT ❌</t>
        </is>
      </c>
      <c r="I98" s="3" t="inlineStr">
        <is>
          <t>... (200 số)</t>
        </is>
      </c>
      <c r="J98" s="3" t="inlineStr">
        <is>
          <t>TRƯỢT ❌</t>
        </is>
      </c>
    </row>
    <row r="99">
      <c r="A99" s="2" t="n">
        <v>98</v>
      </c>
      <c r="B99" s="2" t="inlineStr">
        <is>
          <t>Chủ nhật ngày 12-04-2026</t>
        </is>
      </c>
      <c r="C99" s="3" t="inlineStr">
        <is>
          <t>22738</t>
        </is>
      </c>
      <c r="D99" s="3" t="inlineStr">
        <is>
          <t>738</t>
        </is>
      </c>
      <c r="E99" s="3" t="inlineStr">
        <is>
          <t>2738</t>
        </is>
      </c>
      <c r="F99" s="3" t="inlineStr">
        <is>
          <t>006, 020, 022, 024, 025, 029, 032, 037, 046, 048... (100 số)</t>
        </is>
      </c>
      <c r="G99" s="3" t="inlineStr">
        <is>
          <t>TRƯỢT ❌</t>
        </is>
      </c>
      <c r="H99" s="3" t="inlineStr">
        <is>
          <t>TRƯỢT ❌</t>
        </is>
      </c>
      <c r="I99" s="3" t="inlineStr">
        <is>
          <t>... (200 số)</t>
        </is>
      </c>
      <c r="J99" s="3" t="inlineStr">
        <is>
          <t>TRƯỢT ❌</t>
        </is>
      </c>
    </row>
    <row r="100">
      <c r="A100" s="2" t="n">
        <v>99</v>
      </c>
      <c r="B100" s="2" t="inlineStr">
        <is>
          <t>Thứ hai ngày 13-04-2026</t>
        </is>
      </c>
      <c r="C100" s="3" t="inlineStr">
        <is>
          <t>92763</t>
        </is>
      </c>
      <c r="D100" s="3" t="inlineStr">
        <is>
          <t>763</t>
        </is>
      </c>
      <c r="E100" s="3" t="inlineStr">
        <is>
          <t>2763</t>
        </is>
      </c>
      <c r="F100" s="3" t="inlineStr">
        <is>
          <t>000, 001, 004, 006, 014, 020, 022, 024, 025, 029... (100 số)</t>
        </is>
      </c>
      <c r="G100" s="3" t="inlineStr">
        <is>
          <t>TRƯỢT ❌</t>
        </is>
      </c>
      <c r="H100" s="3" t="inlineStr">
        <is>
          <t>TRƯỢT ❌</t>
        </is>
      </c>
      <c r="I100" s="3" t="inlineStr">
        <is>
          <t>... (200 số)</t>
        </is>
      </c>
      <c r="J100" s="3" t="inlineStr">
        <is>
          <t>TRƯỢT ❌</t>
        </is>
      </c>
    </row>
    <row r="101">
      <c r="A101" s="2" t="n">
        <v>100</v>
      </c>
      <c r="B101" s="2" t="inlineStr">
        <is>
          <t>Thứ ba ngày 14-04-2026</t>
        </is>
      </c>
      <c r="C101" s="3" t="inlineStr">
        <is>
          <t>03714</t>
        </is>
      </c>
      <c r="D101" s="3" t="inlineStr">
        <is>
          <t>714</t>
        </is>
      </c>
      <c r="E101" s="3" t="inlineStr">
        <is>
          <t>3714</t>
        </is>
      </c>
      <c r="F101" s="3" t="inlineStr">
        <is>
          <t>006, 014, 020, 022, 024, 025, 029, 032, 037, 038... (100 số)</t>
        </is>
      </c>
      <c r="G101" s="3" t="inlineStr">
        <is>
          <t>TRÚNG 🎯</t>
        </is>
      </c>
      <c r="H101" s="3" t="inlineStr">
        <is>
          <t>TRÚNG 🎯</t>
        </is>
      </c>
      <c r="I101" s="3" t="inlineStr">
        <is>
          <t>... (200 số)</t>
        </is>
      </c>
      <c r="J101" s="3" t="inlineStr">
        <is>
          <t>TRƯỢT ❌</t>
        </is>
      </c>
    </row>
    <row r="102">
      <c r="A102" s="2" t="n">
        <v>101</v>
      </c>
      <c r="B102" s="2" t="inlineStr">
        <is>
          <t>Thứ tư ngày 15-04-2026</t>
        </is>
      </c>
      <c r="C102" s="3" t="inlineStr">
        <is>
          <t>35035</t>
        </is>
      </c>
      <c r="D102" s="3" t="inlineStr">
        <is>
          <t>035</t>
        </is>
      </c>
      <c r="E102" s="3" t="inlineStr">
        <is>
          <t>5035</t>
        </is>
      </c>
      <c r="F102" s="3" t="inlineStr">
        <is>
          <t>006, 014, 025, 029, 032, 037, 038, 046, 048, 050... (100 số)</t>
        </is>
      </c>
      <c r="G102" s="3" t="inlineStr">
        <is>
          <t>TRƯỢT ❌</t>
        </is>
      </c>
      <c r="H102" s="3" t="inlineStr">
        <is>
          <t>TRƯỢT ❌</t>
        </is>
      </c>
      <c r="I102" s="3" t="inlineStr">
        <is>
          <t>... (200 số)</t>
        </is>
      </c>
      <c r="J102" s="3" t="inlineStr">
        <is>
          <t>TRƯỢT ❌</t>
        </is>
      </c>
    </row>
    <row r="103">
      <c r="A103" s="2" t="n">
        <v>102</v>
      </c>
      <c r="B103" s="2" t="inlineStr">
        <is>
          <t>Thứ năm ngày 16-04-2026</t>
        </is>
      </c>
      <c r="C103" s="3" t="inlineStr">
        <is>
          <t>38455</t>
        </is>
      </c>
      <c r="D103" s="3" t="inlineStr">
        <is>
          <t>455</t>
        </is>
      </c>
      <c r="E103" s="3" t="inlineStr">
        <is>
          <t>8455</t>
        </is>
      </c>
      <c r="F103" s="3" t="inlineStr">
        <is>
          <t>006, 014, 029, 032, 035, 037, 038, 046, 048, 059... (100 số)</t>
        </is>
      </c>
      <c r="G103" s="3" t="inlineStr">
        <is>
          <t>TRƯỢT ❌</t>
        </is>
      </c>
      <c r="H103" s="3" t="inlineStr">
        <is>
          <t>TRƯỢT ❌</t>
        </is>
      </c>
      <c r="I103" s="3" t="inlineStr">
        <is>
          <t>... (200 số)</t>
        </is>
      </c>
      <c r="J103" s="3" t="inlineStr">
        <is>
          <t>TRƯỢT ❌</t>
        </is>
      </c>
    </row>
    <row r="104">
      <c r="A104" s="2" t="n">
        <v>103</v>
      </c>
      <c r="B104" s="2" t="inlineStr">
        <is>
          <t>Thứ sáu ngày 17-04-2026</t>
        </is>
      </c>
      <c r="C104" s="3" t="inlineStr">
        <is>
          <t>17243</t>
        </is>
      </c>
      <c r="D104" s="3" t="inlineStr">
        <is>
          <t>243</t>
        </is>
      </c>
      <c r="E104" s="3" t="inlineStr">
        <is>
          <t>7243</t>
        </is>
      </c>
      <c r="F104" s="3" t="inlineStr">
        <is>
          <t>000, 004, 006, 014, 020, 022, 024, 025, 029, 032... (100 số)</t>
        </is>
      </c>
      <c r="G104" s="3" t="inlineStr">
        <is>
          <t>TRƯỢT ❌</t>
        </is>
      </c>
      <c r="H104" s="3" t="inlineStr">
        <is>
          <t>TRƯỢT ❌</t>
        </is>
      </c>
      <c r="I104" s="3" t="inlineStr">
        <is>
          <t>... (200 số)</t>
        </is>
      </c>
      <c r="J104" s="3" t="inlineStr">
        <is>
          <t>TRƯỢT ❌</t>
        </is>
      </c>
    </row>
    <row r="105">
      <c r="A105" s="2" t="n">
        <v>104</v>
      </c>
      <c r="B105" s="2" t="inlineStr">
        <is>
          <t>Thứ bảy ngày 18-04-2026</t>
        </is>
      </c>
      <c r="C105" s="3" t="inlineStr">
        <is>
          <t>93725</t>
        </is>
      </c>
      <c r="D105" s="3" t="inlineStr">
        <is>
          <t>725</t>
        </is>
      </c>
      <c r="E105" s="3" t="inlineStr">
        <is>
          <t>3725</t>
        </is>
      </c>
      <c r="F105" s="3" t="inlineStr">
        <is>
          <t>004, 014, 024, 025, 029, 032, 035, 037, 038, 043... (100 số)</t>
        </is>
      </c>
      <c r="G105" s="3" t="inlineStr">
        <is>
          <t>TRÚNG 🎯</t>
        </is>
      </c>
      <c r="H105" s="3" t="inlineStr">
        <is>
          <t>TRÚNG 🎯</t>
        </is>
      </c>
      <c r="I105" s="3" t="inlineStr">
        <is>
          <t>... (200 số)</t>
        </is>
      </c>
      <c r="J105" s="3" t="inlineStr">
        <is>
          <t>TRƯỢT ❌</t>
        </is>
      </c>
    </row>
    <row r="106">
      <c r="A106" s="2" t="n">
        <v>105</v>
      </c>
      <c r="B106" s="2" t="inlineStr">
        <is>
          <t>Chủ nhật ngày 19-04-2026</t>
        </is>
      </c>
      <c r="C106" s="3" t="inlineStr">
        <is>
          <t>74197</t>
        </is>
      </c>
      <c r="D106" s="3" t="inlineStr">
        <is>
          <t>197</t>
        </is>
      </c>
      <c r="E106" s="3" t="inlineStr">
        <is>
          <t>4197</t>
        </is>
      </c>
      <c r="F106" s="3" t="inlineStr">
        <is>
          <t>000, 004, 006, 014, 020, 022, 024, 025, 029, 032... (100 số)</t>
        </is>
      </c>
      <c r="G106" s="3" t="inlineStr">
        <is>
          <t>TRƯỢT ❌</t>
        </is>
      </c>
      <c r="H106" s="3" t="inlineStr">
        <is>
          <t>TRƯỢT ❌</t>
        </is>
      </c>
      <c r="I106" s="3" t="inlineStr">
        <is>
          <t>... (200 số)</t>
        </is>
      </c>
      <c r="J106" s="3" t="inlineStr">
        <is>
          <t>TRƯỢT ❌</t>
        </is>
      </c>
    </row>
    <row r="107">
      <c r="A107" s="2" t="n">
        <v>106</v>
      </c>
      <c r="B107" s="2" t="inlineStr">
        <is>
          <t>Thứ hai ngày 20-04-2026</t>
        </is>
      </c>
      <c r="C107" s="3" t="inlineStr">
        <is>
          <t>48076</t>
        </is>
      </c>
      <c r="D107" s="3" t="inlineStr">
        <is>
          <t>076</t>
        </is>
      </c>
      <c r="E107" s="3" t="inlineStr">
        <is>
          <t>8076</t>
        </is>
      </c>
      <c r="F107" s="3" t="inlineStr">
        <is>
          <t>000, 004, 006, 014, 020, 024, 025, 029, 032, 035... (100 số)</t>
        </is>
      </c>
      <c r="G107" s="3" t="inlineStr">
        <is>
          <t>TRƯỢT ❌</t>
        </is>
      </c>
      <c r="H107" s="3" t="inlineStr">
        <is>
          <t>TRƯỢT ❌</t>
        </is>
      </c>
      <c r="I107" s="3" t="inlineStr">
        <is>
          <t>... (200 số)</t>
        </is>
      </c>
      <c r="J107" s="3" t="inlineStr">
        <is>
          <t>TRƯỢT ❌</t>
        </is>
      </c>
    </row>
    <row r="108">
      <c r="A108" s="2" t="n">
        <v>107</v>
      </c>
      <c r="B108" s="2" t="inlineStr">
        <is>
          <t>Thứ ba ngày 21-04-2026</t>
        </is>
      </c>
      <c r="C108" s="3" t="inlineStr">
        <is>
          <t>36948</t>
        </is>
      </c>
      <c r="D108" s="3" t="inlineStr">
        <is>
          <t>948</t>
        </is>
      </c>
      <c r="E108" s="3" t="inlineStr">
        <is>
          <t>6948</t>
        </is>
      </c>
      <c r="F108" s="3" t="inlineStr">
        <is>
          <t>000, 004, 006, 014, 020, 022, 024, 025, 029, 032... (100 số)</t>
        </is>
      </c>
      <c r="G108" s="3" t="inlineStr">
        <is>
          <t>TRƯỢT ❌</t>
        </is>
      </c>
      <c r="H108" s="3" t="inlineStr">
        <is>
          <t>TRƯỢT ❌</t>
        </is>
      </c>
      <c r="I108" s="3" t="inlineStr">
        <is>
          <t>... (200 số)</t>
        </is>
      </c>
      <c r="J108" s="3" t="inlineStr">
        <is>
          <t>TRƯỢT ❌</t>
        </is>
      </c>
    </row>
    <row r="109">
      <c r="A109" s="2" t="n">
        <v>108</v>
      </c>
      <c r="B109" s="2" t="inlineStr">
        <is>
          <t>Thứ tư ngày 22-04-2026</t>
        </is>
      </c>
      <c r="C109" s="3" t="inlineStr">
        <is>
          <t>66239</t>
        </is>
      </c>
      <c r="D109" s="3" t="inlineStr">
        <is>
          <t>239</t>
        </is>
      </c>
      <c r="E109" s="3" t="inlineStr">
        <is>
          <t>6239</t>
        </is>
      </c>
      <c r="F109" s="3" t="inlineStr">
        <is>
          <t>004, 006, 014, 020, 022, 024, 025, 029, 032, 035... (100 số)</t>
        </is>
      </c>
      <c r="G109" s="3" t="inlineStr">
        <is>
          <t>TRƯỢT ❌</t>
        </is>
      </c>
      <c r="H109" s="3" t="inlineStr">
        <is>
          <t>TRƯỢT ❌</t>
        </is>
      </c>
      <c r="I109" s="3" t="inlineStr">
        <is>
          <t>... (200 số)</t>
        </is>
      </c>
      <c r="J109" s="3" t="inlineStr">
        <is>
          <t>TRƯỢT ❌</t>
        </is>
      </c>
    </row>
    <row r="110">
      <c r="A110" s="2" t="n">
        <v>109</v>
      </c>
      <c r="B110" s="2" t="inlineStr">
        <is>
          <t>Thứ năm ngày 23-04-2026</t>
        </is>
      </c>
      <c r="C110" s="3" t="inlineStr">
        <is>
          <t>09876</t>
        </is>
      </c>
      <c r="D110" s="3" t="inlineStr">
        <is>
          <t>876</t>
        </is>
      </c>
      <c r="E110" s="3" t="inlineStr">
        <is>
          <t>9876</t>
        </is>
      </c>
      <c r="F110" s="3" t="inlineStr">
        <is>
          <t>006, 020, 022, 024, 025, 032, 035, 037, 038, 039... (100 số)</t>
        </is>
      </c>
      <c r="G110" s="3" t="inlineStr">
        <is>
          <t>TRƯỢT ❌</t>
        </is>
      </c>
      <c r="H110" s="3" t="inlineStr">
        <is>
          <t>TRƯỢT ❌</t>
        </is>
      </c>
      <c r="I110" s="3" t="inlineStr">
        <is>
          <t>... (200 số)</t>
        </is>
      </c>
      <c r="J110" s="3" t="inlineStr">
        <is>
          <t>TRƯỢT ❌</t>
        </is>
      </c>
    </row>
    <row r="111">
      <c r="A111" s="2" t="n">
        <v>110</v>
      </c>
      <c r="B111" s="2" t="inlineStr">
        <is>
          <t>Thứ sáu ngày 24-04-2026</t>
        </is>
      </c>
      <c r="C111" s="3" t="inlineStr">
        <is>
          <t>08717</t>
        </is>
      </c>
      <c r="D111" s="3" t="inlineStr">
        <is>
          <t>717</t>
        </is>
      </c>
      <c r="E111" s="3" t="inlineStr">
        <is>
          <t>8717</t>
        </is>
      </c>
      <c r="F111" s="3" t="inlineStr">
        <is>
          <t>000, 004, 006, 014, 020, 024, 025, 035, 038, 043... (100 số)</t>
        </is>
      </c>
      <c r="G111" s="3" t="inlineStr">
        <is>
          <t>TRƯỢT ❌</t>
        </is>
      </c>
      <c r="H111" s="3" t="inlineStr">
        <is>
          <t>TRƯỢT ❌</t>
        </is>
      </c>
      <c r="I111" s="3" t="inlineStr">
        <is>
          <t>... (200 số)</t>
        </is>
      </c>
      <c r="J111" s="3" t="inlineStr">
        <is>
          <t>TRƯỢT ❌</t>
        </is>
      </c>
    </row>
    <row r="112">
      <c r="A112" s="2" t="n">
        <v>111</v>
      </c>
      <c r="B112" s="2" t="inlineStr">
        <is>
          <t>Thứ bảy ngày 25-04-2026</t>
        </is>
      </c>
      <c r="C112" s="3" t="inlineStr">
        <is>
          <t>38228</t>
        </is>
      </c>
      <c r="D112" s="3" t="inlineStr">
        <is>
          <t>228</t>
        </is>
      </c>
      <c r="E112" s="3" t="inlineStr">
        <is>
          <t>8228</t>
        </is>
      </c>
      <c r="F112" s="3" t="inlineStr">
        <is>
          <t>017, 020, 022, 024, 025, 032, 035, 037, 038, 039... (100 số)</t>
        </is>
      </c>
      <c r="G112" s="3" t="inlineStr">
        <is>
          <t>TRƯỢT ❌</t>
        </is>
      </c>
      <c r="H112" s="3" t="inlineStr">
        <is>
          <t>TRƯỢT ❌</t>
        </is>
      </c>
      <c r="I112" s="3" t="inlineStr">
        <is>
          <t>... (200 số)</t>
        </is>
      </c>
      <c r="J112" s="3" t="inlineStr">
        <is>
          <t>TRƯỢT ❌</t>
        </is>
      </c>
    </row>
    <row r="113">
      <c r="A113" s="2" t="n">
        <v>112</v>
      </c>
      <c r="B113" s="2" t="inlineStr">
        <is>
          <t>Chủ nhật ngày 26-04-2026</t>
        </is>
      </c>
      <c r="C113" s="3" t="inlineStr">
        <is>
          <t>10059</t>
        </is>
      </c>
      <c r="D113" s="3" t="inlineStr">
        <is>
          <t>059</t>
        </is>
      </c>
      <c r="E113" s="3" t="inlineStr">
        <is>
          <t>0059</t>
        </is>
      </c>
      <c r="F113" s="3" t="inlineStr">
        <is>
          <t>000, 004, 006, 017, 020, 025, 028, 035, 037, 038... (100 số)</t>
        </is>
      </c>
      <c r="G113" s="3" t="inlineStr">
        <is>
          <t>TRÚNG 🎯</t>
        </is>
      </c>
      <c r="H113" s="3" t="inlineStr">
        <is>
          <t>TRÚNG 🎯</t>
        </is>
      </c>
      <c r="I113" s="3" t="inlineStr">
        <is>
          <t>... (200 số)</t>
        </is>
      </c>
      <c r="J113" s="3" t="inlineStr">
        <is>
          <t>TRÚNG 🎯</t>
        </is>
      </c>
    </row>
    <row r="114">
      <c r="A114" s="2" t="n">
        <v>113</v>
      </c>
      <c r="B114" s="2" t="inlineStr">
        <is>
          <t>Thứ hai ngày 27-04-2026</t>
        </is>
      </c>
      <c r="C114" s="3" t="inlineStr">
        <is>
          <t>45254</t>
        </is>
      </c>
      <c r="D114" s="3" t="inlineStr">
        <is>
          <t>254</t>
        </is>
      </c>
      <c r="E114" s="3" t="inlineStr">
        <is>
          <t>5254</t>
        </is>
      </c>
      <c r="F114" s="3" t="inlineStr">
        <is>
          <t>004, 006, 014, 017, 020, 024, 025, 028, 035, 037... (100 số)</t>
        </is>
      </c>
      <c r="G114" s="3" t="inlineStr">
        <is>
          <t>TRƯỢT ❌</t>
        </is>
      </c>
      <c r="H114" s="3" t="inlineStr">
        <is>
          <t>TRƯỢT ❌</t>
        </is>
      </c>
      <c r="I114" s="3" t="inlineStr">
        <is>
          <t>... (200 số)</t>
        </is>
      </c>
      <c r="J114" s="3" t="inlineStr">
        <is>
          <t>TRƯỢT ❌</t>
        </is>
      </c>
    </row>
    <row r="115">
      <c r="A115" s="2" t="n">
        <v>114</v>
      </c>
      <c r="B115" s="2" t="inlineStr">
        <is>
          <t>Thứ ba ngày 28-04-2026</t>
        </is>
      </c>
      <c r="C115" s="3" t="inlineStr">
        <is>
          <t>86569</t>
        </is>
      </c>
      <c r="D115" s="3" t="inlineStr">
        <is>
          <t>569</t>
        </is>
      </c>
      <c r="E115" s="3" t="inlineStr">
        <is>
          <t>6569</t>
        </is>
      </c>
      <c r="F115" s="3" t="inlineStr">
        <is>
          <t>000, 004, 006, 014, 017, 020, 024, 025, 028, 035... (100 số)</t>
        </is>
      </c>
      <c r="G115" s="3" t="inlineStr">
        <is>
          <t>TRƯỢT ❌</t>
        </is>
      </c>
      <c r="H115" s="3" t="inlineStr">
        <is>
          <t>TRƯỢT ❌</t>
        </is>
      </c>
      <c r="I115" s="3" t="inlineStr">
        <is>
          <t>... (200 số)</t>
        </is>
      </c>
      <c r="J115" s="3" t="inlineStr">
        <is>
          <t>TRƯỢT ❌</t>
        </is>
      </c>
    </row>
    <row r="116">
      <c r="A116" s="2" t="n">
        <v>115</v>
      </c>
      <c r="B116" s="2" t="inlineStr">
        <is>
          <t>Thứ tư ngày 29-04-2026</t>
        </is>
      </c>
      <c r="C116" s="3" t="inlineStr">
        <is>
          <t>82075</t>
        </is>
      </c>
      <c r="D116" s="3" t="inlineStr">
        <is>
          <t>075</t>
        </is>
      </c>
      <c r="E116" s="3" t="inlineStr">
        <is>
          <t>2075</t>
        </is>
      </c>
      <c r="F116" s="3" t="inlineStr">
        <is>
          <t>004, 006, 014, 017, 020, 024, 025, 028, 037, 038... (100 số)</t>
        </is>
      </c>
      <c r="G116" s="3" t="inlineStr">
        <is>
          <t>TRƯỢT ❌</t>
        </is>
      </c>
      <c r="H116" s="3" t="inlineStr">
        <is>
          <t>TRƯỢT ❌</t>
        </is>
      </c>
      <c r="I116" s="3" t="inlineStr">
        <is>
          <t>... (200 số)</t>
        </is>
      </c>
      <c r="J116" s="3" t="inlineStr">
        <is>
          <t>TRƯỢT ❌</t>
        </is>
      </c>
    </row>
    <row r="117">
      <c r="A117" s="2" t="n">
        <v>116</v>
      </c>
      <c r="B117" s="2" t="inlineStr">
        <is>
          <t>Thứ năm ngày 30-04-2026</t>
        </is>
      </c>
      <c r="C117" s="3" t="inlineStr">
        <is>
          <t>96637</t>
        </is>
      </c>
      <c r="D117" s="3" t="inlineStr">
        <is>
          <t>637</t>
        </is>
      </c>
      <c r="E117" s="3" t="inlineStr">
        <is>
          <t>6637</t>
        </is>
      </c>
      <c r="F117" s="3" t="inlineStr">
        <is>
          <t>000, 004, 006, 014, 017, 020, 024, 025, 028, 035... (100 số)</t>
        </is>
      </c>
      <c r="G117" s="3" t="inlineStr">
        <is>
          <t>TRƯỢT ❌</t>
        </is>
      </c>
      <c r="H117" s="3" t="inlineStr">
        <is>
          <t>TRƯỢT ❌</t>
        </is>
      </c>
      <c r="I117" s="3" t="inlineStr">
        <is>
          <t>... (200 số)</t>
        </is>
      </c>
      <c r="J117" s="3" t="inlineStr">
        <is>
          <t>TRƯỢT ❌</t>
        </is>
      </c>
    </row>
    <row r="118">
      <c r="A118" s="2" t="n">
        <v>117</v>
      </c>
      <c r="B118" s="2" t="inlineStr">
        <is>
          <t>Thứ sáu ngày 01-05-2026</t>
        </is>
      </c>
      <c r="C118" s="3" t="inlineStr">
        <is>
          <t>16132</t>
        </is>
      </c>
      <c r="D118" s="3" t="inlineStr">
        <is>
          <t>132</t>
        </is>
      </c>
      <c r="E118" s="3" t="inlineStr">
        <is>
          <t>6132</t>
        </is>
      </c>
      <c r="F118" s="3" t="inlineStr">
        <is>
          <t>004, 006, 014, 017, 024, 025, 028, 035, 037, 038... (100 số)</t>
        </is>
      </c>
      <c r="G118" s="3" t="inlineStr">
        <is>
          <t>TRƯỢT ❌</t>
        </is>
      </c>
      <c r="H118" s="3" t="inlineStr">
        <is>
          <t>TRƯỢT ❌</t>
        </is>
      </c>
      <c r="I118" s="3" t="inlineStr">
        <is>
          <t>... (200 số)</t>
        </is>
      </c>
      <c r="J118" s="3" t="inlineStr">
        <is>
          <t>TRƯỢT ❌</t>
        </is>
      </c>
    </row>
    <row r="119">
      <c r="A119" s="2" t="n">
        <v>118</v>
      </c>
      <c r="B119" s="2" t="inlineStr">
        <is>
          <t>Thứ bảy ngày 02-05-2026</t>
        </is>
      </c>
      <c r="C119" s="3" t="inlineStr">
        <is>
          <t>32964</t>
        </is>
      </c>
      <c r="D119" s="3" t="inlineStr">
        <is>
          <t>964</t>
        </is>
      </c>
      <c r="E119" s="3" t="inlineStr">
        <is>
          <t>2964</t>
        </is>
      </c>
      <c r="F119" s="3" t="inlineStr">
        <is>
          <t>004, 006, 014, 017, 020, 024, 025, 028, 032, 037... (100 số)</t>
        </is>
      </c>
      <c r="G119" s="3" t="inlineStr">
        <is>
          <t>TRƯỢT ❌</t>
        </is>
      </c>
      <c r="H119" s="3" t="inlineStr">
        <is>
          <t>TRƯỢT ❌</t>
        </is>
      </c>
      <c r="I119" s="3" t="inlineStr">
        <is>
          <t>... (200 số)</t>
        </is>
      </c>
      <c r="J119" s="3" t="inlineStr">
        <is>
          <t>TRƯỢT ❌</t>
        </is>
      </c>
    </row>
    <row r="120">
      <c r="A120" s="2" t="n">
        <v>119</v>
      </c>
      <c r="B120" s="2" t="inlineStr">
        <is>
          <t>Chủ nhật ngày 03-05-2026</t>
        </is>
      </c>
      <c r="C120" s="3" t="inlineStr">
        <is>
          <t>11251</t>
        </is>
      </c>
      <c r="D120" s="3" t="inlineStr">
        <is>
          <t>251</t>
        </is>
      </c>
      <c r="E120" s="3" t="inlineStr">
        <is>
          <t>1251</t>
        </is>
      </c>
      <c r="F120" s="3" t="inlineStr">
        <is>
          <t>004, 006, 014, 020, 024, 025, 028, 032, 035, 037... (100 số)</t>
        </is>
      </c>
      <c r="G120" s="3" t="inlineStr">
        <is>
          <t>TRƯỢT ❌</t>
        </is>
      </c>
      <c r="H120" s="3" t="inlineStr">
        <is>
          <t>TRƯỢT ❌</t>
        </is>
      </c>
      <c r="I120" s="3" t="inlineStr">
        <is>
          <t>... (200 số)</t>
        </is>
      </c>
      <c r="J120" s="3" t="inlineStr">
        <is>
          <t>TRƯỢT ❌</t>
        </is>
      </c>
    </row>
    <row r="121">
      <c r="A121" s="2" t="n">
        <v>120</v>
      </c>
      <c r="B121" s="2" t="inlineStr">
        <is>
          <t>Thứ hai ngày 04-05-2026</t>
        </is>
      </c>
      <c r="C121" s="3" t="inlineStr">
        <is>
          <t>22512</t>
        </is>
      </c>
      <c r="D121" s="3" t="inlineStr">
        <is>
          <t>512</t>
        </is>
      </c>
      <c r="E121" s="3" t="inlineStr">
        <is>
          <t>2512</t>
        </is>
      </c>
      <c r="F121" s="3" t="inlineStr">
        <is>
          <t>006, 014, 017, 025, 032, 035, 037, 038, 039, 043... (100 số)</t>
        </is>
      </c>
      <c r="G121" s="3" t="inlineStr">
        <is>
          <t>TRƯỢT ❌</t>
        </is>
      </c>
      <c r="H121" s="3" t="inlineStr">
        <is>
          <t>TRƯỢT ❌</t>
        </is>
      </c>
      <c r="I121" s="3" t="inlineStr">
        <is>
          <t>... (200 số)</t>
        </is>
      </c>
      <c r="J121" s="3" t="inlineStr">
        <is>
          <t>TRƯỢT ❌</t>
        </is>
      </c>
    </row>
    <row r="122">
      <c r="A122" s="2" t="n">
        <v>121</v>
      </c>
      <c r="B122" s="2" t="inlineStr">
        <is>
          <t>Thứ ba ngày 05-05-2026</t>
        </is>
      </c>
      <c r="C122" s="3" t="inlineStr">
        <is>
          <t>80241</t>
        </is>
      </c>
      <c r="D122" s="3" t="inlineStr">
        <is>
          <t>241</t>
        </is>
      </c>
      <c r="E122" s="3" t="inlineStr">
        <is>
          <t>0241</t>
        </is>
      </c>
      <c r="F122" s="3" t="inlineStr">
        <is>
          <t>000, 004, 006, 012, 014, 017, 020, 024, 025, 032... (100 số)</t>
        </is>
      </c>
      <c r="G122" s="3" t="inlineStr">
        <is>
          <t>TRƯỢT ❌</t>
        </is>
      </c>
      <c r="H122" s="3" t="inlineStr">
        <is>
          <t>TRƯỢT ❌</t>
        </is>
      </c>
      <c r="I122" s="3" t="inlineStr">
        <is>
          <t>... (200 số)</t>
        </is>
      </c>
      <c r="J122" s="3" t="inlineStr">
        <is>
          <t>TRƯỢT ❌</t>
        </is>
      </c>
    </row>
    <row r="123">
      <c r="A123" s="2" t="n">
        <v>122</v>
      </c>
      <c r="B123" s="2" t="inlineStr">
        <is>
          <t>Thứ tư ngày 06-05-2026</t>
        </is>
      </c>
      <c r="C123" s="3" t="inlineStr">
        <is>
          <t>14540</t>
        </is>
      </c>
      <c r="D123" s="3" t="inlineStr">
        <is>
          <t>540</t>
        </is>
      </c>
      <c r="E123" s="3" t="inlineStr">
        <is>
          <t>4540</t>
        </is>
      </c>
      <c r="F123" s="3" t="inlineStr">
        <is>
          <t>000, 004, 012, 020, 024, 025, 028, 032, 035, 039... (100 số)</t>
        </is>
      </c>
      <c r="G123" s="3" t="inlineStr">
        <is>
          <t>TRƯỢT ❌</t>
        </is>
      </c>
      <c r="H123" s="3" t="inlineStr">
        <is>
          <t>TRƯỢT ❌</t>
        </is>
      </c>
      <c r="I123" s="3" t="inlineStr">
        <is>
          <t>... (200 số)</t>
        </is>
      </c>
      <c r="J123" s="3" t="inlineStr">
        <is>
          <t>TRƯỢT ❌</t>
        </is>
      </c>
    </row>
    <row r="124">
      <c r="A124" s="2" t="n">
        <v>123</v>
      </c>
      <c r="B124" s="2" t="inlineStr">
        <is>
          <t>Thứ năm ngày 07-05-2026</t>
        </is>
      </c>
      <c r="C124" s="3" t="inlineStr">
        <is>
          <t>29147</t>
        </is>
      </c>
      <c r="D124" s="3" t="inlineStr">
        <is>
          <t>147</t>
        </is>
      </c>
      <c r="E124" s="3" t="inlineStr">
        <is>
          <t>9147</t>
        </is>
      </c>
      <c r="F124" s="3" t="inlineStr">
        <is>
          <t>000, 004, 012, 014, 017, 020, 024, 025, 035, 040... (100 số)</t>
        </is>
      </c>
      <c r="G124" s="3" t="inlineStr">
        <is>
          <t>TRƯỢT ❌</t>
        </is>
      </c>
      <c r="H124" s="3" t="inlineStr">
        <is>
          <t>TRƯỢT ❌</t>
        </is>
      </c>
      <c r="I124" s="3" t="inlineStr">
        <is>
          <t>... (200 số)</t>
        </is>
      </c>
      <c r="J124" s="3" t="inlineStr">
        <is>
          <t>TRƯỢT ❌</t>
        </is>
      </c>
    </row>
    <row r="125">
      <c r="A125" s="2" t="n">
        <v>124</v>
      </c>
      <c r="B125" s="2" t="inlineStr">
        <is>
          <t>Thứ sáu ngày 08-05-2026</t>
        </is>
      </c>
      <c r="C125" s="3" t="inlineStr">
        <is>
          <t>26192</t>
        </is>
      </c>
      <c r="D125" s="3" t="inlineStr">
        <is>
          <t>192</t>
        </is>
      </c>
      <c r="E125" s="3" t="inlineStr">
        <is>
          <t>6192</t>
        </is>
      </c>
      <c r="F125" s="3" t="inlineStr">
        <is>
          <t>004, 012, 014, 020, 024, 025, 028, 032, 035, 039... (100 số)</t>
        </is>
      </c>
      <c r="G125" s="3" t="inlineStr">
        <is>
          <t>TRƯỢT ❌</t>
        </is>
      </c>
      <c r="H125" s="3" t="inlineStr">
        <is>
          <t>TRƯỢT ❌</t>
        </is>
      </c>
      <c r="I125" s="3" t="inlineStr">
        <is>
          <t>... (200 số)</t>
        </is>
      </c>
      <c r="J125" s="3" t="inlineStr">
        <is>
          <t>TRƯỢT ❌</t>
        </is>
      </c>
    </row>
    <row r="126">
      <c r="A126" s="2" t="n">
        <v>125</v>
      </c>
      <c r="B126" s="2" t="inlineStr">
        <is>
          <t>Thứ bảy ngày 09-05-2026</t>
        </is>
      </c>
      <c r="C126" s="3" t="inlineStr">
        <is>
          <t>76223</t>
        </is>
      </c>
      <c r="D126" s="3" t="inlineStr">
        <is>
          <t>223</t>
        </is>
      </c>
      <c r="E126" s="3" t="inlineStr">
        <is>
          <t>6223</t>
        </is>
      </c>
      <c r="F126" s="3" t="inlineStr">
        <is>
          <t>000, 004, 014, 020, 024, 025, 028, 035, 038, 039... (100 số)</t>
        </is>
      </c>
      <c r="G126" s="3" t="inlineStr">
        <is>
          <t>TRƯỢT ❌</t>
        </is>
      </c>
      <c r="H126" s="3" t="inlineStr">
        <is>
          <t>TRƯỢT ❌</t>
        </is>
      </c>
      <c r="I126" s="3" t="inlineStr">
        <is>
          <t>... (200 số)</t>
        </is>
      </c>
      <c r="J126" s="3" t="inlineStr">
        <is>
          <t>TRƯỢT ❌</t>
        </is>
      </c>
    </row>
    <row r="127">
      <c r="A127" s="2" t="n">
        <v>126</v>
      </c>
      <c r="B127" s="2" t="inlineStr">
        <is>
          <t>Chủ nhật ngày 10-05-2026</t>
        </is>
      </c>
      <c r="C127" s="3" t="inlineStr">
        <is>
          <t>52117</t>
        </is>
      </c>
      <c r="D127" s="3" t="inlineStr">
        <is>
          <t>117</t>
        </is>
      </c>
      <c r="E127" s="3" t="inlineStr">
        <is>
          <t>2117</t>
        </is>
      </c>
      <c r="F127" s="3" t="inlineStr">
        <is>
          <t>000, 004, 012, 014, 017, 023, 024, 025, 028, 032... (100 số)</t>
        </is>
      </c>
      <c r="G127" s="3" t="inlineStr">
        <is>
          <t>TRƯỢT ❌</t>
        </is>
      </c>
      <c r="H127" s="3" t="inlineStr">
        <is>
          <t>TRƯỢT ❌</t>
        </is>
      </c>
      <c r="I127" s="3" t="inlineStr">
        <is>
          <t>... (200 số)</t>
        </is>
      </c>
      <c r="J127" s="3" t="inlineStr">
        <is>
          <t>TRƯỢT ❌</t>
        </is>
      </c>
    </row>
    <row r="128">
      <c r="A128" s="2" t="n">
        <v>127</v>
      </c>
      <c r="B128" s="2" t="inlineStr">
        <is>
          <t>Thứ hai ngày 11-05-2026</t>
        </is>
      </c>
      <c r="C128" s="3" t="inlineStr">
        <is>
          <t>52233</t>
        </is>
      </c>
      <c r="D128" s="3" t="inlineStr">
        <is>
          <t>233</t>
        </is>
      </c>
      <c r="E128" s="3" t="inlineStr">
        <is>
          <t>2233</t>
        </is>
      </c>
      <c r="F128" s="3" t="inlineStr">
        <is>
          <t>000, 012, 014, 017, 025, 028, 035, 038, 040, 041... (100 số)</t>
        </is>
      </c>
      <c r="G128" s="3" t="inlineStr">
        <is>
          <t>TRƯỢT ❌</t>
        </is>
      </c>
      <c r="H128" s="3" t="inlineStr">
        <is>
          <t>TRƯỢT ❌</t>
        </is>
      </c>
      <c r="I128" s="3" t="inlineStr">
        <is>
          <t>... (200 số)</t>
        </is>
      </c>
      <c r="J128" s="3" t="inlineStr">
        <is>
          <t>TRƯỢT ❌</t>
        </is>
      </c>
    </row>
    <row r="129">
      <c r="A129" s="2" t="n">
        <v>128</v>
      </c>
      <c r="B129" s="2" t="inlineStr">
        <is>
          <t>Thứ ba ngày 12-05-2026</t>
        </is>
      </c>
      <c r="C129" s="3" t="inlineStr">
        <is>
          <t>64138</t>
        </is>
      </c>
      <c r="D129" s="3" t="inlineStr">
        <is>
          <t>138</t>
        </is>
      </c>
      <c r="E129" s="3" t="inlineStr">
        <is>
          <t>4138</t>
        </is>
      </c>
      <c r="F129" s="3" t="inlineStr">
        <is>
          <t>012, 014, 017, 023, 025, 028, 032, 033, 035, 037... (100 số)</t>
        </is>
      </c>
      <c r="G129" s="3" t="inlineStr">
        <is>
          <t>TRƯỢT ❌</t>
        </is>
      </c>
      <c r="H129" s="3" t="inlineStr">
        <is>
          <t>TRƯỢT ❌</t>
        </is>
      </c>
      <c r="I129" s="3" t="inlineStr">
        <is>
          <t>... (200 số)</t>
        </is>
      </c>
      <c r="J129" s="3" t="inlineStr">
        <is>
          <t>TRƯỢT ❌</t>
        </is>
      </c>
    </row>
    <row r="130">
      <c r="A130" s="2" t="n">
        <v>129</v>
      </c>
      <c r="B130" s="2" t="inlineStr">
        <is>
          <t>Thứ tư ngày 13-05-2026</t>
        </is>
      </c>
      <c r="C130" s="3" t="inlineStr">
        <is>
          <t>76669</t>
        </is>
      </c>
      <c r="D130" s="3" t="inlineStr">
        <is>
          <t>669</t>
        </is>
      </c>
      <c r="E130" s="3" t="inlineStr">
        <is>
          <t>6669</t>
        </is>
      </c>
      <c r="F130" s="3" t="inlineStr">
        <is>
          <t>017, 023, 028, 032, 033, 035, 037, 038, 039, 040... (100 số)</t>
        </is>
      </c>
      <c r="G130" s="3" t="inlineStr">
        <is>
          <t>TRƯỢT ❌</t>
        </is>
      </c>
      <c r="H130" s="3" t="inlineStr">
        <is>
          <t>TRƯỢT ❌</t>
        </is>
      </c>
      <c r="I130" s="3" t="inlineStr">
        <is>
          <t>... (200 số)</t>
        </is>
      </c>
      <c r="J130" s="3" t="inlineStr">
        <is>
          <t>TRƯỢT ❌</t>
        </is>
      </c>
    </row>
    <row r="131">
      <c r="A131" s="2" t="n">
        <v>130</v>
      </c>
      <c r="B131" s="2" t="inlineStr">
        <is>
          <t>Thứ năm ngày 14-05-2026</t>
        </is>
      </c>
      <c r="C131" s="3" t="inlineStr">
        <is>
          <t>67294</t>
        </is>
      </c>
      <c r="D131" s="3" t="inlineStr">
        <is>
          <t>294</t>
        </is>
      </c>
      <c r="E131" s="3" t="inlineStr">
        <is>
          <t>7294</t>
        </is>
      </c>
      <c r="F131" s="3" t="inlineStr">
        <is>
          <t>012, 014, 017, 023, 025, 028, 032, 033, 035, 037... (100 số)</t>
        </is>
      </c>
      <c r="G131" s="3" t="inlineStr">
        <is>
          <t>TRƯỢT ❌</t>
        </is>
      </c>
      <c r="H131" s="3" t="inlineStr">
        <is>
          <t>TRƯỢT ❌</t>
        </is>
      </c>
      <c r="I131" s="3" t="inlineStr">
        <is>
          <t>... (200 số)</t>
        </is>
      </c>
      <c r="J131" s="3" t="inlineStr">
        <is>
          <t>TRƯỢT ❌</t>
        </is>
      </c>
    </row>
    <row r="132">
      <c r="A132" s="2" t="n">
        <v>131</v>
      </c>
      <c r="B132" s="2" t="inlineStr">
        <is>
          <t>Thứ sáu ngày 15-05-2026</t>
        </is>
      </c>
      <c r="C132" s="3" t="inlineStr">
        <is>
          <t>19404</t>
        </is>
      </c>
      <c r="D132" s="3" t="inlineStr">
        <is>
          <t>404</t>
        </is>
      </c>
      <c r="E132" s="3" t="inlineStr">
        <is>
          <t>9404</t>
        </is>
      </c>
      <c r="F132" s="3" t="inlineStr">
        <is>
          <t>014, 017, 023, 032, 033, 035, 037, 038, 039, 040... (100 số)</t>
        </is>
      </c>
      <c r="G132" s="3" t="inlineStr">
        <is>
          <t>TRƯỢT ❌</t>
        </is>
      </c>
      <c r="H132" s="3" t="inlineStr">
        <is>
          <t>TRƯỢT ❌</t>
        </is>
      </c>
      <c r="I132" s="3" t="inlineStr">
        <is>
          <t>... (200 số)</t>
        </is>
      </c>
      <c r="J132" s="3" t="inlineStr">
        <is>
          <t>TRƯỢT ❌</t>
        </is>
      </c>
    </row>
    <row r="133">
      <c r="A133" s="2" t="n">
        <v>132</v>
      </c>
      <c r="B133" s="2" t="inlineStr">
        <is>
          <t>Thứ bảy ngày 16-05-2026</t>
        </is>
      </c>
      <c r="C133" s="3" t="inlineStr">
        <is>
          <t>96684</t>
        </is>
      </c>
      <c r="D133" s="3" t="inlineStr">
        <is>
          <t>684</t>
        </is>
      </c>
      <c r="E133" s="3" t="inlineStr">
        <is>
          <t>6684</t>
        </is>
      </c>
      <c r="F133" s="3" t="inlineStr">
        <is>
          <t>004, 012, 014, 017, 028, 037, 038, 040, 041, 043... (100 số)</t>
        </is>
      </c>
      <c r="G133" s="3" t="inlineStr">
        <is>
          <t>TRƯỢT ❌</t>
        </is>
      </c>
      <c r="H133" s="3" t="inlineStr">
        <is>
          <t>TRƯỢT ❌</t>
        </is>
      </c>
      <c r="I133" s="3" t="inlineStr">
        <is>
          <t>... (200 số)</t>
        </is>
      </c>
      <c r="J133" s="3" t="inlineStr">
        <is>
          <t>TRƯỢT ❌</t>
        </is>
      </c>
    </row>
    <row r="134">
      <c r="A134" s="2" t="n">
        <v>133</v>
      </c>
      <c r="B134" s="2" t="inlineStr">
        <is>
          <t>Chủ nhật ngày 17-05-2026</t>
        </is>
      </c>
      <c r="C134" s="3" t="inlineStr">
        <is>
          <t>55361</t>
        </is>
      </c>
      <c r="D134" s="3" t="inlineStr">
        <is>
          <t>361</t>
        </is>
      </c>
      <c r="E134" s="3" t="inlineStr">
        <is>
          <t>5361</t>
        </is>
      </c>
      <c r="F134" s="3" t="inlineStr">
        <is>
          <t>004, 012, 014, 017, 023, 025, 028, 032, 033, 037... (100 số)</t>
        </is>
      </c>
      <c r="G134" s="3" t="inlineStr">
        <is>
          <t>TRƯỢT ❌</t>
        </is>
      </c>
      <c r="H134" s="3" t="inlineStr">
        <is>
          <t>TRƯỢT ❌</t>
        </is>
      </c>
      <c r="I134" s="3" t="inlineStr">
        <is>
          <t>... (200 số)</t>
        </is>
      </c>
      <c r="J134" s="3" t="inlineStr">
        <is>
          <t>TRƯỢT ❌</t>
        </is>
      </c>
    </row>
    <row r="135">
      <c r="A135" s="2" t="n">
        <v>134</v>
      </c>
      <c r="B135" s="2" t="inlineStr">
        <is>
          <t>Thứ hai ngày 18-05-2026</t>
        </is>
      </c>
      <c r="C135" s="3" t="inlineStr">
        <is>
          <t>81754</t>
        </is>
      </c>
      <c r="D135" s="3" t="inlineStr">
        <is>
          <t>754</t>
        </is>
      </c>
      <c r="E135" s="3" t="inlineStr">
        <is>
          <t>1754</t>
        </is>
      </c>
      <c r="F135" s="3" t="inlineStr">
        <is>
          <t>004, 012, 014, 017, 025, 037, 039, 040, 041, 047... (100 số)</t>
        </is>
      </c>
      <c r="G135" s="3" t="inlineStr">
        <is>
          <t>TRÚNG 🎯</t>
        </is>
      </c>
      <c r="H135" s="3" t="inlineStr">
        <is>
          <t>TRÚNG 🎯</t>
        </is>
      </c>
      <c r="I135" s="3" t="inlineStr">
        <is>
          <t>... (200 số)</t>
        </is>
      </c>
      <c r="J135" s="3" t="inlineStr">
        <is>
          <t>TRƯỢT ❌</t>
        </is>
      </c>
    </row>
    <row r="136">
      <c r="A136" s="2" t="n">
        <v>135</v>
      </c>
      <c r="B136" s="2" t="inlineStr">
        <is>
          <t>Thứ ba ngày 19-05-2026</t>
        </is>
      </c>
      <c r="C136" s="3" t="inlineStr">
        <is>
          <t>88568</t>
        </is>
      </c>
      <c r="D136" s="3" t="inlineStr">
        <is>
          <t>568</t>
        </is>
      </c>
      <c r="E136" s="3" t="inlineStr">
        <is>
          <t>8568</t>
        </is>
      </c>
      <c r="F136" s="3" t="inlineStr">
        <is>
          <t>012, 014, 017, 023, 025, 028, 032, 037, 038, 041... (100 số)</t>
        </is>
      </c>
      <c r="G136" s="3" t="inlineStr">
        <is>
          <t>TRƯỢT ❌</t>
        </is>
      </c>
      <c r="H136" s="3" t="inlineStr">
        <is>
          <t>TRƯỢT ❌</t>
        </is>
      </c>
      <c r="I136" s="3" t="inlineStr">
        <is>
          <t>... (200 số)</t>
        </is>
      </c>
      <c r="J136" s="3" t="inlineStr">
        <is>
          <t>TRƯỢT ❌</t>
        </is>
      </c>
    </row>
    <row r="137">
      <c r="A137" s="2" t="n">
        <v>136</v>
      </c>
      <c r="B137" s="2" t="inlineStr">
        <is>
          <t>Thứ tư ngày 20-05-2026</t>
        </is>
      </c>
      <c r="C137" s="3" t="inlineStr">
        <is>
          <t>72685</t>
        </is>
      </c>
      <c r="D137" s="3" t="inlineStr">
        <is>
          <t>685</t>
        </is>
      </c>
      <c r="E137" s="3" t="inlineStr">
        <is>
          <t>2685</t>
        </is>
      </c>
      <c r="F137" s="3" t="inlineStr">
        <is>
          <t>004, 012, 014, 017, 023, 025, 028, 032, 039, 040... (100 số)</t>
        </is>
      </c>
      <c r="G137" s="3" t="inlineStr">
        <is>
          <t>TRƯỢT ❌</t>
        </is>
      </c>
      <c r="H137" s="3" t="inlineStr">
        <is>
          <t>TRƯỢT ❌</t>
        </is>
      </c>
      <c r="I137" s="3" t="inlineStr">
        <is>
          <t>... (200 số)</t>
        </is>
      </c>
      <c r="J137" s="3" t="inlineStr">
        <is>
          <t>TRƯỢT ❌</t>
        </is>
      </c>
    </row>
    <row r="138">
      <c r="A138" s="2" t="n">
        <v>137</v>
      </c>
      <c r="B138" s="2" t="inlineStr">
        <is>
          <t>Thứ năm ngày 21-05-2026</t>
        </is>
      </c>
      <c r="C138" s="3" t="inlineStr">
        <is>
          <t>72939</t>
        </is>
      </c>
      <c r="D138" s="3" t="inlineStr">
        <is>
          <t>939</t>
        </is>
      </c>
      <c r="E138" s="3" t="inlineStr">
        <is>
          <t>2939</t>
        </is>
      </c>
      <c r="F138" s="3" t="inlineStr">
        <is>
          <t>004, 014, 017, 023, 025, 028, 032, 033, 037, 038... (100 số)</t>
        </is>
      </c>
      <c r="G138" s="3" t="inlineStr">
        <is>
          <t>TRƯỢT ❌</t>
        </is>
      </c>
      <c r="H138" s="3" t="inlineStr">
        <is>
          <t>TRƯỢT ❌</t>
        </is>
      </c>
      <c r="I138" s="3" t="inlineStr">
        <is>
          <t>... (200 số)</t>
        </is>
      </c>
      <c r="J138" s="3" t="inlineStr">
        <is>
          <t>TRƯỢT ❌</t>
        </is>
      </c>
    </row>
    <row r="139">
      <c r="A139" s="2" t="n">
        <v>138</v>
      </c>
      <c r="B139" s="2" t="inlineStr">
        <is>
          <t>Thứ sáu ngày 22-05-2026</t>
        </is>
      </c>
      <c r="C139" s="3" t="inlineStr">
        <is>
          <t>38021</t>
        </is>
      </c>
      <c r="D139" s="3" t="inlineStr">
        <is>
          <t>021</t>
        </is>
      </c>
      <c r="E139" s="3" t="inlineStr">
        <is>
          <t>8021</t>
        </is>
      </c>
      <c r="F139" s="3" t="inlineStr">
        <is>
          <t>004, 012, 017, 023, 025, 028, 032, 033, 037, 038... (100 số)</t>
        </is>
      </c>
      <c r="G139" s="3" t="inlineStr">
        <is>
          <t>TRƯỢT ❌</t>
        </is>
      </c>
      <c r="H139" s="3" t="inlineStr">
        <is>
          <t>TRƯỢT ❌</t>
        </is>
      </c>
      <c r="I139" s="3" t="inlineStr">
        <is>
          <t>... (200 số)</t>
        </is>
      </c>
      <c r="J139" s="3" t="inlineStr">
        <is>
          <t>TRƯỢT ❌</t>
        </is>
      </c>
    </row>
    <row r="140">
      <c r="A140" s="2" t="n">
        <v>139</v>
      </c>
      <c r="B140" s="2" t="inlineStr">
        <is>
          <t>Thứ bảy ngày 23-05-2026</t>
        </is>
      </c>
      <c r="C140" s="3" t="inlineStr">
        <is>
          <t>20104</t>
        </is>
      </c>
      <c r="D140" s="3" t="inlineStr">
        <is>
          <t>104</t>
        </is>
      </c>
      <c r="E140" s="3" t="inlineStr">
        <is>
          <t>0104</t>
        </is>
      </c>
      <c r="F140" s="3" t="inlineStr">
        <is>
          <t>004, 012, 017, 021, 023, 025, 028, 032, 037, 038... (100 số)</t>
        </is>
      </c>
      <c r="G140" s="3" t="inlineStr">
        <is>
          <t>TRƯỢT ❌</t>
        </is>
      </c>
      <c r="H140" s="3" t="inlineStr">
        <is>
          <t>TRƯỢT ❌</t>
        </is>
      </c>
      <c r="I140" s="3" t="inlineStr">
        <is>
          <t>... (200 số)</t>
        </is>
      </c>
      <c r="J140" s="3" t="inlineStr">
        <is>
          <t>TRƯỢT ❌</t>
        </is>
      </c>
    </row>
    <row r="141">
      <c r="A141" s="2" t="n">
        <v>140</v>
      </c>
      <c r="B141" s="2" t="inlineStr">
        <is>
          <t>Chủ nhật ngày 24-05-2026</t>
        </is>
      </c>
      <c r="C141" s="3" t="inlineStr">
        <is>
          <t>97281</t>
        </is>
      </c>
      <c r="D141" s="3" t="inlineStr">
        <is>
          <t>281</t>
        </is>
      </c>
      <c r="E141" s="3" t="inlineStr">
        <is>
          <t>7281</t>
        </is>
      </c>
      <c r="F141" s="3" t="inlineStr">
        <is>
          <t>004, 012, 017, 021, 023, 025, 028, 032, 038, 039... (100 số)</t>
        </is>
      </c>
      <c r="G141" s="3" t="inlineStr">
        <is>
          <t>TRƯỢT ❌</t>
        </is>
      </c>
      <c r="H141" s="3" t="inlineStr">
        <is>
          <t>TRƯỢT ❌</t>
        </is>
      </c>
      <c r="I141" s="3" t="inlineStr">
        <is>
          <t>... (200 số)</t>
        </is>
      </c>
      <c r="J141" s="3" t="inlineStr">
        <is>
          <t>TRƯỢT ❌</t>
        </is>
      </c>
    </row>
    <row r="142">
      <c r="A142" s="2" t="n">
        <v>141</v>
      </c>
      <c r="B142" s="2" t="inlineStr">
        <is>
          <t>Thứ hai ngày 25-05-2026</t>
        </is>
      </c>
      <c r="C142" s="3" t="inlineStr">
        <is>
          <t>49111</t>
        </is>
      </c>
      <c r="D142" s="3" t="inlineStr">
        <is>
          <t>111</t>
        </is>
      </c>
      <c r="E142" s="3" t="inlineStr">
        <is>
          <t>9111</t>
        </is>
      </c>
      <c r="F142" s="3" t="inlineStr">
        <is>
          <t>004, 023, 028, 032, 033, 037, 038, 039, 040, 041... (100 số)</t>
        </is>
      </c>
      <c r="G142" s="3" t="inlineStr">
        <is>
          <t>TRƯỢT ❌</t>
        </is>
      </c>
      <c r="H142" s="3" t="inlineStr">
        <is>
          <t>TRƯỢT ❌</t>
        </is>
      </c>
      <c r="I142" s="3" t="inlineStr">
        <is>
          <t>... (200 số)</t>
        </is>
      </c>
      <c r="J142" s="3" t="inlineStr">
        <is>
          <t>TRƯỢT ❌</t>
        </is>
      </c>
    </row>
    <row r="143">
      <c r="A143" s="2" t="n">
        <v>142</v>
      </c>
      <c r="B143" s="2" t="inlineStr">
        <is>
          <t>Thứ ba ngày 26-05-2026</t>
        </is>
      </c>
      <c r="C143" s="3" t="inlineStr">
        <is>
          <t>61513</t>
        </is>
      </c>
      <c r="D143" s="3" t="inlineStr">
        <is>
          <t>513</t>
        </is>
      </c>
      <c r="E143" s="3" t="inlineStr">
        <is>
          <t>1513</t>
        </is>
      </c>
      <c r="F143" s="3" t="inlineStr">
        <is>
          <t>004, 011, 012, 017, 021, 023, 025, 032, 033, 037... (100 số)</t>
        </is>
      </c>
      <c r="G143" s="3" t="inlineStr">
        <is>
          <t>TRƯỢT ❌</t>
        </is>
      </c>
      <c r="H143" s="3" t="inlineStr">
        <is>
          <t>TRƯỢT ❌</t>
        </is>
      </c>
      <c r="I143" s="3" t="inlineStr">
        <is>
          <t>... (200 số)</t>
        </is>
      </c>
      <c r="J143" s="3" t="inlineStr">
        <is>
          <t>TRƯỢT ❌</t>
        </is>
      </c>
    </row>
    <row r="144">
      <c r="A144" s="2" t="n">
        <v>143</v>
      </c>
      <c r="B144" s="2" t="inlineStr">
        <is>
          <t>Thứ tư ngày 27-05-2026</t>
        </is>
      </c>
      <c r="C144" s="3" t="inlineStr">
        <is>
          <t>00250</t>
        </is>
      </c>
      <c r="D144" s="3" t="inlineStr">
        <is>
          <t>250</t>
        </is>
      </c>
      <c r="E144" s="3" t="inlineStr">
        <is>
          <t>0250</t>
        </is>
      </c>
      <c r="F144" s="3" t="inlineStr">
        <is>
          <t>004, 011, 012, 013, 017, 021, 023, 025, 032, 037... (100 số)</t>
        </is>
      </c>
      <c r="G144" s="3" t="inlineStr">
        <is>
          <t>TRƯỢT ❌</t>
        </is>
      </c>
      <c r="H144" s="3" t="inlineStr">
        <is>
          <t>TRƯỢT ❌</t>
        </is>
      </c>
      <c r="I144" s="3" t="inlineStr">
        <is>
          <t>... (200 số)</t>
        </is>
      </c>
      <c r="J144" s="3" t="inlineStr">
        <is>
          <t>TRƯỢT ❌</t>
        </is>
      </c>
    </row>
    <row r="145">
      <c r="A145" s="2" t="n">
        <v>144</v>
      </c>
      <c r="B145" s="2" t="inlineStr">
        <is>
          <t>Thứ năm ngày 28-05-2026</t>
        </is>
      </c>
      <c r="C145" s="3" t="inlineStr">
        <is>
          <t>77954</t>
        </is>
      </c>
      <c r="D145" s="3" t="inlineStr">
        <is>
          <t>954</t>
        </is>
      </c>
      <c r="E145" s="3" t="inlineStr">
        <is>
          <t>7954</t>
        </is>
      </c>
      <c r="F145" s="3" t="inlineStr">
        <is>
          <t>004, 011, 012, 013, 017, 021, 025, 039, 040, 041... (100 số)</t>
        </is>
      </c>
      <c r="G145" s="3" t="inlineStr">
        <is>
          <t>TRƯỢT ❌</t>
        </is>
      </c>
      <c r="H145" s="3" t="inlineStr">
        <is>
          <t>TRƯỢT ❌</t>
        </is>
      </c>
      <c r="I145" s="3" t="inlineStr">
        <is>
          <t>... (200 số)</t>
        </is>
      </c>
      <c r="J145" s="3" t="inlineStr">
        <is>
          <t>TRƯỢT ❌</t>
        </is>
      </c>
    </row>
    <row r="146">
      <c r="A146" s="2" t="n">
        <v>145</v>
      </c>
      <c r="B146" s="2" t="inlineStr">
        <is>
          <t>Thứ sáu ngày 29-05-2026</t>
        </is>
      </c>
      <c r="C146" s="3" t="inlineStr">
        <is>
          <t>17743</t>
        </is>
      </c>
      <c r="D146" s="3" t="inlineStr">
        <is>
          <t>743</t>
        </is>
      </c>
      <c r="E146" s="3" t="inlineStr">
        <is>
          <t>7743</t>
        </is>
      </c>
      <c r="F146" s="3" t="inlineStr">
        <is>
          <t>004, 011, 012, 013, 017, 021, 023, 032, 033, 037... (100 số)</t>
        </is>
      </c>
      <c r="G146" s="3" t="inlineStr">
        <is>
          <t>TRƯỢT ❌</t>
        </is>
      </c>
      <c r="H146" s="3" t="inlineStr">
        <is>
          <t>TRƯỢT ❌</t>
        </is>
      </c>
      <c r="I146" s="3" t="inlineStr">
        <is>
          <t>... (200 số)</t>
        </is>
      </c>
      <c r="J146" s="3" t="inlineStr">
        <is>
          <t>TRƯỢT ❌</t>
        </is>
      </c>
    </row>
    <row r="147">
      <c r="A147" s="2" t="n">
        <v>146</v>
      </c>
      <c r="B147" s="2" t="inlineStr">
        <is>
          <t>Thứ bảy ngày 30-05-2026</t>
        </is>
      </c>
      <c r="C147" s="3" t="inlineStr">
        <is>
          <t>24042</t>
        </is>
      </c>
      <c r="D147" s="3" t="inlineStr">
        <is>
          <t>042</t>
        </is>
      </c>
      <c r="E147" s="3" t="inlineStr">
        <is>
          <t>4042</t>
        </is>
      </c>
      <c r="F147" s="3" t="inlineStr">
        <is>
          <t>004, 011, 012, 013, 017, 021, 025, 039, 040, 041... (100 số)</t>
        </is>
      </c>
      <c r="G147" s="3" t="inlineStr">
        <is>
          <t>TRƯỢT ❌</t>
        </is>
      </c>
      <c r="H147" s="3" t="inlineStr">
        <is>
          <t>TRƯỢT ❌</t>
        </is>
      </c>
      <c r="I147" s="3" t="inlineStr">
        <is>
          <t>... (200 số)</t>
        </is>
      </c>
      <c r="J147" s="3" t="inlineStr">
        <is>
          <t>TRƯỢT ❌</t>
        </is>
      </c>
    </row>
    <row r="148">
      <c r="A148" s="2" t="n">
        <v>147</v>
      </c>
      <c r="B148" s="2" t="inlineStr">
        <is>
          <t>Chủ nhật ngày 31-05-2026</t>
        </is>
      </c>
      <c r="C148" s="3" t="inlineStr">
        <is>
          <t>90353</t>
        </is>
      </c>
      <c r="D148" s="3" t="inlineStr">
        <is>
          <t>353</t>
        </is>
      </c>
      <c r="E148" s="3" t="inlineStr">
        <is>
          <t>0353</t>
        </is>
      </c>
      <c r="F148" s="3" t="inlineStr">
        <is>
          <t>004, 011, 012, 013, 017, 021, 023, 032, 033, 037... (100 số)</t>
        </is>
      </c>
      <c r="G148" s="3" t="inlineStr">
        <is>
          <t>TRƯỢT ❌</t>
        </is>
      </c>
      <c r="H148" s="3" t="inlineStr">
        <is>
          <t>TRƯỢT ❌</t>
        </is>
      </c>
      <c r="I148" s="3" t="inlineStr">
        <is>
          <t>... (200 số)</t>
        </is>
      </c>
      <c r="J148" s="3" t="inlineStr">
        <is>
          <t>TRƯỢT ❌</t>
        </is>
      </c>
    </row>
    <row r="149">
      <c r="A149" s="2" t="n">
        <v>148</v>
      </c>
      <c r="B149" s="2" t="inlineStr">
        <is>
          <t>Thứ hai ngày 01-06-2026</t>
        </is>
      </c>
      <c r="C149" s="3" t="inlineStr">
        <is>
          <t>73823</t>
        </is>
      </c>
      <c r="D149" s="3" t="inlineStr">
        <is>
          <t>823</t>
        </is>
      </c>
      <c r="E149" s="3" t="inlineStr">
        <is>
          <t>3823</t>
        </is>
      </c>
      <c r="F149" s="3" t="inlineStr">
        <is>
          <t>004, 011, 012, 013, 017, 021, 023, 025, 037, 040... (100 số)</t>
        </is>
      </c>
      <c r="G149" s="3" t="inlineStr">
        <is>
          <t>TRƯỢT ❌</t>
        </is>
      </c>
      <c r="H149" s="3" t="inlineStr">
        <is>
          <t>TRƯỢT ❌</t>
        </is>
      </c>
      <c r="I149" s="3" t="inlineStr">
        <is>
          <t>... (200 số)</t>
        </is>
      </c>
      <c r="J149" s="3" t="inlineStr">
        <is>
          <t>TRƯỢT ❌</t>
        </is>
      </c>
    </row>
    <row r="150">
      <c r="A150" s="2" t="n">
        <v>149</v>
      </c>
      <c r="B150" s="2" t="inlineStr">
        <is>
          <t>Thứ ba ngày 02-06-2026</t>
        </is>
      </c>
      <c r="C150" s="3" t="inlineStr">
        <is>
          <t>02636</t>
        </is>
      </c>
      <c r="D150" s="3" t="inlineStr">
        <is>
          <t>636</t>
        </is>
      </c>
      <c r="E150" s="3" t="inlineStr">
        <is>
          <t>2636</t>
        </is>
      </c>
      <c r="F150" s="3" t="inlineStr">
        <is>
          <t>004, 012, 013, 017, 021, 023, 025, 033, 037, 038... (100 số)</t>
        </is>
      </c>
      <c r="G150" s="3" t="inlineStr">
        <is>
          <t>TRƯỢT ❌</t>
        </is>
      </c>
      <c r="H150" s="3" t="inlineStr">
        <is>
          <t>TRƯỢT ❌</t>
        </is>
      </c>
      <c r="I150" s="3" t="inlineStr">
        <is>
          <t>... (200 số)</t>
        </is>
      </c>
      <c r="J150" s="3" t="inlineStr">
        <is>
          <t>TRƯỢT ❌</t>
        </is>
      </c>
    </row>
    <row r="151">
      <c r="A151" s="2" t="n">
        <v>150</v>
      </c>
      <c r="B151" s="2" t="inlineStr">
        <is>
          <t>Thứ tư ngày 03-06-2026</t>
        </is>
      </c>
      <c r="C151" s="3" t="inlineStr">
        <is>
          <t>05583</t>
        </is>
      </c>
      <c r="D151" s="3" t="inlineStr">
        <is>
          <t>583</t>
        </is>
      </c>
      <c r="E151" s="3" t="inlineStr">
        <is>
          <t>5583</t>
        </is>
      </c>
      <c r="F151" s="3" t="inlineStr">
        <is>
          <t>004, 012, 013, 017, 021, 023, 025, 033, 036, 038... (100 số)</t>
        </is>
      </c>
      <c r="G151" s="3" t="inlineStr">
        <is>
          <t>TRƯỢT ❌</t>
        </is>
      </c>
      <c r="H151" s="3" t="inlineStr">
        <is>
          <t>TRƯỢT ❌</t>
        </is>
      </c>
      <c r="I151" s="3" t="inlineStr">
        <is>
          <t>... (200 số)</t>
        </is>
      </c>
      <c r="J151" s="3" t="inlineStr">
        <is>
          <t>TRƯỢT ❌</t>
        </is>
      </c>
    </row>
    <row r="152">
      <c r="A152" s="2" t="n">
        <v>151</v>
      </c>
      <c r="B152" s="2" t="inlineStr">
        <is>
          <t>Thứ năm ngày 04-06-2026</t>
        </is>
      </c>
      <c r="C152" s="3" t="inlineStr">
        <is>
          <t>74978</t>
        </is>
      </c>
      <c r="D152" s="3" t="inlineStr">
        <is>
          <t>978</t>
        </is>
      </c>
      <c r="E152" s="3" t="inlineStr">
        <is>
          <t>4978</t>
        </is>
      </c>
      <c r="F152" s="3" t="inlineStr">
        <is>
          <t>004, 011, 013, 017, 021, 023, 025, 033, 036, 038... (100 số)</t>
        </is>
      </c>
      <c r="G152" s="3" t="inlineStr">
        <is>
          <t>TRƯỢT ❌</t>
        </is>
      </c>
      <c r="H152" s="3" t="inlineStr">
        <is>
          <t>TRƯỢT ❌</t>
        </is>
      </c>
      <c r="I152" s="3" t="inlineStr">
        <is>
          <t>... (200 số)</t>
        </is>
      </c>
      <c r="J152" s="3" t="inlineStr">
        <is>
          <t>TRƯỢT ❌</t>
        </is>
      </c>
    </row>
    <row r="153">
      <c r="A153" s="2" t="n">
        <v>152</v>
      </c>
      <c r="B153" s="2" t="inlineStr">
        <is>
          <t>Thứ sáu ngày 05-06-2026</t>
        </is>
      </c>
      <c r="C153" s="3" t="inlineStr">
        <is>
          <t>33465</t>
        </is>
      </c>
      <c r="D153" s="3" t="inlineStr">
        <is>
          <t>465</t>
        </is>
      </c>
      <c r="E153" s="3" t="inlineStr">
        <is>
          <t>3465</t>
        </is>
      </c>
      <c r="F153" s="3" t="inlineStr">
        <is>
          <t>004, 021, 023, 025, 036, 039, 040, 042, 043, 047... (100 số)</t>
        </is>
      </c>
      <c r="G153" s="3" t="inlineStr">
        <is>
          <t>TRƯỢT ❌</t>
        </is>
      </c>
      <c r="H153" s="3" t="inlineStr">
        <is>
          <t>TRƯỢT ❌</t>
        </is>
      </c>
      <c r="I153" s="3" t="inlineStr">
        <is>
          <t>... (200 số)</t>
        </is>
      </c>
      <c r="J153" s="3" t="inlineStr">
        <is>
          <t>TRƯỢT ❌</t>
        </is>
      </c>
    </row>
    <row r="154">
      <c r="A154" s="2" t="n">
        <v>153</v>
      </c>
      <c r="B154" s="2" t="inlineStr">
        <is>
          <t>Thứ bảy ngày 06-06-2026</t>
        </is>
      </c>
      <c r="C154" s="3" t="inlineStr">
        <is>
          <t>15393</t>
        </is>
      </c>
      <c r="D154" s="3" t="inlineStr">
        <is>
          <t>393</t>
        </is>
      </c>
      <c r="E154" s="3" t="inlineStr">
        <is>
          <t>5393</t>
        </is>
      </c>
      <c r="F154" s="3" t="inlineStr">
        <is>
          <t>004, 013, 021, 023, 025, 033, 036, 038, 039, 042... (100 số)</t>
        </is>
      </c>
      <c r="G154" s="3" t="inlineStr">
        <is>
          <t>TRƯỢT ❌</t>
        </is>
      </c>
      <c r="H154" s="3" t="inlineStr">
        <is>
          <t>TRƯỢT ❌</t>
        </is>
      </c>
      <c r="I154" s="3" t="inlineStr">
        <is>
          <t>... (200 số)</t>
        </is>
      </c>
      <c r="J154" s="3" t="inlineStr">
        <is>
          <t>TRƯỢT ❌</t>
        </is>
      </c>
    </row>
    <row r="155">
      <c r="A155" s="2" t="n">
        <v>154</v>
      </c>
      <c r="B155" s="2" t="inlineStr">
        <is>
          <t>Chủ nhật ngày 07-06-2026</t>
        </is>
      </c>
      <c r="C155" s="3" t="inlineStr">
        <is>
          <t>53505</t>
        </is>
      </c>
      <c r="D155" s="3" t="inlineStr">
        <is>
          <t>505</t>
        </is>
      </c>
      <c r="E155" s="3" t="inlineStr">
        <is>
          <t>3505</t>
        </is>
      </c>
      <c r="F155" s="3" t="inlineStr">
        <is>
          <t>004, 011, 013, 017, 021, 023, 025, 039, 042, 043... (100 số)</t>
        </is>
      </c>
      <c r="G155" s="3" t="inlineStr">
        <is>
          <t>TRƯỢT ❌</t>
        </is>
      </c>
      <c r="H155" s="3" t="inlineStr">
        <is>
          <t>TRƯỢT ❌</t>
        </is>
      </c>
      <c r="I155" s="3" t="inlineStr">
        <is>
          <t>... (200 số)</t>
        </is>
      </c>
      <c r="J155" s="3" t="inlineStr">
        <is>
          <t>TRƯỢT ❌</t>
        </is>
      </c>
    </row>
    <row r="156">
      <c r="A156" s="2" t="n">
        <v>155</v>
      </c>
      <c r="B156" s="2" t="inlineStr">
        <is>
          <t>Thứ hai ngày 08-06-2026</t>
        </is>
      </c>
      <c r="C156" s="3" t="inlineStr">
        <is>
          <t>07251</t>
        </is>
      </c>
      <c r="D156" s="3" t="inlineStr">
        <is>
          <t>251</t>
        </is>
      </c>
      <c r="E156" s="3" t="inlineStr">
        <is>
          <t>7251</t>
        </is>
      </c>
      <c r="F156" s="3" t="inlineStr">
        <is>
          <t>004, 005, 011, 013, 017, 021, 023, 033, 036, 038... (100 số)</t>
        </is>
      </c>
      <c r="G156" s="3" t="inlineStr">
        <is>
          <t>TRƯỢT ❌</t>
        </is>
      </c>
      <c r="H156" s="3" t="inlineStr">
        <is>
          <t>TRƯỢT ❌</t>
        </is>
      </c>
      <c r="I156" s="3" t="inlineStr">
        <is>
          <t>... (200 số)</t>
        </is>
      </c>
      <c r="J156" s="3" t="inlineStr">
        <is>
          <t>TRƯỢT ❌</t>
        </is>
      </c>
    </row>
    <row r="157">
      <c r="A157" s="2" t="n">
        <v>156</v>
      </c>
      <c r="B157" s="2" t="inlineStr">
        <is>
          <t>Thứ ba ngày 09-06-2026</t>
        </is>
      </c>
      <c r="C157" s="3" t="inlineStr">
        <is>
          <t>04308</t>
        </is>
      </c>
      <c r="D157" s="3" t="inlineStr">
        <is>
          <t>308</t>
        </is>
      </c>
      <c r="E157" s="3" t="inlineStr">
        <is>
          <t>4308</t>
        </is>
      </c>
      <c r="F157" s="3" t="inlineStr">
        <is>
          <t>004, 005, 011, 013, 017, 021, 039, 042, 043, 050... (100 số)</t>
        </is>
      </c>
      <c r="G157" s="3" t="inlineStr">
        <is>
          <t>TRƯỢT ❌</t>
        </is>
      </c>
      <c r="H157" s="3" t="inlineStr">
        <is>
          <t>TRƯỢT ❌</t>
        </is>
      </c>
      <c r="I157" s="3" t="inlineStr">
        <is>
          <t>... (200 số)</t>
        </is>
      </c>
      <c r="J157" s="3" t="inlineStr">
        <is>
          <t>TRƯỢT ❌</t>
        </is>
      </c>
    </row>
    <row r="158">
      <c r="A158" s="2" t="n">
        <v>157</v>
      </c>
      <c r="B158" s="2" t="inlineStr">
        <is>
          <t>Thứ tư ngày 10-06-2026</t>
        </is>
      </c>
      <c r="C158" s="3" t="inlineStr">
        <is>
          <t>99983</t>
        </is>
      </c>
      <c r="D158" s="3" t="inlineStr">
        <is>
          <t>983</t>
        </is>
      </c>
      <c r="E158" s="3" t="inlineStr">
        <is>
          <t>9983</t>
        </is>
      </c>
      <c r="F158" s="3" t="inlineStr">
        <is>
          <t>004, 005, 008, 011, 013, 017, 021, 023, 033, 036... (100 số)</t>
        </is>
      </c>
      <c r="G158" s="3" t="inlineStr">
        <is>
          <t>TRƯỢT ❌</t>
        </is>
      </c>
      <c r="H158" s="3" t="inlineStr">
        <is>
          <t>TRƯỢT ❌</t>
        </is>
      </c>
      <c r="I158" s="3" t="inlineStr">
        <is>
          <t>... (200 số)</t>
        </is>
      </c>
      <c r="J158" s="3" t="inlineStr">
        <is>
          <t>TRƯỢT ❌</t>
        </is>
      </c>
    </row>
    <row r="159">
      <c r="A159" s="2" t="n">
        <v>158</v>
      </c>
      <c r="B159" s="2" t="inlineStr">
        <is>
          <t>Thứ năm ngày 11-06-2026</t>
        </is>
      </c>
      <c r="C159" s="3" t="inlineStr">
        <is>
          <t>24889</t>
        </is>
      </c>
      <c r="D159" s="3" t="inlineStr">
        <is>
          <t>889</t>
        </is>
      </c>
      <c r="E159" s="3" t="inlineStr">
        <is>
          <t>4889</t>
        </is>
      </c>
      <c r="F159" s="3" t="inlineStr">
        <is>
          <t>004, 005, 008, 021, 023, 036, 039, 042, 043, 050... (100 số)</t>
        </is>
      </c>
      <c r="G159" s="3" t="inlineStr">
        <is>
          <t>TRƯỢT ❌</t>
        </is>
      </c>
      <c r="H159" s="3" t="inlineStr">
        <is>
          <t>TRƯỢT ❌</t>
        </is>
      </c>
      <c r="I159" s="3" t="inlineStr">
        <is>
          <t>... (200 số)</t>
        </is>
      </c>
      <c r="J159" s="3" t="inlineStr">
        <is>
          <t>TRƯỢT ❌</t>
        </is>
      </c>
    </row>
    <row r="160">
      <c r="A160" s="2" t="n">
        <v>159</v>
      </c>
      <c r="B160" s="2" t="inlineStr">
        <is>
          <t>Thứ sáu ngày 12-06-2026</t>
        </is>
      </c>
      <c r="C160" s="3" t="inlineStr">
        <is>
          <t>60014</t>
        </is>
      </c>
      <c r="D160" s="3" t="inlineStr">
        <is>
          <t>014</t>
        </is>
      </c>
      <c r="E160" s="3" t="inlineStr">
        <is>
          <t>0014</t>
        </is>
      </c>
      <c r="F160" s="3" t="inlineStr">
        <is>
          <t>004, 008, 017, 021, 023, 036, 039, 042, 043, 054... (100 số)</t>
        </is>
      </c>
      <c r="G160" s="3" t="inlineStr">
        <is>
          <t>TRƯỢT ❌</t>
        </is>
      </c>
      <c r="H160" s="3" t="inlineStr">
        <is>
          <t>TRƯỢT ❌</t>
        </is>
      </c>
      <c r="I160" s="3" t="inlineStr">
        <is>
          <t>... (200 số)</t>
        </is>
      </c>
      <c r="J160" s="3" t="inlineStr">
        <is>
          <t>TRƯỢT ❌</t>
        </is>
      </c>
    </row>
    <row r="161">
      <c r="A161" s="2" t="n">
        <v>160</v>
      </c>
      <c r="B161" s="2" t="inlineStr">
        <is>
          <t>Thứ bảy ngày 13-06-2026</t>
        </is>
      </c>
      <c r="C161" s="3" t="inlineStr">
        <is>
          <t>63000</t>
        </is>
      </c>
      <c r="D161" s="3" t="inlineStr">
        <is>
          <t>000</t>
        </is>
      </c>
      <c r="E161" s="3" t="inlineStr">
        <is>
          <t>3000</t>
        </is>
      </c>
      <c r="F161" s="3" t="inlineStr">
        <is>
          <t>004, 005, 008, 011, 013, 014, 017, 021, 023, 036... (100 số)</t>
        </is>
      </c>
      <c r="G161" s="3" t="inlineStr">
        <is>
          <t>TRƯỢT ❌</t>
        </is>
      </c>
      <c r="H161" s="3" t="inlineStr">
        <is>
          <t>TRƯỢT ❌</t>
        </is>
      </c>
      <c r="I161" s="3" t="inlineStr">
        <is>
          <t>... (200 số)</t>
        </is>
      </c>
      <c r="J161" s="3" t="inlineStr">
        <is>
          <t>TRƯỢT ❌</t>
        </is>
      </c>
    </row>
    <row r="162">
      <c r="A162" s="2" t="n">
        <v>161</v>
      </c>
      <c r="B162" s="2" t="inlineStr">
        <is>
          <t>Chủ nhật ngày 14-06-2026</t>
        </is>
      </c>
      <c r="C162" s="3" t="inlineStr">
        <is>
          <t>71680</t>
        </is>
      </c>
      <c r="D162" s="3" t="inlineStr">
        <is>
          <t>680</t>
        </is>
      </c>
      <c r="E162" s="3" t="inlineStr">
        <is>
          <t>1680</t>
        </is>
      </c>
      <c r="F162" s="3" t="inlineStr">
        <is>
          <t>004, 008, 013, 014, 023, 036, 039, 042, 043, 053... (100 số)</t>
        </is>
      </c>
      <c r="G162" s="3" t="inlineStr">
        <is>
          <t>TRƯỢT ❌</t>
        </is>
      </c>
      <c r="H162" s="3" t="inlineStr">
        <is>
          <t>TRƯỢT ❌</t>
        </is>
      </c>
      <c r="I162" s="3" t="inlineStr">
        <is>
          <t>... (200 số)</t>
        </is>
      </c>
      <c r="J162" s="3" t="inlineStr">
        <is>
          <t>TRƯỢT ❌</t>
        </is>
      </c>
    </row>
    <row r="163">
      <c r="A163" s="2" t="n">
        <v>162</v>
      </c>
      <c r="B163" s="2" t="inlineStr">
        <is>
          <t>Thứ hai ngày 15-06-2026</t>
        </is>
      </c>
      <c r="C163" s="3" t="inlineStr">
        <is>
          <t>80384</t>
        </is>
      </c>
      <c r="D163" s="3" t="inlineStr">
        <is>
          <t>384</t>
        </is>
      </c>
      <c r="E163" s="3" t="inlineStr">
        <is>
          <t>0384</t>
        </is>
      </c>
      <c r="F163" s="3" t="inlineStr">
        <is>
          <t>000, 004, 005, 008, 017, 021, 023, 036, 042, 050... (100 số)</t>
        </is>
      </c>
      <c r="G163" s="3" t="inlineStr">
        <is>
          <t>TRƯỢT ❌</t>
        </is>
      </c>
      <c r="H163" s="3" t="inlineStr">
        <is>
          <t>TRƯỢT ❌</t>
        </is>
      </c>
      <c r="I163" s="3" t="inlineStr">
        <is>
          <t>... (200 số)</t>
        </is>
      </c>
      <c r="J163" s="3" t="inlineStr">
        <is>
          <t>TRƯỢT ❌</t>
        </is>
      </c>
    </row>
    <row r="164">
      <c r="A164" s="2" t="n">
        <v>163</v>
      </c>
      <c r="B164" s="2" t="inlineStr">
        <is>
          <t>Thứ ba ngày 16-06-2026</t>
        </is>
      </c>
      <c r="C164" s="3" t="inlineStr">
        <is>
          <t>71203</t>
        </is>
      </c>
      <c r="D164" s="3" t="inlineStr">
        <is>
          <t>203</t>
        </is>
      </c>
      <c r="E164" s="3" t="inlineStr">
        <is>
          <t>1203</t>
        </is>
      </c>
      <c r="F164" s="3" t="inlineStr">
        <is>
          <t>000, 004, 005, 008, 011, 013, 014, 017, 021, 039... (100 số)</t>
        </is>
      </c>
      <c r="G164" s="3" t="inlineStr">
        <is>
          <t>TRƯỢT ❌</t>
        </is>
      </c>
      <c r="H164" s="3" t="inlineStr">
        <is>
          <t>TRƯỢT ❌</t>
        </is>
      </c>
      <c r="I164" s="3" t="inlineStr">
        <is>
          <t>... (200 số)</t>
        </is>
      </c>
      <c r="J164" s="3" t="inlineStr">
        <is>
          <t>TRƯỢT ❌</t>
        </is>
      </c>
    </row>
    <row r="165">
      <c r="A165" s="2" t="n">
        <v>164</v>
      </c>
      <c r="B165" s="2" t="inlineStr">
        <is>
          <t>Thứ tư ngày 17-06-2026</t>
        </is>
      </c>
      <c r="C165" s="3" t="inlineStr">
        <is>
          <t>15032</t>
        </is>
      </c>
      <c r="D165" s="3" t="inlineStr">
        <is>
          <t>032</t>
        </is>
      </c>
      <c r="E165" s="3" t="inlineStr">
        <is>
          <t>5032</t>
        </is>
      </c>
      <c r="F165" s="3" t="inlineStr">
        <is>
          <t>011, 013, 014, 017, 021, 023, 036, 039, 042, 051... (100 số)</t>
        </is>
      </c>
      <c r="G165" s="3" t="inlineStr">
        <is>
          <t>TRƯỢT ❌</t>
        </is>
      </c>
      <c r="H165" s="3" t="inlineStr">
        <is>
          <t>TRƯỢT ❌</t>
        </is>
      </c>
      <c r="I165" s="3" t="inlineStr">
        <is>
          <t>... (200 số)</t>
        </is>
      </c>
      <c r="J165" s="3" t="inlineStr">
        <is>
          <t>TRƯỢT ❌</t>
        </is>
      </c>
    </row>
    <row r="166">
      <c r="A166" s="2" t="n">
        <v>165</v>
      </c>
      <c r="B166" s="2" t="inlineStr">
        <is>
          <t>Thứ năm ngày 18-06-2026</t>
        </is>
      </c>
      <c r="C166" s="3" t="inlineStr">
        <is>
          <t>63155</t>
        </is>
      </c>
      <c r="D166" s="3" t="inlineStr">
        <is>
          <t>155</t>
        </is>
      </c>
      <c r="E166" s="3" t="inlineStr">
        <is>
          <t>3155</t>
        </is>
      </c>
      <c r="F166" s="3" t="inlineStr">
        <is>
          <t>000, 003, 004, 005, 008, 013, 023, 032, 036, 039... (100 số)</t>
        </is>
      </c>
      <c r="G166" s="3" t="inlineStr">
        <is>
          <t>TRƯỢT ❌</t>
        </is>
      </c>
      <c r="H166" s="3" t="inlineStr">
        <is>
          <t>TRƯỢT ❌</t>
        </is>
      </c>
      <c r="I166" s="3" t="inlineStr">
        <is>
          <t>... (200 số)</t>
        </is>
      </c>
      <c r="J166" s="3" t="inlineStr">
        <is>
          <t>TRƯỢT ❌</t>
        </is>
      </c>
    </row>
    <row r="167">
      <c r="A167" s="2" t="n">
        <v>166</v>
      </c>
      <c r="B167" s="2" t="inlineStr">
        <is>
          <t>Thứ sáu ngày 19-06-2026</t>
        </is>
      </c>
      <c r="C167" s="3" t="inlineStr">
        <is>
          <t>54860</t>
        </is>
      </c>
      <c r="D167" s="3" t="inlineStr">
        <is>
          <t>860</t>
        </is>
      </c>
      <c r="E167" s="3" t="inlineStr">
        <is>
          <t>4860</t>
        </is>
      </c>
      <c r="F167" s="3" t="inlineStr">
        <is>
          <t>000, 003, 004, 005, 008, 013, 014, 023, 032, 036... (100 số)</t>
        </is>
      </c>
      <c r="G167" s="3" t="inlineStr">
        <is>
          <t>TRƯỢT ❌</t>
        </is>
      </c>
      <c r="H167" s="3" t="inlineStr">
        <is>
          <t>TRƯỢT ❌</t>
        </is>
      </c>
      <c r="I167" s="3" t="inlineStr">
        <is>
          <t>... (200 số)</t>
        </is>
      </c>
      <c r="J167" s="3" t="inlineStr">
        <is>
          <t>TRƯỢT ❌</t>
        </is>
      </c>
    </row>
    <row r="168">
      <c r="A168" s="2" t="n">
        <v>167</v>
      </c>
      <c r="B168" s="2" t="inlineStr">
        <is>
          <t>Thứ bảy ngày 20-06-2026</t>
        </is>
      </c>
      <c r="C168" s="3" t="inlineStr">
        <is>
          <t>28083</t>
        </is>
      </c>
      <c r="D168" s="3" t="inlineStr">
        <is>
          <t>083</t>
        </is>
      </c>
      <c r="E168" s="3" t="inlineStr">
        <is>
          <t>8083</t>
        </is>
      </c>
      <c r="F168" s="3" t="inlineStr">
        <is>
          <t>005, 008, 017, 036, 039, 050, 051, 053, 054, 055... (100 số)</t>
        </is>
      </c>
      <c r="G168" s="3" t="inlineStr">
        <is>
          <t>TRÚNG 🎯</t>
        </is>
      </c>
      <c r="H168" s="3" t="inlineStr">
        <is>
          <t>TRÚNG 🎯</t>
        </is>
      </c>
      <c r="I168" s="3" t="inlineStr">
        <is>
          <t>... (200 số)</t>
        </is>
      </c>
      <c r="J168" s="3" t="inlineStr">
        <is>
          <t>TRƯỢT ❌</t>
        </is>
      </c>
    </row>
    <row r="169">
      <c r="A169" s="2" t="n">
        <v>168</v>
      </c>
      <c r="B169" s="2" t="inlineStr">
        <is>
          <t>Chủ nhật ngày 21-06-2026</t>
        </is>
      </c>
      <c r="C169" s="3" t="inlineStr">
        <is>
          <t>62136</t>
        </is>
      </c>
      <c r="D169" s="3" t="inlineStr">
        <is>
          <t>136</t>
        </is>
      </c>
      <c r="E169" s="3" t="inlineStr">
        <is>
          <t>2136</t>
        </is>
      </c>
      <c r="F169" s="3" t="inlineStr">
        <is>
          <t>000, 003, 004, 005, 008, 011, 013, 014, 017, 021... (100 số)</t>
        </is>
      </c>
      <c r="G169" s="3" t="inlineStr">
        <is>
          <t>TRƯỢT ❌</t>
        </is>
      </c>
      <c r="H169" s="3" t="inlineStr">
        <is>
          <t>TRƯỢT ❌</t>
        </is>
      </c>
      <c r="I169" s="3" t="inlineStr">
        <is>
          <t>... (200 số)</t>
        </is>
      </c>
      <c r="J169" s="3" t="inlineStr">
        <is>
          <t>TRƯỢT ❌</t>
        </is>
      </c>
    </row>
    <row r="170">
      <c r="A170" s="2" t="n">
        <v>169</v>
      </c>
      <c r="B170" s="2" t="inlineStr">
        <is>
          <t>Thứ hai ngày 22-06-2026</t>
        </is>
      </c>
      <c r="C170" s="3" t="inlineStr">
        <is>
          <t>50437</t>
        </is>
      </c>
      <c r="D170" s="3" t="inlineStr">
        <is>
          <t>437</t>
        </is>
      </c>
      <c r="E170" s="3" t="inlineStr">
        <is>
          <t>0437</t>
        </is>
      </c>
      <c r="F170" s="3" t="inlineStr">
        <is>
          <t>003, 004, 005, 013, 014, 017, 023, 032, 036, 042... (100 số)</t>
        </is>
      </c>
      <c r="G170" s="3" t="inlineStr">
        <is>
          <t>TRƯỢT ❌</t>
        </is>
      </c>
      <c r="H170" s="3" t="inlineStr">
        <is>
          <t>TRƯỢT ❌</t>
        </is>
      </c>
      <c r="I170" s="3" t="inlineStr">
        <is>
          <t>... (200 số)</t>
        </is>
      </c>
      <c r="J170" s="3" t="inlineStr">
        <is>
          <t>TRƯỢT ❌</t>
        </is>
      </c>
    </row>
    <row r="171">
      <c r="A171" s="2" t="n">
        <v>170</v>
      </c>
      <c r="B171" s="2" t="inlineStr">
        <is>
          <t>Thứ ba ngày 23-06-2026</t>
        </is>
      </c>
      <c r="C171" s="3" t="inlineStr">
        <is>
          <t>52751</t>
        </is>
      </c>
      <c r="D171" s="3" t="inlineStr">
        <is>
          <t>751</t>
        </is>
      </c>
      <c r="E171" s="3" t="inlineStr">
        <is>
          <t>2751</t>
        </is>
      </c>
      <c r="F171" s="3" t="inlineStr">
        <is>
          <t>003, 008, 013, 023, 032, 036, 037, 042, 043, 053... (100 số)</t>
        </is>
      </c>
      <c r="G171" s="3" t="inlineStr">
        <is>
          <t>TRƯỢT ❌</t>
        </is>
      </c>
      <c r="H171" s="3" t="inlineStr">
        <is>
          <t>TRƯỢT ❌</t>
        </is>
      </c>
      <c r="I171" s="3" t="inlineStr">
        <is>
          <t>... (200 số)</t>
        </is>
      </c>
      <c r="J171" s="3" t="inlineStr">
        <is>
          <t>TRƯỢT ❌</t>
        </is>
      </c>
    </row>
    <row r="172">
      <c r="A172" s="2" t="n">
        <v>171</v>
      </c>
      <c r="B172" s="2" t="inlineStr">
        <is>
          <t>Thứ tư ngày 24-06-2026</t>
        </is>
      </c>
      <c r="C172" s="3" t="inlineStr">
        <is>
          <t>01816</t>
        </is>
      </c>
      <c r="D172" s="3" t="inlineStr">
        <is>
          <t>816</t>
        </is>
      </c>
      <c r="E172" s="3" t="inlineStr">
        <is>
          <t>1816</t>
        </is>
      </c>
      <c r="F172" s="3" t="inlineStr">
        <is>
          <t>004, 005, 008, 011, 013, 014, 023, 032, 036, 042... (100 số)</t>
        </is>
      </c>
      <c r="G172" s="3" t="inlineStr">
        <is>
          <t>TRƯỢT ❌</t>
        </is>
      </c>
      <c r="H172" s="3" t="inlineStr">
        <is>
          <t>TRƯỢT ❌</t>
        </is>
      </c>
      <c r="I172" s="3" t="inlineStr">
        <is>
          <t>... (200 số)</t>
        </is>
      </c>
      <c r="J172" s="3" t="inlineStr">
        <is>
          <t>TRƯỢT ❌</t>
        </is>
      </c>
    </row>
    <row r="173">
      <c r="A173" s="2" t="n">
        <v>172</v>
      </c>
      <c r="B173" s="2" t="inlineStr">
        <is>
          <t>Thứ năm ngày 25-06-2026</t>
        </is>
      </c>
      <c r="C173" s="3" t="inlineStr">
        <is>
          <t>54804</t>
        </is>
      </c>
      <c r="D173" s="3" t="inlineStr">
        <is>
          <t>804</t>
        </is>
      </c>
      <c r="E173" s="3" t="inlineStr">
        <is>
          <t>4804</t>
        </is>
      </c>
      <c r="F173" s="3" t="inlineStr">
        <is>
          <t>000, 003, 004, 005, 008, 013, 016, 023, 032, 036... (100 số)</t>
        </is>
      </c>
      <c r="G173" s="3" t="inlineStr">
        <is>
          <t>TRƯỢT ❌</t>
        </is>
      </c>
      <c r="H173" s="3" t="inlineStr">
        <is>
          <t>TRƯỢT ❌</t>
        </is>
      </c>
      <c r="I173" s="3" t="inlineStr">
        <is>
          <t>... (200 số)</t>
        </is>
      </c>
      <c r="J173" s="3" t="inlineStr">
        <is>
          <t>TRƯỢT ❌</t>
        </is>
      </c>
    </row>
    <row r="174">
      <c r="A174" s="2" t="n">
        <v>173</v>
      </c>
      <c r="B174" s="2" t="inlineStr">
        <is>
          <t>Thứ sáu ngày 26-06-2026</t>
        </is>
      </c>
      <c r="C174" s="3" t="inlineStr">
        <is>
          <t>09253</t>
        </is>
      </c>
      <c r="D174" s="3" t="inlineStr">
        <is>
          <t>253</t>
        </is>
      </c>
      <c r="E174" s="3" t="inlineStr">
        <is>
          <t>9253</t>
        </is>
      </c>
      <c r="F174" s="3" t="inlineStr">
        <is>
          <t>000, 003, 004, 005, 008, 014, 023, 032, 036, 037... (100 số)</t>
        </is>
      </c>
      <c r="G174" s="3" t="inlineStr">
        <is>
          <t>TRÚNG 🎯</t>
        </is>
      </c>
      <c r="H174" s="3" t="inlineStr">
        <is>
          <t>TRÚNG 🎯</t>
        </is>
      </c>
      <c r="I174" s="3" t="inlineStr">
        <is>
          <t>... (200 số)</t>
        </is>
      </c>
      <c r="J174" s="3" t="inlineStr">
        <is>
          <t>TRƯỢT ❌</t>
        </is>
      </c>
    </row>
    <row r="175">
      <c r="A175" s="2" t="n">
        <v>174</v>
      </c>
      <c r="B175" s="2" t="inlineStr">
        <is>
          <t>Thứ bảy ngày 27-06-2026</t>
        </is>
      </c>
      <c r="C175" s="3" t="inlineStr">
        <is>
          <t>12452</t>
        </is>
      </c>
      <c r="D175" s="3" t="inlineStr">
        <is>
          <t>452</t>
        </is>
      </c>
      <c r="E175" s="3" t="inlineStr">
        <is>
          <t>2452</t>
        </is>
      </c>
      <c r="F175" s="3" t="inlineStr">
        <is>
          <t>004, 005, 008, 014, 016, 036, 042, 043, 051, 053... (100 số)</t>
        </is>
      </c>
      <c r="G175" s="3" t="inlineStr">
        <is>
          <t>TRƯỢT ❌</t>
        </is>
      </c>
      <c r="H175" s="3" t="inlineStr">
        <is>
          <t>TRƯỢT ❌</t>
        </is>
      </c>
      <c r="I175" s="3" t="inlineStr">
        <is>
          <t>... (200 số)</t>
        </is>
      </c>
      <c r="J175" s="3" t="inlineStr">
        <is>
          <t>TRƯỢT ❌</t>
        </is>
      </c>
    </row>
    <row r="176">
      <c r="A176" s="2" t="n">
        <v>175</v>
      </c>
      <c r="B176" s="2" t="inlineStr">
        <is>
          <t>Chủ nhật ngày 28-06-2026</t>
        </is>
      </c>
      <c r="C176" s="3" t="inlineStr">
        <is>
          <t>37642</t>
        </is>
      </c>
      <c r="D176" s="3" t="inlineStr">
        <is>
          <t>642</t>
        </is>
      </c>
      <c r="E176" s="3" t="inlineStr">
        <is>
          <t>7642</t>
        </is>
      </c>
      <c r="F176" s="3" t="inlineStr">
        <is>
          <t>003, 004, 005, 008, 014, 016, 023, 032, 036, 037... (100 số)</t>
        </is>
      </c>
      <c r="G176" s="3" t="inlineStr">
        <is>
          <t>TRƯỢT ❌</t>
        </is>
      </c>
      <c r="H176" s="3" t="inlineStr">
        <is>
          <t>TRƯỢT ❌</t>
        </is>
      </c>
      <c r="I176" s="3" t="inlineStr">
        <is>
          <t>... (200 số)</t>
        </is>
      </c>
      <c r="J176" s="3" t="inlineStr">
        <is>
          <t>TRƯỢT ❌</t>
        </is>
      </c>
    </row>
    <row r="177">
      <c r="A177" s="2" t="n">
        <v>176</v>
      </c>
      <c r="B177" s="2" t="inlineStr">
        <is>
          <t>Thứ hai ngày 29-06-2026</t>
        </is>
      </c>
      <c r="C177" s="3" t="inlineStr">
        <is>
          <t>60468</t>
        </is>
      </c>
      <c r="D177" s="3" t="inlineStr">
        <is>
          <t>468</t>
        </is>
      </c>
      <c r="E177" s="3" t="inlineStr">
        <is>
          <t>0468</t>
        </is>
      </c>
      <c r="F177" s="3" t="inlineStr">
        <is>
          <t>000, 003, 004, 005, 008, 014, 023, 032, 036, 037... (100 số)</t>
        </is>
      </c>
      <c r="G177" s="3" t="inlineStr">
        <is>
          <t>TRƯỢT ❌</t>
        </is>
      </c>
      <c r="H177" s="3" t="inlineStr">
        <is>
          <t>TRƯỢT ❌</t>
        </is>
      </c>
      <c r="I177" s="3" t="inlineStr">
        <is>
          <t>... (200 số)</t>
        </is>
      </c>
      <c r="J177" s="3" t="inlineStr">
        <is>
          <t>TRƯỢT ❌</t>
        </is>
      </c>
    </row>
    <row r="178">
      <c r="A178" s="2" t="n">
        <v>177</v>
      </c>
      <c r="B178" s="2" t="inlineStr">
        <is>
          <t>Thứ ba ngày 30-06-2026</t>
        </is>
      </c>
      <c r="C178" s="3" t="inlineStr">
        <is>
          <t>31854</t>
        </is>
      </c>
      <c r="D178" s="3" t="inlineStr">
        <is>
          <t>854</t>
        </is>
      </c>
      <c r="E178" s="3" t="inlineStr">
        <is>
          <t>1854</t>
        </is>
      </c>
      <c r="F178" s="3" t="inlineStr">
        <is>
          <t>000, 003, 004, 005, 008, 014, 016, 023, 032, 036... (100 số)</t>
        </is>
      </c>
      <c r="G178" s="3" t="inlineStr">
        <is>
          <t>TRƯỢT ❌</t>
        </is>
      </c>
      <c r="H178" s="3" t="inlineStr">
        <is>
          <t>TRƯỢT ❌</t>
        </is>
      </c>
      <c r="I178" s="3" t="inlineStr">
        <is>
          <t>... (200 số)</t>
        </is>
      </c>
      <c r="J178" s="3" t="inlineStr">
        <is>
          <t>TRƯỢT ❌</t>
        </is>
      </c>
    </row>
    <row r="179">
      <c r="A179" s="2" t="n">
        <v>178</v>
      </c>
      <c r="B179" s="2" t="inlineStr">
        <is>
          <t>Thứ tư ngày 01-07-2026</t>
        </is>
      </c>
      <c r="C179" s="3" t="inlineStr">
        <is>
          <t>51139</t>
        </is>
      </c>
      <c r="D179" s="3" t="inlineStr">
        <is>
          <t>139</t>
        </is>
      </c>
      <c r="E179" s="3" t="inlineStr">
        <is>
          <t>1139</t>
        </is>
      </c>
      <c r="F179" s="3" t="inlineStr">
        <is>
          <t>000, 003, 004, 005, 008, 014, 016, 023, 032, 036... (100 số)</t>
        </is>
      </c>
      <c r="G179" s="3" t="inlineStr">
        <is>
          <t>TRƯỢT ❌</t>
        </is>
      </c>
      <c r="H179" s="3" t="inlineStr">
        <is>
          <t>TRƯỢT ❌</t>
        </is>
      </c>
      <c r="I179" s="3" t="inlineStr">
        <is>
          <t>... (200 số)</t>
        </is>
      </c>
      <c r="J179" s="3" t="inlineStr">
        <is>
          <t>TRƯỢT ❌</t>
        </is>
      </c>
    </row>
    <row r="180">
      <c r="A180" s="2" t="n">
        <v>179</v>
      </c>
      <c r="B180" s="2" t="inlineStr">
        <is>
          <t>Thứ năm ngày 02-07-2026</t>
        </is>
      </c>
      <c r="C180" s="3" t="inlineStr">
        <is>
          <t>18165</t>
        </is>
      </c>
      <c r="D180" s="3" t="inlineStr">
        <is>
          <t>165</t>
        </is>
      </c>
      <c r="E180" s="3" t="inlineStr">
        <is>
          <t>8165</t>
        </is>
      </c>
      <c r="F180" s="3" t="inlineStr">
        <is>
          <t>000, 003, 004, 005, 008, 023, 032, 036, 037, 039... (100 số)</t>
        </is>
      </c>
      <c r="G180" s="3" t="inlineStr">
        <is>
          <t>TRƯỢT ❌</t>
        </is>
      </c>
      <c r="H180" s="3" t="inlineStr">
        <is>
          <t>TRƯỢT ❌</t>
        </is>
      </c>
      <c r="I180" s="3" t="inlineStr">
        <is>
          <t>... (200 số)</t>
        </is>
      </c>
      <c r="J180" s="3" t="inlineStr">
        <is>
          <t>TRƯỢT ❌</t>
        </is>
      </c>
    </row>
    <row r="181">
      <c r="A181" s="2" t="n">
        <v>180</v>
      </c>
      <c r="B181" s="2" t="inlineStr">
        <is>
          <t>Thứ sáu ngày 03-07-2026</t>
        </is>
      </c>
      <c r="C181" s="3" t="inlineStr">
        <is>
          <t>14887</t>
        </is>
      </c>
      <c r="D181" s="3" t="inlineStr">
        <is>
          <t>887</t>
        </is>
      </c>
      <c r="E181" s="3" t="inlineStr">
        <is>
          <t>4887</t>
        </is>
      </c>
      <c r="F181" s="3" t="inlineStr">
        <is>
          <t>000, 003, 004, 005, 008, 014, 016, 023, 032, 036... (100 số)</t>
        </is>
      </c>
      <c r="G181" s="3" t="inlineStr">
        <is>
          <t>TRƯỢT ❌</t>
        </is>
      </c>
      <c r="H181" s="3" t="inlineStr">
        <is>
          <t>TRƯỢT ❌</t>
        </is>
      </c>
      <c r="I181" s="3" t="inlineStr">
        <is>
          <t>... (200 số)</t>
        </is>
      </c>
      <c r="J181" s="3" t="inlineStr">
        <is>
          <t>TRƯỢT ❌</t>
        </is>
      </c>
    </row>
    <row r="182">
      <c r="A182" s="2" t="n">
        <v>181</v>
      </c>
      <c r="B182" s="2" t="inlineStr">
        <is>
          <t>Thứ bảy ngày 04-07-2026</t>
        </is>
      </c>
      <c r="C182" s="3" t="inlineStr">
        <is>
          <t>66771</t>
        </is>
      </c>
      <c r="D182" s="3" t="inlineStr">
        <is>
          <t>771</t>
        </is>
      </c>
      <c r="E182" s="3" t="inlineStr">
        <is>
          <t>6771</t>
        </is>
      </c>
      <c r="F182" s="3" t="inlineStr">
        <is>
          <t>003, 004, 005, 008, 014, 016, 023, 032, 036, 037... (100 số)</t>
        </is>
      </c>
      <c r="G182" s="3" t="inlineStr">
        <is>
          <t>TRƯỢT ❌</t>
        </is>
      </c>
      <c r="H182" s="3" t="inlineStr">
        <is>
          <t>TRƯỢT ❌</t>
        </is>
      </c>
      <c r="I182" s="3" t="inlineStr">
        <is>
          <t>... (200 số)</t>
        </is>
      </c>
      <c r="J182" s="3" t="inlineStr">
        <is>
          <t>TRƯỢT ❌</t>
        </is>
      </c>
    </row>
    <row r="183">
      <c r="A183" s="2" t="n">
        <v>182</v>
      </c>
      <c r="B183" s="2" t="inlineStr">
        <is>
          <t>Chủ nhật ngày 05-07-2026</t>
        </is>
      </c>
      <c r="C183" s="3" t="inlineStr">
        <is>
          <t>43497</t>
        </is>
      </c>
      <c r="D183" s="3" t="inlineStr">
        <is>
          <t>497</t>
        </is>
      </c>
      <c r="E183" s="3" t="inlineStr">
        <is>
          <t>3497</t>
        </is>
      </c>
      <c r="F183" s="3" t="inlineStr">
        <is>
          <t>000, 003, 004, 005, 008, 016, 023, 032, 036, 037... (100 số)</t>
        </is>
      </c>
      <c r="G183" s="3" t="inlineStr">
        <is>
          <t>TRƯỢT ❌</t>
        </is>
      </c>
      <c r="H183" s="3" t="inlineStr">
        <is>
          <t>TRƯỢT ❌</t>
        </is>
      </c>
      <c r="I183" s="3" t="inlineStr">
        <is>
          <t>... (200 số)</t>
        </is>
      </c>
      <c r="J183" s="3" t="inlineStr">
        <is>
          <t>TRƯỢT ❌</t>
        </is>
      </c>
    </row>
    <row r="184">
      <c r="A184" s="2" t="n">
        <v>183</v>
      </c>
      <c r="B184" s="2" t="inlineStr">
        <is>
          <t>Thứ hai ngày 06-07-2026</t>
        </is>
      </c>
      <c r="C184" s="3" t="inlineStr">
        <is>
          <t>92579</t>
        </is>
      </c>
      <c r="D184" s="3" t="inlineStr">
        <is>
          <t>579</t>
        </is>
      </c>
      <c r="E184" s="3" t="inlineStr">
        <is>
          <t>2579</t>
        </is>
      </c>
      <c r="F184" s="3" t="inlineStr">
        <is>
          <t>000, 003, 004, 005, 008, 023, 032, 036, 037, 039... (100 số)</t>
        </is>
      </c>
      <c r="G184" s="3" t="inlineStr">
        <is>
          <t>TRƯỢT ❌</t>
        </is>
      </c>
      <c r="H184" s="3" t="inlineStr">
        <is>
          <t>TRƯỢT ❌</t>
        </is>
      </c>
      <c r="I184" s="3" t="inlineStr">
        <is>
          <t>... (200 số)</t>
        </is>
      </c>
      <c r="J184" s="3" t="inlineStr">
        <is>
          <t>TRƯỢT ❌</t>
        </is>
      </c>
    </row>
    <row r="185">
      <c r="A185" s="2" t="n">
        <v>184</v>
      </c>
      <c r="B185" s="2" t="inlineStr">
        <is>
          <t>Thứ ba ngày 07-07-2026</t>
        </is>
      </c>
      <c r="C185" s="3" t="inlineStr">
        <is>
          <t>95089</t>
        </is>
      </c>
      <c r="D185" s="3" t="inlineStr">
        <is>
          <t>089</t>
        </is>
      </c>
      <c r="E185" s="3" t="inlineStr">
        <is>
          <t>5089</t>
        </is>
      </c>
      <c r="F185" s="3" t="inlineStr">
        <is>
          <t>000, 003, 004, 005, 008, 014, 016, 023, 032, 036... (100 số)</t>
        </is>
      </c>
      <c r="G185" s="3" t="inlineStr">
        <is>
          <t>TRƯỢT ❌</t>
        </is>
      </c>
      <c r="H185" s="3" t="inlineStr">
        <is>
          <t>TRƯỢT ❌</t>
        </is>
      </c>
      <c r="I185" s="3" t="inlineStr">
        <is>
          <t>... (200 số)</t>
        </is>
      </c>
      <c r="J185" s="3" t="inlineStr">
        <is>
          <t>TRƯỢT ❌</t>
        </is>
      </c>
    </row>
    <row r="186">
      <c r="A186" s="2" t="n">
        <v>185</v>
      </c>
      <c r="B186" s="2" t="inlineStr">
        <is>
          <t>Thứ tư ngày 08-07-2026</t>
        </is>
      </c>
      <c r="C186" s="3" t="inlineStr">
        <is>
          <t>69185</t>
        </is>
      </c>
      <c r="D186" s="3" t="inlineStr">
        <is>
          <t>185</t>
        </is>
      </c>
      <c r="E186" s="3" t="inlineStr">
        <is>
          <t>9185</t>
        </is>
      </c>
      <c r="F186" s="3" t="inlineStr">
        <is>
          <t>000, 003, 004, 008, 014, 016, 023, 032, 039, 042... (100 số)</t>
        </is>
      </c>
      <c r="G186" s="3" t="inlineStr">
        <is>
          <t>TRƯỢT ❌</t>
        </is>
      </c>
      <c r="H186" s="3" t="inlineStr">
        <is>
          <t>TRƯỢT ❌</t>
        </is>
      </c>
      <c r="I186" s="3" t="inlineStr">
        <is>
          <t>... (200 số)</t>
        </is>
      </c>
      <c r="J186" s="3" t="inlineStr">
        <is>
          <t>TRƯỢT ❌</t>
        </is>
      </c>
    </row>
    <row r="187">
      <c r="A187" s="2" t="n">
        <v>186</v>
      </c>
      <c r="B187" s="2" t="inlineStr">
        <is>
          <t>Thứ năm ngày 09-07-2026</t>
        </is>
      </c>
      <c r="C187" s="3" t="inlineStr">
        <is>
          <t>72767</t>
        </is>
      </c>
      <c r="D187" s="3" t="inlineStr">
        <is>
          <t>767</t>
        </is>
      </c>
      <c r="E187" s="3" t="inlineStr">
        <is>
          <t>2767</t>
        </is>
      </c>
      <c r="F187" s="3" t="inlineStr">
        <is>
          <t>000, 003, 004, 008, 014, 032, 036, 037, 039, 042... (100 số)</t>
        </is>
      </c>
      <c r="G187" s="3" t="inlineStr">
        <is>
          <t>TRƯỢT ❌</t>
        </is>
      </c>
      <c r="H187" s="3" t="inlineStr">
        <is>
          <t>TRƯỢT ❌</t>
        </is>
      </c>
      <c r="I187" s="3" t="inlineStr">
        <is>
          <t>... (200 số)</t>
        </is>
      </c>
      <c r="J187" s="3" t="inlineStr">
        <is>
          <t>TRƯỢT ❌</t>
        </is>
      </c>
    </row>
    <row r="188">
      <c r="A188" s="2" t="n">
        <v>187</v>
      </c>
      <c r="B188" s="2" t="inlineStr">
        <is>
          <t>Thứ sáu ngày 10-07-2026</t>
        </is>
      </c>
      <c r="C188" s="3" t="inlineStr">
        <is>
          <t>09401</t>
        </is>
      </c>
      <c r="D188" s="3" t="inlineStr">
        <is>
          <t>401</t>
        </is>
      </c>
      <c r="E188" s="3" t="inlineStr">
        <is>
          <t>9401</t>
        </is>
      </c>
      <c r="F188" s="3" t="inlineStr">
        <is>
          <t>000, 003, 004, 014, 016, 032, 036, 037, 039, 042... (100 số)</t>
        </is>
      </c>
      <c r="G188" s="3" t="inlineStr">
        <is>
          <t>TRƯỢT ❌</t>
        </is>
      </c>
      <c r="H188" s="3" t="inlineStr">
        <is>
          <t>TRƯỢT ❌</t>
        </is>
      </c>
      <c r="I188" s="3" t="inlineStr">
        <is>
          <t>... (200 số)</t>
        </is>
      </c>
      <c r="J188" s="3" t="inlineStr">
        <is>
          <t>TRƯỢT ❌</t>
        </is>
      </c>
    </row>
    <row r="189">
      <c r="A189" s="2" t="n">
        <v>188</v>
      </c>
      <c r="B189" s="2" t="inlineStr">
        <is>
          <t>Thứ bảy ngày 11-07-2026</t>
        </is>
      </c>
      <c r="C189" s="3" t="inlineStr">
        <is>
          <t>10494</t>
        </is>
      </c>
      <c r="D189" s="3" t="inlineStr">
        <is>
          <t>494</t>
        </is>
      </c>
      <c r="E189" s="3" t="inlineStr">
        <is>
          <t>0494</t>
        </is>
      </c>
      <c r="F189" s="3" t="inlineStr">
        <is>
          <t>000, 001, 003, 004, 016, 032, 036, 037, 039, 042... (100 số)</t>
        </is>
      </c>
      <c r="G189" s="3" t="inlineStr">
        <is>
          <t>TRƯỢT ❌</t>
        </is>
      </c>
      <c r="H189" s="3" t="inlineStr">
        <is>
          <t>TRƯỢT ❌</t>
        </is>
      </c>
      <c r="I189" s="3" t="inlineStr">
        <is>
          <t>... (200 số)</t>
        </is>
      </c>
      <c r="J189" s="3" t="inlineStr">
        <is>
          <t>TRƯỢT ❌</t>
        </is>
      </c>
    </row>
    <row r="190">
      <c r="A190" s="2" t="n">
        <v>189</v>
      </c>
      <c r="B190" s="2" t="inlineStr">
        <is>
          <t>Chủ nhật ngày 12-07-2026</t>
        </is>
      </c>
      <c r="C190" s="3" t="inlineStr">
        <is>
          <t>74299</t>
        </is>
      </c>
      <c r="D190" s="3" t="inlineStr">
        <is>
          <t>299</t>
        </is>
      </c>
      <c r="E190" s="3" t="inlineStr">
        <is>
          <t>4299</t>
        </is>
      </c>
      <c r="F190" s="3" t="inlineStr">
        <is>
          <t>000, 004, 014, 032, 036, 037, 039, 042, 051, 053... (100 số)</t>
        </is>
      </c>
      <c r="G190" s="3" t="inlineStr">
        <is>
          <t>TRƯỢT ❌</t>
        </is>
      </c>
      <c r="H190" s="3" t="inlineStr">
        <is>
          <t>TRƯỢT ❌</t>
        </is>
      </c>
      <c r="I190" s="3" t="inlineStr">
        <is>
          <t>... (200 số)</t>
        </is>
      </c>
      <c r="J190" s="3" t="inlineStr">
        <is>
          <t>TRƯỢT ❌</t>
        </is>
      </c>
    </row>
    <row r="191">
      <c r="A191" s="2" t="n">
        <v>190</v>
      </c>
      <c r="B191" s="2" t="inlineStr">
        <is>
          <t>Thứ hai ngày 13-07-2026</t>
        </is>
      </c>
      <c r="C191" s="3" t="inlineStr">
        <is>
          <t>59147</t>
        </is>
      </c>
      <c r="D191" s="3" t="inlineStr">
        <is>
          <t>147</t>
        </is>
      </c>
      <c r="E191" s="3" t="inlineStr">
        <is>
          <t>9147</t>
        </is>
      </c>
      <c r="F191" s="3" t="inlineStr">
        <is>
          <t>000, 001, 003, 004, 016, 036, 037, 039, 051, 052... (100 số)</t>
        </is>
      </c>
      <c r="G191" s="3" t="inlineStr">
        <is>
          <t>TRƯỢT ❌</t>
        </is>
      </c>
      <c r="H191" s="3" t="inlineStr">
        <is>
          <t>TRƯỢT ❌</t>
        </is>
      </c>
      <c r="I191" s="3" t="inlineStr">
        <is>
          <t>... (200 số)</t>
        </is>
      </c>
      <c r="J191" s="3" t="inlineStr">
        <is>
          <t>TRƯỢT ❌</t>
        </is>
      </c>
    </row>
    <row r="192">
      <c r="A192" s="2" t="n">
        <v>191</v>
      </c>
      <c r="B192" s="2" t="inlineStr">
        <is>
          <t>Thứ ba ngày 14-07-2026</t>
        </is>
      </c>
      <c r="C192" s="3" t="inlineStr">
        <is>
          <t>36119</t>
        </is>
      </c>
      <c r="D192" s="3" t="inlineStr">
        <is>
          <t>119</t>
        </is>
      </c>
      <c r="E192" s="3" t="inlineStr">
        <is>
          <t>6119</t>
        </is>
      </c>
      <c r="F192" s="3" t="inlineStr">
        <is>
          <t>001, 003, 004, 032, 036, 037, 039, 047, 051, 053... (100 số)</t>
        </is>
      </c>
      <c r="G192" s="3" t="inlineStr">
        <is>
          <t>TRƯỢT ❌</t>
        </is>
      </c>
      <c r="H192" s="3" t="inlineStr">
        <is>
          <t>TRƯỢT ❌</t>
        </is>
      </c>
      <c r="I192" s="3" t="inlineStr">
        <is>
          <t>... (200 số)</t>
        </is>
      </c>
      <c r="J192" s="3" t="inlineStr">
        <is>
          <t>TRƯỢT ❌</t>
        </is>
      </c>
    </row>
    <row r="193">
      <c r="A193" s="2" t="n">
        <v>192</v>
      </c>
      <c r="B193" s="2" t="inlineStr">
        <is>
          <t>Thứ tư ngày 15-07-2026</t>
        </is>
      </c>
      <c r="C193" s="3" t="inlineStr">
        <is>
          <t>96763</t>
        </is>
      </c>
      <c r="D193" s="3" t="inlineStr">
        <is>
          <t>763</t>
        </is>
      </c>
      <c r="E193" s="3" t="inlineStr">
        <is>
          <t>6763</t>
        </is>
      </c>
      <c r="F193" s="3" t="inlineStr">
        <is>
          <t>001, 003, 004, 019, 032, 036, 037, 039, 042, 047... (100 số)</t>
        </is>
      </c>
      <c r="G193" s="3" t="inlineStr">
        <is>
          <t>TRƯỢT ❌</t>
        </is>
      </c>
      <c r="H193" s="3" t="inlineStr">
        <is>
          <t>TRƯỢT ❌</t>
        </is>
      </c>
      <c r="I193" s="3" t="inlineStr">
        <is>
          <t>... (200 số)</t>
        </is>
      </c>
      <c r="J193" s="3" t="inlineStr">
        <is>
          <t>TRƯỢT ❌</t>
        </is>
      </c>
    </row>
    <row r="194">
      <c r="A194" s="2" t="n">
        <v>193</v>
      </c>
      <c r="B194" s="2" t="inlineStr">
        <is>
          <t>Thứ năm ngày 16-07-2026</t>
        </is>
      </c>
      <c r="C194" s="3" t="inlineStr">
        <is>
          <t>45739</t>
        </is>
      </c>
      <c r="D194" s="3" t="inlineStr">
        <is>
          <t>739</t>
        </is>
      </c>
      <c r="E194" s="3" t="inlineStr">
        <is>
          <t>5739</t>
        </is>
      </c>
      <c r="F194" s="3" t="inlineStr">
        <is>
          <t>001, 003, 004, 016, 019, 036, 039, 042, 047, 051... (100 số)</t>
        </is>
      </c>
      <c r="G194" s="3" t="inlineStr">
        <is>
          <t>TRÚNG 🎯</t>
        </is>
      </c>
      <c r="H194" s="3" t="inlineStr">
        <is>
          <t>TRÚNG 🎯</t>
        </is>
      </c>
      <c r="I194" s="3" t="inlineStr">
        <is>
          <t>... (200 số)</t>
        </is>
      </c>
      <c r="J194" s="3" t="inlineStr">
        <is>
          <t>TRƯỢT ❌</t>
        </is>
      </c>
    </row>
    <row r="195">
      <c r="A195" s="2" t="n">
        <v>194</v>
      </c>
      <c r="B195" s="2" t="inlineStr">
        <is>
          <t>Thứ sáu ngày 17-07-2026</t>
        </is>
      </c>
      <c r="C195" s="3" t="inlineStr">
        <is>
          <t>26890</t>
        </is>
      </c>
      <c r="D195" s="3" t="inlineStr">
        <is>
          <t>890</t>
        </is>
      </c>
      <c r="E195" s="3" t="inlineStr">
        <is>
          <t>6890</t>
        </is>
      </c>
      <c r="F195" s="3" t="inlineStr">
        <is>
          <t>001, 004, 016, 019, 032, 036, 037, 039, 042, 047... (100 số)</t>
        </is>
      </c>
      <c r="G195" s="3" t="inlineStr">
        <is>
          <t>TRƯỢT ❌</t>
        </is>
      </c>
      <c r="H195" s="3" t="inlineStr">
        <is>
          <t>TRƯỢT ❌</t>
        </is>
      </c>
      <c r="I195" s="3" t="inlineStr">
        <is>
          <t>... (200 số)</t>
        </is>
      </c>
      <c r="J195" s="3" t="inlineStr">
        <is>
          <t>TRƯỢT ❌</t>
        </is>
      </c>
    </row>
    <row r="196">
      <c r="A196" s="2" t="n">
        <v>195</v>
      </c>
      <c r="B196" s="2" t="inlineStr">
        <is>
          <t>Thứ bảy ngày 18-07-2026</t>
        </is>
      </c>
      <c r="C196" s="3" t="inlineStr">
        <is>
          <t>46438</t>
        </is>
      </c>
      <c r="D196" s="3" t="inlineStr">
        <is>
          <t>438</t>
        </is>
      </c>
      <c r="E196" s="3" t="inlineStr">
        <is>
          <t>6438</t>
        </is>
      </c>
      <c r="F196" s="3" t="inlineStr">
        <is>
          <t>001, 004, 016, 019, 036, 039, 051, 054, 060, 063... (100 số)</t>
        </is>
      </c>
      <c r="G196" s="3" t="inlineStr">
        <is>
          <t>TRƯỢT ❌</t>
        </is>
      </c>
      <c r="H196" s="3" t="inlineStr">
        <is>
          <t>TRƯỢT ❌</t>
        </is>
      </c>
      <c r="I196" s="3" t="inlineStr">
        <is>
          <t>... (200 số)</t>
        </is>
      </c>
      <c r="J196" s="3" t="inlineStr">
        <is>
          <t>TRƯỢT ❌</t>
        </is>
      </c>
    </row>
    <row r="197">
      <c r="A197" s="2" t="n">
        <v>196</v>
      </c>
      <c r="B197" s="2" t="inlineStr">
        <is>
          <t>Chủ nhật ngày 19-07-2026</t>
        </is>
      </c>
      <c r="C197" s="3" t="inlineStr">
        <is>
          <t>39128</t>
        </is>
      </c>
      <c r="D197" s="3" t="inlineStr">
        <is>
          <t>128</t>
        </is>
      </c>
      <c r="E197" s="3" t="inlineStr">
        <is>
          <t>9128</t>
        </is>
      </c>
      <c r="F197" s="3" t="inlineStr">
        <is>
          <t>001, 016, 019, 036, 037, 038, 039, 042, 047, 051... (100 số)</t>
        </is>
      </c>
      <c r="G197" s="3" t="inlineStr">
        <is>
          <t>TRƯỢT ❌</t>
        </is>
      </c>
      <c r="H197" s="3" t="inlineStr">
        <is>
          <t>TRƯỢT ❌</t>
        </is>
      </c>
      <c r="I197" s="3" t="inlineStr">
        <is>
          <t>... (200 số)</t>
        </is>
      </c>
      <c r="J197" s="3" t="inlineStr">
        <is>
          <t>TRƯỢT ❌</t>
        </is>
      </c>
    </row>
    <row r="198">
      <c r="A198" s="2" t="n">
        <v>197</v>
      </c>
      <c r="B198" s="2" t="inlineStr">
        <is>
          <t>Thứ hai ngày 20-07-2026</t>
        </is>
      </c>
      <c r="C198" s="3" t="inlineStr">
        <is>
          <t>73070</t>
        </is>
      </c>
      <c r="D198" s="3" t="inlineStr">
        <is>
          <t>070</t>
        </is>
      </c>
      <c r="E198" s="3" t="inlineStr">
        <is>
          <t>3070</t>
        </is>
      </c>
      <c r="F198" s="3" t="inlineStr">
        <is>
          <t>001, 004, 016, 019, 028, 036, 037, 038, 039, 042... (100 số)</t>
        </is>
      </c>
      <c r="G198" s="3" t="inlineStr">
        <is>
          <t>TRƯỢT ❌</t>
        </is>
      </c>
      <c r="H198" s="3" t="inlineStr">
        <is>
          <t>TRƯỢT ❌</t>
        </is>
      </c>
      <c r="I198" s="3" t="inlineStr">
        <is>
          <t>... (200 số)</t>
        </is>
      </c>
      <c r="J198" s="3" t="inlineStr">
        <is>
          <t>TRƯỢT ❌</t>
        </is>
      </c>
    </row>
    <row r="199">
      <c r="A199" s="2" t="n">
        <v>198</v>
      </c>
      <c r="B199" s="2" t="inlineStr">
        <is>
          <t>Thứ ba ngày 21-07-2026</t>
        </is>
      </c>
      <c r="C199" s="3" t="inlineStr">
        <is>
          <t>92154</t>
        </is>
      </c>
      <c r="D199" s="3" t="inlineStr">
        <is>
          <t>154</t>
        </is>
      </c>
      <c r="E199" s="3" t="inlineStr">
        <is>
          <t>2154</t>
        </is>
      </c>
      <c r="F199" s="3" t="inlineStr">
        <is>
          <t>001, 004, 019, 028, 036, 037, 038, 039, 042, 047... (100 số)</t>
        </is>
      </c>
      <c r="G199" s="3" t="inlineStr">
        <is>
          <t>TRƯỢT ❌</t>
        </is>
      </c>
      <c r="H199" s="3" t="inlineStr">
        <is>
          <t>TRƯỢT ❌</t>
        </is>
      </c>
      <c r="I199" s="3" t="inlineStr">
        <is>
          <t>... (200 số)</t>
        </is>
      </c>
      <c r="J199" s="3" t="inlineStr">
        <is>
          <t>TRƯỢT ❌</t>
        </is>
      </c>
    </row>
    <row r="200">
      <c r="A200" s="2" t="n">
        <v>199</v>
      </c>
      <c r="B200" s="2" t="inlineStr">
        <is>
          <t>Thứ tư ngày 22-07-2026</t>
        </is>
      </c>
      <c r="C200" s="3" t="inlineStr">
        <is>
          <t>78754</t>
        </is>
      </c>
      <c r="D200" s="3" t="inlineStr">
        <is>
          <t>754</t>
        </is>
      </c>
      <c r="E200" s="3" t="inlineStr">
        <is>
          <t>8754</t>
        </is>
      </c>
      <c r="F200" s="3" t="inlineStr">
        <is>
          <t>001, 004, 016, 019, 028, 039, 042, 047, 051, 052... (100 số)</t>
        </is>
      </c>
      <c r="G200" s="3" t="inlineStr">
        <is>
          <t>TRÚNG 🎯</t>
        </is>
      </c>
      <c r="H200" s="3" t="inlineStr">
        <is>
          <t>TRÚNG 🎯</t>
        </is>
      </c>
      <c r="I200" s="3" t="inlineStr">
        <is>
          <t>... (200 số)</t>
        </is>
      </c>
      <c r="J200" s="3" t="inlineStr">
        <is>
          <t>TRƯỢT ❌</t>
        </is>
      </c>
    </row>
    <row r="201">
      <c r="A201" s="2" t="n">
        <v>200</v>
      </c>
      <c r="B201" s="2" t="inlineStr">
        <is>
          <t>Thứ năm ngày 23-07-2026</t>
        </is>
      </c>
      <c r="C201" s="3" t="inlineStr">
        <is>
          <t>94738</t>
        </is>
      </c>
      <c r="D201" s="3" t="inlineStr">
        <is>
          <t>738</t>
        </is>
      </c>
      <c r="E201" s="3" t="inlineStr">
        <is>
          <t>4738</t>
        </is>
      </c>
      <c r="F201" s="3" t="inlineStr">
        <is>
          <t>016, 019, 036, 038, 039, 047, 051, 052, 053, 054... (100 số)</t>
        </is>
      </c>
      <c r="G201" s="3" t="inlineStr">
        <is>
          <t>TRÚNG 🎯</t>
        </is>
      </c>
      <c r="H201" s="3" t="inlineStr">
        <is>
          <t>TRÚNG 🎯</t>
        </is>
      </c>
      <c r="I201" s="3" t="inlineStr">
        <is>
          <t>... (200 số)</t>
        </is>
      </c>
      <c r="J201" s="3" t="inlineStr">
        <is>
          <t>TRƯỢT ❌</t>
        </is>
      </c>
    </row>
    <row r="202">
      <c r="A202" s="2" t="n">
        <v>201</v>
      </c>
      <c r="B202" s="2" t="inlineStr">
        <is>
          <t>Thứ sáu ngày 24-07-2026</t>
        </is>
      </c>
      <c r="C202" s="3" t="inlineStr">
        <is>
          <t>89228</t>
        </is>
      </c>
      <c r="D202" s="3" t="inlineStr">
        <is>
          <t>228</t>
        </is>
      </c>
      <c r="E202" s="3" t="inlineStr">
        <is>
          <t>9228</t>
        </is>
      </c>
      <c r="F202" s="3" t="inlineStr">
        <is>
          <t>001, 004, 016, 028, 036, 038, 039, 042, 047, 051... (100 số)</t>
        </is>
      </c>
      <c r="G202" s="3" t="inlineStr">
        <is>
          <t>TRÚNG 🎯</t>
        </is>
      </c>
      <c r="H202" s="3" t="inlineStr">
        <is>
          <t>TRÚNG 🎯</t>
        </is>
      </c>
      <c r="I202" s="3" t="inlineStr">
        <is>
          <t>... (200 số)</t>
        </is>
      </c>
      <c r="J202" s="3" t="inlineStr">
        <is>
          <t>TRƯỢT ❌</t>
        </is>
      </c>
    </row>
    <row r="203">
      <c r="A203" s="2" t="n">
        <v>202</v>
      </c>
      <c r="B203" s="2" t="inlineStr">
        <is>
          <t>Thứ bảy ngày 25-07-2026</t>
        </is>
      </c>
      <c r="C203" s="3" t="inlineStr">
        <is>
          <t>42916</t>
        </is>
      </c>
      <c r="D203" s="3" t="inlineStr">
        <is>
          <t>916</t>
        </is>
      </c>
      <c r="E203" s="3" t="inlineStr">
        <is>
          <t>2916</t>
        </is>
      </c>
      <c r="F203" s="3" t="inlineStr">
        <is>
          <t>001, 004, 019, 028, 036, 038, 039, 042, 051, 052... (100 số)</t>
        </is>
      </c>
      <c r="G203" s="3" t="inlineStr">
        <is>
          <t>TRƯỢT ❌</t>
        </is>
      </c>
      <c r="H203" s="3" t="inlineStr">
        <is>
          <t>TRƯỢT ❌</t>
        </is>
      </c>
      <c r="I203" s="3" t="inlineStr">
        <is>
          <t>... (200 số)</t>
        </is>
      </c>
      <c r="J203" s="3" t="inlineStr">
        <is>
          <t>TRƯỢT ❌</t>
        </is>
      </c>
    </row>
    <row r="204">
      <c r="A204" s="2" t="n">
        <v>203</v>
      </c>
      <c r="B204" s="2" t="inlineStr">
        <is>
          <t>Chủ nhật ngày 26-07-2026</t>
        </is>
      </c>
      <c r="C204" s="3" t="inlineStr">
        <is>
          <t>54796</t>
        </is>
      </c>
      <c r="D204" s="3" t="inlineStr">
        <is>
          <t>796</t>
        </is>
      </c>
      <c r="E204" s="3" t="inlineStr">
        <is>
          <t>4796</t>
        </is>
      </c>
      <c r="F204" s="3" t="inlineStr">
        <is>
          <t>001, 016, 028, 036, 038, 039, 042, 047, 051, 052... (100 số)</t>
        </is>
      </c>
      <c r="G204" s="3" t="inlineStr">
        <is>
          <t>TRƯỢT ❌</t>
        </is>
      </c>
      <c r="H204" s="3" t="inlineStr">
        <is>
          <t>TRƯỢT ❌</t>
        </is>
      </c>
      <c r="I204" s="3" t="inlineStr">
        <is>
          <t>... (200 số)</t>
        </is>
      </c>
      <c r="J204" s="3" t="inlineStr">
        <is>
          <t>TRƯỢT ❌</t>
        </is>
      </c>
    </row>
    <row r="205">
      <c r="A205" s="2" t="n">
        <v>204</v>
      </c>
      <c r="B205" s="2" t="inlineStr">
        <is>
          <t>Thứ hai ngày 27-07-2026</t>
        </is>
      </c>
      <c r="C205" s="3" t="inlineStr">
        <is>
          <t>65000</t>
        </is>
      </c>
      <c r="D205" s="3" t="inlineStr">
        <is>
          <t>000</t>
        </is>
      </c>
      <c r="E205" s="3" t="inlineStr">
        <is>
          <t>5000</t>
        </is>
      </c>
      <c r="F205" s="3" t="inlineStr">
        <is>
          <t>019, 028, 038, 039, 042, 047, 051, 052, 053, 054... (100 số)</t>
        </is>
      </c>
      <c r="G205" s="3" t="inlineStr">
        <is>
          <t>TRƯỢT ❌</t>
        </is>
      </c>
      <c r="H205" s="3" t="inlineStr">
        <is>
          <t>TRƯỢT ❌</t>
        </is>
      </c>
      <c r="I205" s="3" t="inlineStr">
        <is>
          <t>... (200 số)</t>
        </is>
      </c>
      <c r="J205" s="3" t="inlineStr">
        <is>
          <t>TRƯỢT ❌</t>
        </is>
      </c>
    </row>
    <row r="206">
      <c r="A206" s="2" t="n">
        <v>205</v>
      </c>
      <c r="B206" s="2" t="inlineStr">
        <is>
          <t>Thứ ba ngày 28-07-2026</t>
        </is>
      </c>
      <c r="C206" s="3" t="inlineStr">
        <is>
          <t>39983</t>
        </is>
      </c>
      <c r="D206" s="3" t="inlineStr">
        <is>
          <t>983</t>
        </is>
      </c>
      <c r="E206" s="3" t="inlineStr">
        <is>
          <t>9983</t>
        </is>
      </c>
      <c r="F206" s="3" t="inlineStr">
        <is>
          <t>000, 001, 016, 028, 036, 038, 039, 042, 047, 051... (100 số)</t>
        </is>
      </c>
      <c r="G206" s="3" t="inlineStr">
        <is>
          <t>TRƯỢT ❌</t>
        </is>
      </c>
      <c r="H206" s="3" t="inlineStr">
        <is>
          <t>TRƯỢT ❌</t>
        </is>
      </c>
      <c r="I206" s="3" t="inlineStr">
        <is>
          <t>... (200 số)</t>
        </is>
      </c>
      <c r="J206" s="3" t="inlineStr">
        <is>
          <t>TRƯỢT ❌</t>
        </is>
      </c>
    </row>
    <row r="207">
      <c r="A207" s="2" t="n">
        <v>206</v>
      </c>
      <c r="B207" s="2" t="inlineStr">
        <is>
          <t>Thứ tư ngày 29-07-2026</t>
        </is>
      </c>
      <c r="C207" s="3" t="inlineStr">
        <is>
          <t>50834</t>
        </is>
      </c>
      <c r="D207" s="3" t="inlineStr">
        <is>
          <t>834</t>
        </is>
      </c>
      <c r="E207" s="3" t="inlineStr">
        <is>
          <t>0834</t>
        </is>
      </c>
      <c r="F207" s="3" t="inlineStr">
        <is>
          <t>001, 016, 019, 028, 036, 038, 039, 042, 047, 051... (100 số)</t>
        </is>
      </c>
      <c r="G207" s="3" t="inlineStr">
        <is>
          <t>TRƯỢT ❌</t>
        </is>
      </c>
      <c r="H207" s="3" t="inlineStr">
        <is>
          <t>TRƯỢT ❌</t>
        </is>
      </c>
      <c r="I207" s="3" t="inlineStr">
        <is>
          <t>... (200 số)</t>
        </is>
      </c>
      <c r="J207" s="3" t="inlineStr">
        <is>
          <t>TRƯỢT ❌</t>
        </is>
      </c>
    </row>
    <row r="208">
      <c r="A208" s="2" t="n">
        <v>207</v>
      </c>
      <c r="B208" s="2" t="inlineStr">
        <is>
          <t>Thứ năm ngày 30-07-2026</t>
        </is>
      </c>
      <c r="C208" s="3" t="inlineStr">
        <is>
          <t>41710</t>
        </is>
      </c>
      <c r="D208" s="3" t="inlineStr">
        <is>
          <t>710</t>
        </is>
      </c>
      <c r="E208" s="3" t="inlineStr">
        <is>
          <t>1710</t>
        </is>
      </c>
      <c r="F208" s="3" t="inlineStr">
        <is>
          <t>000, 001, 016, 019, 028, 034, 036, 038, 039, 053... (100 số)</t>
        </is>
      </c>
      <c r="G208" s="3" t="inlineStr">
        <is>
          <t>TRƯỢT ❌</t>
        </is>
      </c>
      <c r="H208" s="3" t="inlineStr">
        <is>
          <t>TRƯỢT ❌</t>
        </is>
      </c>
      <c r="I208" s="3" t="inlineStr">
        <is>
          <t>... (200 số)</t>
        </is>
      </c>
      <c r="J208" s="3" t="inlineStr">
        <is>
          <t>TRƯỢT ❌</t>
        </is>
      </c>
    </row>
    <row r="209">
      <c r="A209" s="2" t="n">
        <v>208</v>
      </c>
      <c r="B209" s="2" t="inlineStr">
        <is>
          <t>Thứ sáu ngày 31-07-2026</t>
        </is>
      </c>
      <c r="C209" s="3" t="inlineStr">
        <is>
          <t>44823</t>
        </is>
      </c>
      <c r="D209" s="3" t="inlineStr">
        <is>
          <t>823</t>
        </is>
      </c>
      <c r="E209" s="3" t="inlineStr">
        <is>
          <t>4823</t>
        </is>
      </c>
      <c r="F209" s="3" t="inlineStr">
        <is>
          <t>000, 001, 010, 016, 019, 028, 034, 036, 038, 039... (100 số)</t>
        </is>
      </c>
      <c r="G209" s="3" t="inlineStr">
        <is>
          <t>TRƯỢT ❌</t>
        </is>
      </c>
      <c r="H209" s="3" t="inlineStr">
        <is>
          <t>TRƯỢT ❌</t>
        </is>
      </c>
      <c r="I209" s="3" t="inlineStr">
        <is>
          <t>... (200 số)</t>
        </is>
      </c>
      <c r="J209" s="3" t="inlineStr">
        <is>
          <t>TRƯỢT ❌</t>
        </is>
      </c>
    </row>
    <row r="210">
      <c r="A210" s="2" t="n">
        <v>209</v>
      </c>
      <c r="B210" s="2" t="inlineStr">
        <is>
          <t>Thứ bảy ngày 01-08-2026</t>
        </is>
      </c>
      <c r="C210" s="3" t="inlineStr">
        <is>
          <t>11909</t>
        </is>
      </c>
      <c r="D210" s="3" t="inlineStr">
        <is>
          <t>909</t>
        </is>
      </c>
      <c r="E210" s="3" t="inlineStr">
        <is>
          <t>1909</t>
        </is>
      </c>
      <c r="F210" s="3" t="inlineStr">
        <is>
          <t>000, 001, 010, 016, 019, 023, 028, 036, 038, 039... (100 số)</t>
        </is>
      </c>
      <c r="G210" s="3" t="inlineStr">
        <is>
          <t>TRƯỢT ❌</t>
        </is>
      </c>
      <c r="H210" s="3" t="inlineStr">
        <is>
          <t>TRƯỢT ❌</t>
        </is>
      </c>
      <c r="I210" s="3" t="inlineStr">
        <is>
          <t>... (200 số)</t>
        </is>
      </c>
      <c r="J210" s="3" t="inlineStr">
        <is>
          <t>TRƯỢT ❌</t>
        </is>
      </c>
    </row>
    <row r="211">
      <c r="A211" s="2" t="n">
        <v>210</v>
      </c>
      <c r="B211" s="2" t="inlineStr">
        <is>
          <t>Chủ nhật ngày 02-08-2026</t>
        </is>
      </c>
      <c r="C211" s="3" t="inlineStr">
        <is>
          <t>79247</t>
        </is>
      </c>
      <c r="D211" s="3" t="inlineStr">
        <is>
          <t>247</t>
        </is>
      </c>
      <c r="E211" s="3" t="inlineStr">
        <is>
          <t>9247</t>
        </is>
      </c>
      <c r="F211" s="3" t="inlineStr">
        <is>
          <t>000, 001, 009, 010, 016, 019, 023, 028, 034, 038... (100 số)</t>
        </is>
      </c>
      <c r="G211" s="3" t="inlineStr">
        <is>
          <t>TRÚNG 🎯</t>
        </is>
      </c>
      <c r="H211" s="3" t="inlineStr">
        <is>
          <t>TRÚNG 🎯</t>
        </is>
      </c>
      <c r="I211" s="3" t="inlineStr">
        <is>
          <t>... (200 số)</t>
        </is>
      </c>
      <c r="J211" s="3" t="inlineStr">
        <is>
          <t>TRƯỢT ❌</t>
        </is>
      </c>
    </row>
    <row r="212">
      <c r="A212" s="2" t="n">
        <v>211</v>
      </c>
      <c r="B212" s="2" t="inlineStr">
        <is>
          <t>Thứ hai ngày 03-08-2026</t>
        </is>
      </c>
      <c r="C212" s="3" t="inlineStr">
        <is>
          <t>51125</t>
        </is>
      </c>
      <c r="D212" s="3" t="inlineStr">
        <is>
          <t>125</t>
        </is>
      </c>
      <c r="E212" s="3" t="inlineStr">
        <is>
          <t>1125</t>
        </is>
      </c>
      <c r="F212" s="3" t="inlineStr">
        <is>
          <t>000, 001, 009, 010, 016, 019, 023, 028, 034, 038... (100 số)</t>
        </is>
      </c>
      <c r="G212" s="3" t="inlineStr">
        <is>
          <t>TRƯỢT ❌</t>
        </is>
      </c>
      <c r="H212" s="3" t="inlineStr">
        <is>
          <t>TRƯỢT ❌</t>
        </is>
      </c>
      <c r="I212" s="3" t="inlineStr">
        <is>
          <t>... (200 số)</t>
        </is>
      </c>
      <c r="J212" s="3" t="inlineStr">
        <is>
          <t>TRƯỢT ❌</t>
        </is>
      </c>
    </row>
    <row r="213">
      <c r="A213" s="2" t="n">
        <v>212</v>
      </c>
      <c r="B213" s="2" t="inlineStr">
        <is>
          <t>Thứ ba ngày 04-08-2026</t>
        </is>
      </c>
      <c r="C213" s="3" t="inlineStr">
        <is>
          <t>59760</t>
        </is>
      </c>
      <c r="D213" s="3" t="inlineStr">
        <is>
          <t>760</t>
        </is>
      </c>
      <c r="E213" s="3" t="inlineStr">
        <is>
          <t>9760</t>
        </is>
      </c>
      <c r="F213" s="3" t="inlineStr">
        <is>
          <t>000, 004, 016, 023, 025, 028, 034, 038, 039, 042... (100 số)</t>
        </is>
      </c>
      <c r="G213" s="3" t="inlineStr">
        <is>
          <t>TRƯỢT ❌</t>
        </is>
      </c>
      <c r="H213" s="3" t="inlineStr">
        <is>
          <t>TRƯỢT ❌</t>
        </is>
      </c>
      <c r="I213" s="3" t="inlineStr">
        <is>
          <t>... (200 số)</t>
        </is>
      </c>
      <c r="J213" s="3" t="inlineStr">
        <is>
          <t>TRƯỢT ❌</t>
        </is>
      </c>
    </row>
    <row r="214">
      <c r="A214" s="2" t="n">
        <v>213</v>
      </c>
      <c r="B214" s="2" t="inlineStr">
        <is>
          <t>Thứ tư ngày 05-08-2026</t>
        </is>
      </c>
      <c r="C214" s="3" t="inlineStr">
        <is>
          <t>26167</t>
        </is>
      </c>
      <c r="D214" s="3" t="inlineStr">
        <is>
          <t>167</t>
        </is>
      </c>
      <c r="E214" s="3" t="inlineStr">
        <is>
          <t>6167</t>
        </is>
      </c>
      <c r="F214" s="3" t="inlineStr">
        <is>
          <t>001, 009, 010, 016, 019, 023, 025, 028, 034, 038... (100 số)</t>
        </is>
      </c>
      <c r="G214" s="3" t="inlineStr">
        <is>
          <t>TRƯỢT ❌</t>
        </is>
      </c>
      <c r="H214" s="3" t="inlineStr">
        <is>
          <t>TRƯỢT ❌</t>
        </is>
      </c>
      <c r="I214" s="3" t="inlineStr">
        <is>
          <t>... (200 số)</t>
        </is>
      </c>
      <c r="J214" s="3" t="inlineStr">
        <is>
          <t>TRƯỢT ❌</t>
        </is>
      </c>
    </row>
    <row r="215">
      <c r="A215" s="2" t="n">
        <v>214</v>
      </c>
      <c r="B215" s="2" t="inlineStr">
        <is>
          <t>Thứ năm ngày 06-08-2026</t>
        </is>
      </c>
      <c r="C215" s="3" t="inlineStr">
        <is>
          <t>16479</t>
        </is>
      </c>
      <c r="D215" s="3" t="inlineStr">
        <is>
          <t>479</t>
        </is>
      </c>
      <c r="E215" s="3" t="inlineStr">
        <is>
          <t>6479</t>
        </is>
      </c>
      <c r="F215" s="3" t="inlineStr">
        <is>
          <t>009, 016, 019, 023, 025, 028, 034, 038, 039, 047... (100 số)</t>
        </is>
      </c>
      <c r="G215" s="3" t="inlineStr">
        <is>
          <t>TRƯỢT ❌</t>
        </is>
      </c>
      <c r="H215" s="3" t="inlineStr">
        <is>
          <t>TRƯỢT ❌</t>
        </is>
      </c>
      <c r="I215" s="3" t="inlineStr">
        <is>
          <t>... (200 số)</t>
        </is>
      </c>
      <c r="J215" s="3" t="inlineStr">
        <is>
          <t>TRƯỢT ❌</t>
        </is>
      </c>
    </row>
    <row r="216">
      <c r="A216" s="2" t="n">
        <v>215</v>
      </c>
      <c r="B216" s="2" t="inlineStr">
        <is>
          <t>Thứ sáu ngày 07-08-2026</t>
        </is>
      </c>
      <c r="C216" s="3" t="inlineStr">
        <is>
          <t>04922</t>
        </is>
      </c>
      <c r="D216" s="3" t="inlineStr">
        <is>
          <t>922</t>
        </is>
      </c>
      <c r="E216" s="3" t="inlineStr">
        <is>
          <t>4922</t>
        </is>
      </c>
      <c r="F216" s="3" t="inlineStr">
        <is>
          <t>000, 001, 009, 010, 016, 019, 028, 034, 038, 047... (100 số)</t>
        </is>
      </c>
      <c r="G216" s="3" t="inlineStr">
        <is>
          <t>TRƯỢT ❌</t>
        </is>
      </c>
      <c r="H216" s="3" t="inlineStr">
        <is>
          <t>TRƯỢT ❌</t>
        </is>
      </c>
      <c r="I216" s="3" t="inlineStr">
        <is>
          <t>... (200 số)</t>
        </is>
      </c>
      <c r="J216" s="3" t="inlineStr">
        <is>
          <t>TRƯỢT ❌</t>
        </is>
      </c>
    </row>
    <row r="217">
      <c r="A217" s="2" t="n">
        <v>216</v>
      </c>
      <c r="B217" s="2" t="inlineStr">
        <is>
          <t>Thứ bảy ngày 08-08-2026</t>
        </is>
      </c>
      <c r="C217" s="3" t="inlineStr">
        <is>
          <t>12221</t>
        </is>
      </c>
      <c r="D217" s="3" t="inlineStr">
        <is>
          <t>221</t>
        </is>
      </c>
      <c r="E217" s="3" t="inlineStr">
        <is>
          <t>2221</t>
        </is>
      </c>
      <c r="F217" s="3" t="inlineStr">
        <is>
          <t>000, 001, 009, 010, 019, 025, 028, 038, 039, 047... (100 số)</t>
        </is>
      </c>
      <c r="G217" s="3" t="inlineStr">
        <is>
          <t>TRƯỢT ❌</t>
        </is>
      </c>
      <c r="H217" s="3" t="inlineStr">
        <is>
          <t>TRƯỢT ❌</t>
        </is>
      </c>
      <c r="I217" s="3" t="inlineStr">
        <is>
          <t>... (200 số)</t>
        </is>
      </c>
      <c r="J217" s="3" t="inlineStr">
        <is>
          <t>TRƯỢT ❌</t>
        </is>
      </c>
    </row>
    <row r="218">
      <c r="A218" s="2" t="n">
        <v>217</v>
      </c>
      <c r="B218" s="2" t="inlineStr">
        <is>
          <t>Chủ nhật ngày 09-08-2026</t>
        </is>
      </c>
      <c r="C218" s="3" t="inlineStr">
        <is>
          <t>92957</t>
        </is>
      </c>
      <c r="D218" s="3" t="inlineStr">
        <is>
          <t>957</t>
        </is>
      </c>
      <c r="E218" s="3" t="inlineStr">
        <is>
          <t>2957</t>
        </is>
      </c>
      <c r="F218" s="3" t="inlineStr">
        <is>
          <t>001, 009, 010, 016, 019, 021, 022, 023, 025, 028... (100 số)</t>
        </is>
      </c>
      <c r="G218" s="3" t="inlineStr">
        <is>
          <t>TRƯỢT ❌</t>
        </is>
      </c>
      <c r="H218" s="3" t="inlineStr">
        <is>
          <t>TRƯỢT ❌</t>
        </is>
      </c>
      <c r="I218" s="3" t="inlineStr">
        <is>
          <t>... (200 số)</t>
        </is>
      </c>
      <c r="J218" s="3" t="inlineStr">
        <is>
          <t>TRƯỢT ❌</t>
        </is>
      </c>
    </row>
    <row r="219">
      <c r="A219" s="2" t="n">
        <v>218</v>
      </c>
      <c r="B219" s="2" t="inlineStr">
        <is>
          <t>Thứ hai ngày 10-08-2026</t>
        </is>
      </c>
      <c r="C219" s="3" t="inlineStr">
        <is>
          <t>92191</t>
        </is>
      </c>
      <c r="D219" s="3" t="inlineStr">
        <is>
          <t>191</t>
        </is>
      </c>
      <c r="E219" s="3" t="inlineStr">
        <is>
          <t>2191</t>
        </is>
      </c>
      <c r="F219" s="3" t="inlineStr">
        <is>
          <t>000, 009, 010, 016, 019, 021, 022, 023, 025, 028... (100 số)</t>
        </is>
      </c>
      <c r="G219" s="3" t="inlineStr">
        <is>
          <t>TRƯỢT ❌</t>
        </is>
      </c>
      <c r="H219" s="3" t="inlineStr">
        <is>
          <t>TRƯỢT ❌</t>
        </is>
      </c>
      <c r="I219" s="3" t="inlineStr">
        <is>
          <t>... (200 số)</t>
        </is>
      </c>
      <c r="J219" s="3" t="inlineStr">
        <is>
          <t>TRƯỢT ❌</t>
        </is>
      </c>
    </row>
    <row r="220">
      <c r="A220" s="2" t="n">
        <v>219</v>
      </c>
      <c r="B220" s="2" t="inlineStr">
        <is>
          <t>Thứ ba ngày 11-08-2026</t>
        </is>
      </c>
      <c r="C220" s="3" t="inlineStr">
        <is>
          <t>82326</t>
        </is>
      </c>
      <c r="D220" s="3" t="inlineStr">
        <is>
          <t>326</t>
        </is>
      </c>
      <c r="E220" s="3" t="inlineStr">
        <is>
          <t>2326</t>
        </is>
      </c>
      <c r="F220" s="3" t="inlineStr">
        <is>
          <t>000, 009, 010, 019, 021, 022, 023, 025, 028, 034... (100 số)</t>
        </is>
      </c>
      <c r="G220" s="3" t="inlineStr">
        <is>
          <t>TRƯỢT ❌</t>
        </is>
      </c>
      <c r="H220" s="3" t="inlineStr">
        <is>
          <t>TRƯỢT ❌</t>
        </is>
      </c>
      <c r="I220" s="3" t="inlineStr">
        <is>
          <t>... (200 số)</t>
        </is>
      </c>
      <c r="J220" s="3" t="inlineStr">
        <is>
          <t>TRƯỢT ❌</t>
        </is>
      </c>
    </row>
    <row r="221">
      <c r="A221" s="2" t="n">
        <v>220</v>
      </c>
      <c r="B221" s="2" t="inlineStr">
        <is>
          <t>Thứ tư ngày 12-08-2026</t>
        </is>
      </c>
      <c r="C221" s="3" t="inlineStr">
        <is>
          <t>79344</t>
        </is>
      </c>
      <c r="D221" s="3" t="inlineStr">
        <is>
          <t>344</t>
        </is>
      </c>
      <c r="E221" s="3" t="inlineStr">
        <is>
          <t>9344</t>
        </is>
      </c>
      <c r="F221" s="3" t="inlineStr">
        <is>
          <t>000, 009, 010, 016, 019, 021, 022, 023, 025, 026... (100 số)</t>
        </is>
      </c>
      <c r="G221" s="3" t="inlineStr">
        <is>
          <t>TRƯỢT ❌</t>
        </is>
      </c>
      <c r="H221" s="3" t="inlineStr">
        <is>
          <t>TRƯỢT ❌</t>
        </is>
      </c>
      <c r="I221" s="3" t="inlineStr">
        <is>
          <t>... (200 số)</t>
        </is>
      </c>
      <c r="J221" s="3" t="inlineStr">
        <is>
          <t>TRƯỢT ❌</t>
        </is>
      </c>
    </row>
    <row r="222">
      <c r="A222" s="2" t="n">
        <v>221</v>
      </c>
      <c r="B222" s="2" t="inlineStr">
        <is>
          <t>Thứ năm ngày 13-08-2026</t>
        </is>
      </c>
      <c r="C222" s="3" t="inlineStr">
        <is>
          <t>80018</t>
        </is>
      </c>
      <c r="D222" s="3" t="inlineStr">
        <is>
          <t>018</t>
        </is>
      </c>
      <c r="E222" s="3" t="inlineStr">
        <is>
          <t>0018</t>
        </is>
      </c>
      <c r="F222" s="3" t="inlineStr">
        <is>
          <t>009, 010, 016, 019, 021, 022, 023, 025, 026, 028... (100 số)</t>
        </is>
      </c>
      <c r="G222" s="3" t="inlineStr">
        <is>
          <t>TRƯỢT ❌</t>
        </is>
      </c>
      <c r="H222" s="3" t="inlineStr">
        <is>
          <t>TRƯỢT ❌</t>
        </is>
      </c>
      <c r="I222" s="3" t="inlineStr">
        <is>
          <t>... (200 số)</t>
        </is>
      </c>
      <c r="J222" s="3" t="inlineStr">
        <is>
          <t>TRƯỢT ❌</t>
        </is>
      </c>
    </row>
    <row r="223">
      <c r="A223" s="2" t="n">
        <v>222</v>
      </c>
      <c r="B223" s="2" t="inlineStr">
        <is>
          <t>Thứ sáu ngày 14-08-2026</t>
        </is>
      </c>
      <c r="C223" s="3" t="inlineStr">
        <is>
          <t>80278</t>
        </is>
      </c>
      <c r="D223" s="3" t="inlineStr">
        <is>
          <t>278</t>
        </is>
      </c>
      <c r="E223" s="3" t="inlineStr">
        <is>
          <t>0278</t>
        </is>
      </c>
      <c r="F223" s="3" t="inlineStr">
        <is>
          <t>009, 016, 023, 025, 026, 028, 034, 038, 039, 044... (100 số)</t>
        </is>
      </c>
      <c r="G223" s="3" t="inlineStr">
        <is>
          <t>TRƯỢT ❌</t>
        </is>
      </c>
      <c r="H223" s="3" t="inlineStr">
        <is>
          <t>TRƯỢT ❌</t>
        </is>
      </c>
      <c r="I223" s="3" t="inlineStr">
        <is>
          <t>... (200 số)</t>
        </is>
      </c>
      <c r="J223" s="3" t="inlineStr">
        <is>
          <t>TRƯỢT ❌</t>
        </is>
      </c>
    </row>
    <row r="224">
      <c r="A224" s="2" t="n">
        <v>223</v>
      </c>
      <c r="B224" s="2" t="inlineStr">
        <is>
          <t>Thứ bảy ngày 15-08-2026</t>
        </is>
      </c>
      <c r="C224" s="3" t="inlineStr">
        <is>
          <t>14696</t>
        </is>
      </c>
      <c r="D224" s="3" t="inlineStr">
        <is>
          <t>696</t>
        </is>
      </c>
      <c r="E224" s="3" t="inlineStr">
        <is>
          <t>4696</t>
        </is>
      </c>
      <c r="F224" s="3" t="inlineStr">
        <is>
          <t>000, 009, 010, 016, 021, 022, 023, 025, 026, 028... (100 số)</t>
        </is>
      </c>
      <c r="G224" s="3" t="inlineStr">
        <is>
          <t>TRƯỢT ❌</t>
        </is>
      </c>
      <c r="H224" s="3" t="inlineStr">
        <is>
          <t>TRƯỢT ❌</t>
        </is>
      </c>
      <c r="I224" s="3" t="inlineStr">
        <is>
          <t>... (200 số)</t>
        </is>
      </c>
      <c r="J224" s="3" t="inlineStr">
        <is>
          <t>TRƯỢT ❌</t>
        </is>
      </c>
    </row>
    <row r="225">
      <c r="A225" s="2" t="n">
        <v>224</v>
      </c>
      <c r="B225" s="2" t="inlineStr">
        <is>
          <t>Chủ nhật ngày 16-08-2026</t>
        </is>
      </c>
      <c r="C225" s="3" t="inlineStr">
        <is>
          <t>01939</t>
        </is>
      </c>
      <c r="D225" s="3" t="inlineStr">
        <is>
          <t>939</t>
        </is>
      </c>
      <c r="E225" s="3" t="inlineStr">
        <is>
          <t>1939</t>
        </is>
      </c>
      <c r="F225" s="3" t="inlineStr">
        <is>
          <t>009, 018, 021, 022, 023, 025, 026, 028, 034, 038... (100 số)</t>
        </is>
      </c>
      <c r="G225" s="3" t="inlineStr">
        <is>
          <t>TRƯỢT ❌</t>
        </is>
      </c>
      <c r="H225" s="3" t="inlineStr">
        <is>
          <t>TRƯỢT ❌</t>
        </is>
      </c>
      <c r="I225" s="3" t="inlineStr">
        <is>
          <t>... (200 số)</t>
        </is>
      </c>
      <c r="J225" s="3" t="inlineStr">
        <is>
          <t>TRƯỢT ❌</t>
        </is>
      </c>
    </row>
    <row r="226">
      <c r="A226" s="2" t="n">
        <v>225</v>
      </c>
      <c r="B226" s="2" t="inlineStr">
        <is>
          <t>Thứ hai ngày 17-08-2026</t>
        </is>
      </c>
      <c r="C226" s="3" t="inlineStr">
        <is>
          <t>29183</t>
        </is>
      </c>
      <c r="D226" s="3" t="inlineStr">
        <is>
          <t>183</t>
        </is>
      </c>
      <c r="E226" s="3" t="inlineStr">
        <is>
          <t>9183</t>
        </is>
      </c>
      <c r="F226" s="3" t="inlineStr">
        <is>
          <t>009, 010, 016, 018, 021, 026, 028, 038, 039, 047... (100 số)</t>
        </is>
      </c>
      <c r="G226" s="3" t="inlineStr">
        <is>
          <t>TRƯỢT ❌</t>
        </is>
      </c>
      <c r="H226" s="3" t="inlineStr">
        <is>
          <t>TRƯỢT ❌</t>
        </is>
      </c>
      <c r="I226" s="3" t="inlineStr">
        <is>
          <t>... (200 số)</t>
        </is>
      </c>
      <c r="J226" s="3" t="inlineStr">
        <is>
          <t>TRƯỢT ❌</t>
        </is>
      </c>
    </row>
    <row r="227">
      <c r="A227" s="2" t="n">
        <v>226</v>
      </c>
      <c r="B227" s="2" t="inlineStr">
        <is>
          <t>Thứ ba ngày 18-08-2026</t>
        </is>
      </c>
      <c r="C227" s="3" t="inlineStr">
        <is>
          <t>13643</t>
        </is>
      </c>
      <c r="D227" s="3" t="inlineStr">
        <is>
          <t>643</t>
        </is>
      </c>
      <c r="E227" s="3" t="inlineStr">
        <is>
          <t>3643</t>
        </is>
      </c>
      <c r="F227" s="3" t="inlineStr">
        <is>
          <t>000, 009, 010, 016, 018, 021, 022, 023, 025, 026... (100 số)</t>
        </is>
      </c>
      <c r="G227" s="3" t="inlineStr">
        <is>
          <t>TRƯỢT ❌</t>
        </is>
      </c>
      <c r="H227" s="3" t="inlineStr">
        <is>
          <t>TRƯỢT ❌</t>
        </is>
      </c>
      <c r="I227" s="3" t="inlineStr">
        <is>
          <t>... (200 số)</t>
        </is>
      </c>
      <c r="J227" s="3" t="inlineStr">
        <is>
          <t>TRƯỢT ❌</t>
        </is>
      </c>
    </row>
    <row r="228">
      <c r="A228" s="2" t="n">
        <v>227</v>
      </c>
      <c r="B228" s="2" t="inlineStr">
        <is>
          <t>Thứ tư ngày 19-08-2026</t>
        </is>
      </c>
      <c r="C228" s="3" t="inlineStr">
        <is>
          <t>07523</t>
        </is>
      </c>
      <c r="D228" s="3" t="inlineStr">
        <is>
          <t>523</t>
        </is>
      </c>
      <c r="E228" s="3" t="inlineStr">
        <is>
          <t>7523</t>
        </is>
      </c>
      <c r="F228" s="3" t="inlineStr">
        <is>
          <t>009, 010, 016, 018, 021, 023, 025, 034, 038, 039... (100 số)</t>
        </is>
      </c>
      <c r="G228" s="3" t="inlineStr">
        <is>
          <t>TRÚNG 🎯</t>
        </is>
      </c>
      <c r="H228" s="3" t="inlineStr">
        <is>
          <t>TRÚNG 🎯</t>
        </is>
      </c>
      <c r="I228" s="3" t="inlineStr">
        <is>
          <t>... (200 số)</t>
        </is>
      </c>
      <c r="J228" s="3" t="inlineStr">
        <is>
          <t>TRƯỢT ❌</t>
        </is>
      </c>
    </row>
    <row r="229">
      <c r="A229" s="2" t="n">
        <v>228</v>
      </c>
      <c r="B229" s="2" t="inlineStr">
        <is>
          <t>Thứ năm ngày 20-08-2026</t>
        </is>
      </c>
      <c r="C229" s="3" t="inlineStr">
        <is>
          <t>94533</t>
        </is>
      </c>
      <c r="D229" s="3" t="inlineStr">
        <is>
          <t>533</t>
        </is>
      </c>
      <c r="E229" s="3" t="inlineStr">
        <is>
          <t>4533</t>
        </is>
      </c>
      <c r="F229" s="3" t="inlineStr">
        <is>
          <t>000, 009, 010, 018, 023, 028, 034, 038, 039, 043... (100 số)</t>
        </is>
      </c>
      <c r="G229" s="3" t="inlineStr">
        <is>
          <t>TRƯỢT ❌</t>
        </is>
      </c>
      <c r="H229" s="3" t="inlineStr">
        <is>
          <t>TRƯỢT ❌</t>
        </is>
      </c>
      <c r="I229" s="3" t="inlineStr">
        <is>
          <t>... (200 số)</t>
        </is>
      </c>
      <c r="J229" s="3" t="inlineStr">
        <is>
          <t>TRƯỢT ❌</t>
        </is>
      </c>
    </row>
    <row r="230">
      <c r="A230" s="2" t="n">
        <v>229</v>
      </c>
      <c r="B230" s="2" t="inlineStr">
        <is>
          <t>Thứ sáu ngày 21-08-2026</t>
        </is>
      </c>
      <c r="C230" s="3" t="inlineStr">
        <is>
          <t>60213</t>
        </is>
      </c>
      <c r="D230" s="3" t="inlineStr">
        <is>
          <t>213</t>
        </is>
      </c>
      <c r="E230" s="3" t="inlineStr">
        <is>
          <t>0213</t>
        </is>
      </c>
      <c r="F230" s="3" t="inlineStr">
        <is>
          <t>009, 016, 023, 025, 026, 033, 034, 038, 039, 043... (100 số)</t>
        </is>
      </c>
      <c r="G230" s="3" t="inlineStr">
        <is>
          <t>TRƯỢT ❌</t>
        </is>
      </c>
      <c r="H230" s="3" t="inlineStr">
        <is>
          <t>TRƯỢT ❌</t>
        </is>
      </c>
      <c r="I230" s="3" t="inlineStr">
        <is>
          <t>... (200 số)</t>
        </is>
      </c>
      <c r="J230" s="3" t="inlineStr">
        <is>
          <t>TRƯỢT ❌</t>
        </is>
      </c>
    </row>
    <row r="231">
      <c r="A231" s="2" t="n">
        <v>230</v>
      </c>
      <c r="B231" s="2" t="inlineStr">
        <is>
          <t>Thứ bảy ngày 22-08-2026</t>
        </is>
      </c>
      <c r="C231" s="3" t="inlineStr">
        <is>
          <t>37938</t>
        </is>
      </c>
      <c r="D231" s="3" t="inlineStr">
        <is>
          <t>938</t>
        </is>
      </c>
      <c r="E231" s="3" t="inlineStr">
        <is>
          <t>7938</t>
        </is>
      </c>
      <c r="F231" s="3" t="inlineStr">
        <is>
          <t>000, 009, 010, 016, 021, 022, 023, 025, 026, 028... (100 số)</t>
        </is>
      </c>
      <c r="G231" s="3" t="inlineStr">
        <is>
          <t>TRƯỢT ❌</t>
        </is>
      </c>
      <c r="H231" s="3" t="inlineStr">
        <is>
          <t>TRƯỢT ❌</t>
        </is>
      </c>
      <c r="I231" s="3" t="inlineStr">
        <is>
          <t>... (200 số)</t>
        </is>
      </c>
      <c r="J231" s="3" t="inlineStr">
        <is>
          <t>TRƯỢT ❌</t>
        </is>
      </c>
    </row>
    <row r="232">
      <c r="A232" s="2" t="n">
        <v>231</v>
      </c>
      <c r="B232" s="2" t="inlineStr">
        <is>
          <t>Chủ nhật ngày 23-08-2026</t>
        </is>
      </c>
      <c r="C232" s="3" t="inlineStr">
        <is>
          <t>36917</t>
        </is>
      </c>
      <c r="D232" s="3" t="inlineStr">
        <is>
          <t>917</t>
        </is>
      </c>
      <c r="E232" s="3" t="inlineStr">
        <is>
          <t>6917</t>
        </is>
      </c>
      <c r="F232" s="3" t="inlineStr">
        <is>
          <t>009, 013, 016, 018, 023, 026, 028, 033, 034, 038... (100 số)</t>
        </is>
      </c>
      <c r="G232" s="3" t="inlineStr">
        <is>
          <t>TRƯỢT ❌</t>
        </is>
      </c>
      <c r="H232" s="3" t="inlineStr">
        <is>
          <t>TRƯỢT ❌</t>
        </is>
      </c>
      <c r="I232" s="3" t="inlineStr">
        <is>
          <t>... (200 số)</t>
        </is>
      </c>
      <c r="J232" s="3" t="inlineStr">
        <is>
          <t>TRƯỢT ❌</t>
        </is>
      </c>
    </row>
    <row r="233">
      <c r="A233" s="2" t="n">
        <v>232</v>
      </c>
      <c r="B233" s="2" t="inlineStr">
        <is>
          <t>Thứ hai ngày 24-08-2026</t>
        </is>
      </c>
      <c r="C233" s="3" t="inlineStr">
        <is>
          <t>85080</t>
        </is>
      </c>
      <c r="D233" s="3" t="inlineStr">
        <is>
          <t>080</t>
        </is>
      </c>
      <c r="E233" s="3" t="inlineStr">
        <is>
          <t>5080</t>
        </is>
      </c>
      <c r="F233" s="3" t="inlineStr">
        <is>
          <t>000, 009, 010, 013, 016, 017, 018, 021, 023, 038... (100 số)</t>
        </is>
      </c>
      <c r="G233" s="3" t="inlineStr">
        <is>
          <t>TRƯỢT ❌</t>
        </is>
      </c>
      <c r="H233" s="3" t="inlineStr">
        <is>
          <t>TRƯỢT ❌</t>
        </is>
      </c>
      <c r="I233" s="3" t="inlineStr">
        <is>
          <t>... (200 số)</t>
        </is>
      </c>
      <c r="J233" s="3" t="inlineStr">
        <is>
          <t>TRƯỢT ❌</t>
        </is>
      </c>
    </row>
    <row r="234">
      <c r="A234" s="2" t="n">
        <v>233</v>
      </c>
      <c r="B234" s="2" t="inlineStr">
        <is>
          <t>Thứ ba ngày 25-08-2026</t>
        </is>
      </c>
      <c r="C234" s="3" t="inlineStr">
        <is>
          <t>85361</t>
        </is>
      </c>
      <c r="D234" s="3" t="inlineStr">
        <is>
          <t>361</t>
        </is>
      </c>
      <c r="E234" s="3" t="inlineStr">
        <is>
          <t>5361</t>
        </is>
      </c>
      <c r="F234" s="3" t="inlineStr">
        <is>
          <t>000, 009, 010, 013, 017, 018, 021, 023, 025, 038... (100 số)</t>
        </is>
      </c>
      <c r="G234" s="3" t="inlineStr">
        <is>
          <t>TRƯỢT ❌</t>
        </is>
      </c>
      <c r="H234" s="3" t="inlineStr">
        <is>
          <t>TRƯỢT ❌</t>
        </is>
      </c>
      <c r="I234" s="3" t="inlineStr">
        <is>
          <t>... (200 số)</t>
        </is>
      </c>
      <c r="J234" s="3" t="inlineStr">
        <is>
          <t>TRƯỢT ❌</t>
        </is>
      </c>
    </row>
    <row r="235">
      <c r="A235" s="2" t="n">
        <v>234</v>
      </c>
      <c r="B235" s="2" t="inlineStr">
        <is>
          <t>Thứ tư ngày 26-08-2026</t>
        </is>
      </c>
      <c r="C235" s="3" t="inlineStr">
        <is>
          <t>82645</t>
        </is>
      </c>
      <c r="D235" s="3" t="inlineStr">
        <is>
          <t>645</t>
        </is>
      </c>
      <c r="E235" s="3" t="inlineStr">
        <is>
          <t>2645</t>
        </is>
      </c>
      <c r="F235" s="3" t="inlineStr">
        <is>
          <t>009, 013, 018, 021, 022, 023, 025, 026, 028, 033... (100 số)</t>
        </is>
      </c>
      <c r="G235" s="3" t="inlineStr">
        <is>
          <t>TRƯỢT ❌</t>
        </is>
      </c>
      <c r="H235" s="3" t="inlineStr">
        <is>
          <t>TRƯỢT ❌</t>
        </is>
      </c>
      <c r="I235" s="3" t="inlineStr">
        <is>
          <t>... (200 số)</t>
        </is>
      </c>
      <c r="J235" s="3" t="inlineStr">
        <is>
          <t>TRƯỢT ❌</t>
        </is>
      </c>
    </row>
    <row r="236">
      <c r="A236" s="2" t="n">
        <v>235</v>
      </c>
      <c r="B236" s="2" t="inlineStr">
        <is>
          <t>Thứ năm ngày 27-08-2026</t>
        </is>
      </c>
      <c r="C236" s="3" t="inlineStr">
        <is>
          <t>06168</t>
        </is>
      </c>
      <c r="D236" s="3" t="inlineStr">
        <is>
          <t>168</t>
        </is>
      </c>
      <c r="E236" s="3" t="inlineStr">
        <is>
          <t>6168</t>
        </is>
      </c>
      <c r="F236" s="3" t="inlineStr">
        <is>
          <t>009, 010, 013, 017, 018, 021, 023, 026, 028, 038... (100 số)</t>
        </is>
      </c>
      <c r="G236" s="3" t="inlineStr">
        <is>
          <t>TRƯỢT ❌</t>
        </is>
      </c>
      <c r="H236" s="3" t="inlineStr">
        <is>
          <t>TRƯỢT ❌</t>
        </is>
      </c>
      <c r="I236" s="3" t="inlineStr">
        <is>
          <t>... (200 số)</t>
        </is>
      </c>
      <c r="J236" s="3" t="inlineStr">
        <is>
          <t>TRƯỢT ❌</t>
        </is>
      </c>
    </row>
    <row r="237">
      <c r="A237" s="2" t="n">
        <v>236</v>
      </c>
      <c r="B237" s="2" t="inlineStr">
        <is>
          <t>Thứ sáu ngày 28-08-2026</t>
        </is>
      </c>
      <c r="C237" s="3" t="inlineStr">
        <is>
          <t>90737</t>
        </is>
      </c>
      <c r="D237" s="3" t="inlineStr">
        <is>
          <t>737</t>
        </is>
      </c>
      <c r="E237" s="3" t="inlineStr">
        <is>
          <t>0737</t>
        </is>
      </c>
      <c r="F237" s="3" t="inlineStr">
        <is>
          <t>009, 010, 017, 018, 021, 022, 023, 025, 038, 039... (100 số)</t>
        </is>
      </c>
      <c r="G237" s="3" t="inlineStr">
        <is>
          <t>TRƯỢT ❌</t>
        </is>
      </c>
      <c r="H237" s="3" t="inlineStr">
        <is>
          <t>TRƯỢT ❌</t>
        </is>
      </c>
      <c r="I237" s="3" t="inlineStr">
        <is>
          <t>... (200 số)</t>
        </is>
      </c>
      <c r="J237" s="3" t="inlineStr">
        <is>
          <t>TRƯỢT ❌</t>
        </is>
      </c>
    </row>
    <row r="238">
      <c r="A238" s="2" t="n">
        <v>237</v>
      </c>
      <c r="B238" s="2" t="inlineStr">
        <is>
          <t>Thứ bảy ngày 29-08-2026</t>
        </is>
      </c>
      <c r="C238" s="3" t="inlineStr">
        <is>
          <t>83772</t>
        </is>
      </c>
      <c r="D238" s="3" t="inlineStr">
        <is>
          <t>772</t>
        </is>
      </c>
      <c r="E238" s="3" t="inlineStr">
        <is>
          <t>3772</t>
        </is>
      </c>
      <c r="F238" s="3" t="inlineStr">
        <is>
          <t>009, 010, 013, 017, 018, 021, 022, 023, 025, 037... (100 số)</t>
        </is>
      </c>
      <c r="G238" s="3" t="inlineStr">
        <is>
          <t>TRƯỢT ❌</t>
        </is>
      </c>
      <c r="H238" s="3" t="inlineStr">
        <is>
          <t>TRƯỢT ❌</t>
        </is>
      </c>
      <c r="I238" s="3" t="inlineStr">
        <is>
          <t>... (200 số)</t>
        </is>
      </c>
      <c r="J238" s="3" t="inlineStr">
        <is>
          <t>TRƯỢT ❌</t>
        </is>
      </c>
    </row>
    <row r="239">
      <c r="A239" s="2" t="n">
        <v>238</v>
      </c>
      <c r="B239" s="2" t="inlineStr">
        <is>
          <t>Chủ nhật ngày 30-08-2026</t>
        </is>
      </c>
      <c r="C239" s="3" t="inlineStr">
        <is>
          <t>35644</t>
        </is>
      </c>
      <c r="D239" s="3" t="inlineStr">
        <is>
          <t>644</t>
        </is>
      </c>
      <c r="E239" s="3" t="inlineStr">
        <is>
          <t>5644</t>
        </is>
      </c>
      <c r="F239" s="3" t="inlineStr">
        <is>
          <t>013, 017, 018, 021, 022, 023, 025, 037, 038, 039... (100 số)</t>
        </is>
      </c>
      <c r="G239" s="3" t="inlineStr">
        <is>
          <t>TRƯỢT ❌</t>
        </is>
      </c>
      <c r="H239" s="3" t="inlineStr">
        <is>
          <t>TRƯỢT ❌</t>
        </is>
      </c>
      <c r="I239" s="3" t="inlineStr">
        <is>
          <t>... (200 số)</t>
        </is>
      </c>
      <c r="J239" s="3" t="inlineStr">
        <is>
          <t>TRƯỢT 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2026-08-31T13:47:23Z</dcterms:created>
  <dcterms:modified xsi:type="dcterms:W3CDTF">2026-09-09T10:58:14Z</dcterms:modified>
</cp:coreProperties>
</file>